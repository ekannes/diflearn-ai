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2.xml" ContentType="application/vnd.openxmlformats-officedocument.drawing+xml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drawings/drawing3.xml" ContentType="application/vnd.openxmlformats-officedocument.drawing+xml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drawings/drawing4.xml" ContentType="application/vnd.openxmlformats-officedocument.drawing+xml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850c68b50a9465/ドキュメント/"/>
    </mc:Choice>
  </mc:AlternateContent>
  <xr:revisionPtr revIDLastSave="0" documentId="8_{7539E9A2-571B-444F-9BAF-83E035B5A7B5}" xr6:coauthVersionLast="47" xr6:coauthVersionMax="47" xr10:uidLastSave="{00000000-0000-0000-0000-000000000000}"/>
  <bookViews>
    <workbookView xWindow="-110" yWindow="-110" windowWidth="19420" windowHeight="10300" tabRatio="934" activeTab="6" xr2:uid="{14124D1A-2BE1-4CB9-9B48-8CC290204AC7}"/>
  </bookViews>
  <sheets>
    <sheet name="DATA" sheetId="4" r:id="rId1"/>
    <sheet name="UH1" sheetId="1" r:id="rId2"/>
    <sheet name="UHB" sheetId="2" r:id="rId3"/>
    <sheet name="UH3" sheetId="6" r:id="rId4"/>
    <sheet name="UH4" sheetId="5" r:id="rId5"/>
    <sheet name="UH5" sheetId="8" r:id="rId6"/>
    <sheet name="RAPORT" sheetId="15" r:id="rId7"/>
    <sheet name="PRINT" sheetId="9" r:id="rId8"/>
    <sheet name="BLANGKO" sheetId="19" r:id="rId9"/>
    <sheet name="Sheet1" sheetId="20" r:id="rId10"/>
  </sheets>
  <definedNames>
    <definedName name="_77" localSheetId="1">RAPORT!$F$6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3" i="15" l="1"/>
  <c r="Q203" i="15"/>
  <c r="P204" i="15"/>
  <c r="Q204" i="15"/>
  <c r="P205" i="15"/>
  <c r="Q205" i="15"/>
  <c r="P206" i="15"/>
  <c r="Q206" i="15"/>
  <c r="P207" i="15"/>
  <c r="Q207" i="15"/>
  <c r="P208" i="15"/>
  <c r="Q208" i="15"/>
  <c r="P209" i="15"/>
  <c r="Q209" i="15"/>
  <c r="P210" i="15"/>
  <c r="Q210" i="15"/>
  <c r="P211" i="15"/>
  <c r="Q211" i="15"/>
  <c r="P212" i="15"/>
  <c r="Q212" i="15"/>
  <c r="P213" i="15"/>
  <c r="Q213" i="15"/>
  <c r="P214" i="15"/>
  <c r="Q214" i="15"/>
  <c r="P215" i="15"/>
  <c r="Q215" i="15"/>
  <c r="P216" i="15"/>
  <c r="Q216" i="15"/>
  <c r="P217" i="15"/>
  <c r="Q217" i="15"/>
  <c r="P218" i="15"/>
  <c r="Q218" i="15"/>
  <c r="P219" i="15"/>
  <c r="Q219" i="15"/>
  <c r="P220" i="15"/>
  <c r="Q220" i="15"/>
  <c r="P221" i="15"/>
  <c r="Q221" i="15"/>
  <c r="P222" i="15"/>
  <c r="Q222" i="15"/>
  <c r="P223" i="15"/>
  <c r="Q223" i="15"/>
  <c r="P224" i="15"/>
  <c r="Q224" i="15"/>
  <c r="P225" i="15"/>
  <c r="Q225" i="15"/>
  <c r="P226" i="15"/>
  <c r="Q226" i="15"/>
  <c r="P227" i="15"/>
  <c r="Q227" i="15"/>
  <c r="P228" i="15"/>
  <c r="Q228" i="15"/>
  <c r="P229" i="15"/>
  <c r="Q229" i="15"/>
  <c r="P230" i="15"/>
  <c r="Q230" i="15"/>
  <c r="P231" i="15"/>
  <c r="Q231" i="15"/>
  <c r="Q202" i="15"/>
  <c r="P202" i="15"/>
  <c r="P154" i="15"/>
  <c r="Q154" i="15"/>
  <c r="P155" i="15"/>
  <c r="Q155" i="15"/>
  <c r="P156" i="15"/>
  <c r="Q156" i="15"/>
  <c r="P157" i="15"/>
  <c r="Q157" i="15"/>
  <c r="P158" i="15"/>
  <c r="Q158" i="15"/>
  <c r="P159" i="15"/>
  <c r="Q159" i="15"/>
  <c r="P160" i="15"/>
  <c r="Q160" i="15"/>
  <c r="P161" i="15"/>
  <c r="Q161" i="15"/>
  <c r="P162" i="15"/>
  <c r="Q162" i="15"/>
  <c r="P163" i="15"/>
  <c r="Q163" i="15"/>
  <c r="P164" i="15"/>
  <c r="Q164" i="15"/>
  <c r="P165" i="15"/>
  <c r="Q165" i="15"/>
  <c r="P166" i="15"/>
  <c r="Q166" i="15"/>
  <c r="P167" i="15"/>
  <c r="Q167" i="15"/>
  <c r="P168" i="15"/>
  <c r="Q168" i="15"/>
  <c r="P169" i="15"/>
  <c r="Q169" i="15"/>
  <c r="P170" i="15"/>
  <c r="Q170" i="15"/>
  <c r="P171" i="15"/>
  <c r="Q171" i="15"/>
  <c r="P172" i="15"/>
  <c r="Q172" i="15"/>
  <c r="P173" i="15"/>
  <c r="Q173" i="15"/>
  <c r="P174" i="15"/>
  <c r="Q174" i="15"/>
  <c r="P175" i="15"/>
  <c r="Q175" i="15"/>
  <c r="P176" i="15"/>
  <c r="Q176" i="15"/>
  <c r="P177" i="15"/>
  <c r="Q177" i="15"/>
  <c r="P178" i="15"/>
  <c r="Q178" i="15"/>
  <c r="P179" i="15"/>
  <c r="Q179" i="15"/>
  <c r="P180" i="15"/>
  <c r="Q180" i="15"/>
  <c r="P181" i="15"/>
  <c r="Q181" i="15"/>
  <c r="P182" i="15"/>
  <c r="Q182" i="15"/>
  <c r="P183" i="15"/>
  <c r="Q183" i="15"/>
  <c r="Q153" i="15"/>
  <c r="P153" i="15"/>
  <c r="P105" i="15"/>
  <c r="Q105" i="15"/>
  <c r="P106" i="15"/>
  <c r="Q106" i="15"/>
  <c r="P107" i="15"/>
  <c r="Q107" i="15"/>
  <c r="P108" i="15"/>
  <c r="Q108" i="15"/>
  <c r="P109" i="15"/>
  <c r="Q109" i="15"/>
  <c r="P110" i="15"/>
  <c r="Q110" i="15"/>
  <c r="P111" i="15"/>
  <c r="Q111" i="15"/>
  <c r="P112" i="15"/>
  <c r="Q112" i="15"/>
  <c r="P113" i="15"/>
  <c r="Q113" i="15"/>
  <c r="P114" i="15"/>
  <c r="Q114" i="15"/>
  <c r="P115" i="15"/>
  <c r="Q115" i="15"/>
  <c r="P116" i="15"/>
  <c r="Q116" i="15"/>
  <c r="P117" i="15"/>
  <c r="Q117" i="15"/>
  <c r="P118" i="15"/>
  <c r="Q118" i="15"/>
  <c r="P119" i="15"/>
  <c r="Q119" i="15"/>
  <c r="P120" i="15"/>
  <c r="Q120" i="15"/>
  <c r="P121" i="15"/>
  <c r="Q121" i="15"/>
  <c r="P122" i="15"/>
  <c r="Q122" i="15"/>
  <c r="P123" i="15"/>
  <c r="Q123" i="15"/>
  <c r="P124" i="15"/>
  <c r="Q124" i="15"/>
  <c r="P125" i="15"/>
  <c r="Q125" i="15"/>
  <c r="P126" i="15"/>
  <c r="Q126" i="15"/>
  <c r="P127" i="15"/>
  <c r="Q127" i="15"/>
  <c r="P128" i="15"/>
  <c r="Q128" i="15"/>
  <c r="P129" i="15"/>
  <c r="Q129" i="15"/>
  <c r="P130" i="15"/>
  <c r="Q130" i="15"/>
  <c r="P131" i="15"/>
  <c r="Q131" i="15"/>
  <c r="P132" i="15"/>
  <c r="Q132" i="15"/>
  <c r="P133" i="15"/>
  <c r="Q133" i="15"/>
  <c r="P134" i="15"/>
  <c r="Q134" i="15"/>
  <c r="P135" i="15"/>
  <c r="Q135" i="15"/>
  <c r="Q104" i="15"/>
  <c r="P104" i="15"/>
  <c r="P56" i="15"/>
  <c r="P57" i="15"/>
  <c r="P58" i="15"/>
  <c r="P59" i="15"/>
  <c r="P60" i="15"/>
  <c r="P61" i="15"/>
  <c r="P62" i="15"/>
  <c r="P63" i="15"/>
  <c r="P64" i="15"/>
  <c r="P65" i="15"/>
  <c r="P66" i="15"/>
  <c r="P67" i="15"/>
  <c r="P68" i="15"/>
  <c r="P69" i="15"/>
  <c r="P70" i="15"/>
  <c r="P71" i="15"/>
  <c r="P72" i="15"/>
  <c r="P73" i="15"/>
  <c r="P74" i="15"/>
  <c r="P75" i="15"/>
  <c r="P76" i="15"/>
  <c r="P77" i="15"/>
  <c r="P78" i="15"/>
  <c r="P79" i="15"/>
  <c r="P80" i="15"/>
  <c r="P81" i="15"/>
  <c r="P82" i="15"/>
  <c r="P83" i="15"/>
  <c r="P84" i="15"/>
  <c r="P85" i="15"/>
  <c r="P86" i="15"/>
  <c r="P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55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6" i="15"/>
  <c r="N46" i="15"/>
  <c r="N45" i="15"/>
  <c r="N44" i="15"/>
  <c r="N43" i="15"/>
  <c r="N42" i="15"/>
  <c r="N95" i="15"/>
  <c r="N94" i="15"/>
  <c r="N93" i="15"/>
  <c r="N92" i="15"/>
  <c r="N91" i="15"/>
  <c r="N144" i="15"/>
  <c r="N143" i="15"/>
  <c r="N142" i="15"/>
  <c r="N141" i="15"/>
  <c r="N140" i="15"/>
  <c r="N193" i="15"/>
  <c r="N192" i="15"/>
  <c r="N191" i="15"/>
  <c r="N190" i="15"/>
  <c r="N189" i="15"/>
  <c r="N242" i="15"/>
  <c r="N241" i="15"/>
  <c r="N240" i="15"/>
  <c r="N239" i="15"/>
  <c r="N238" i="15"/>
  <c r="K6" i="15"/>
  <c r="K231" i="15"/>
  <c r="K230" i="15"/>
  <c r="K229" i="15"/>
  <c r="K228" i="15"/>
  <c r="K227" i="15"/>
  <c r="K226" i="15"/>
  <c r="K225" i="15"/>
  <c r="K224" i="15"/>
  <c r="K223" i="15"/>
  <c r="K222" i="15"/>
  <c r="K221" i="15"/>
  <c r="K220" i="15"/>
  <c r="K219" i="15"/>
  <c r="K218" i="15"/>
  <c r="K217" i="15"/>
  <c r="K216" i="15"/>
  <c r="K215" i="15"/>
  <c r="K214" i="15"/>
  <c r="K213" i="15"/>
  <c r="K212" i="15"/>
  <c r="K211" i="15"/>
  <c r="K210" i="15"/>
  <c r="K209" i="15"/>
  <c r="K208" i="15"/>
  <c r="K207" i="15"/>
  <c r="K206" i="15"/>
  <c r="K205" i="15"/>
  <c r="K204" i="15"/>
  <c r="K203" i="15"/>
  <c r="K202" i="15"/>
  <c r="K183" i="15"/>
  <c r="K182" i="15"/>
  <c r="K181" i="15"/>
  <c r="K180" i="15"/>
  <c r="K179" i="15"/>
  <c r="K178" i="15"/>
  <c r="K177" i="15"/>
  <c r="K176" i="15"/>
  <c r="K175" i="15"/>
  <c r="K174" i="15"/>
  <c r="K173" i="15"/>
  <c r="K172" i="15"/>
  <c r="K171" i="15"/>
  <c r="K170" i="15"/>
  <c r="K169" i="15"/>
  <c r="K168" i="15"/>
  <c r="K167" i="15"/>
  <c r="K166" i="15"/>
  <c r="K165" i="15"/>
  <c r="K164" i="15"/>
  <c r="K163" i="15"/>
  <c r="K162" i="15"/>
  <c r="K161" i="15"/>
  <c r="K160" i="15"/>
  <c r="K159" i="15"/>
  <c r="K189" i="15" s="1"/>
  <c r="K158" i="15"/>
  <c r="K157" i="15"/>
  <c r="K156" i="15"/>
  <c r="K155" i="15"/>
  <c r="K154" i="15"/>
  <c r="K153" i="15"/>
  <c r="K135" i="15"/>
  <c r="K134" i="15"/>
  <c r="K133" i="15"/>
  <c r="K132" i="15"/>
  <c r="K131" i="15"/>
  <c r="K130" i="15"/>
  <c r="K129" i="15"/>
  <c r="K128" i="15"/>
  <c r="K127" i="15"/>
  <c r="K126" i="15"/>
  <c r="K125" i="15"/>
  <c r="K124" i="15"/>
  <c r="K123" i="15"/>
  <c r="K122" i="15"/>
  <c r="K121" i="15"/>
  <c r="K120" i="15"/>
  <c r="K119" i="15"/>
  <c r="K118" i="15"/>
  <c r="K117" i="15"/>
  <c r="K116" i="15"/>
  <c r="K115" i="15"/>
  <c r="K114" i="15"/>
  <c r="K113" i="15"/>
  <c r="K112" i="15"/>
  <c r="K111" i="15"/>
  <c r="K110" i="15"/>
  <c r="K109" i="15"/>
  <c r="K108" i="15"/>
  <c r="K107" i="15"/>
  <c r="K106" i="15"/>
  <c r="K105" i="15"/>
  <c r="K143" i="15" s="1"/>
  <c r="K104" i="15"/>
  <c r="K86" i="15"/>
  <c r="K85" i="15"/>
  <c r="K84" i="15"/>
  <c r="K83" i="15"/>
  <c r="K82" i="15"/>
  <c r="K81" i="15"/>
  <c r="K80" i="15"/>
  <c r="K79" i="15"/>
  <c r="K78" i="15"/>
  <c r="K77" i="15"/>
  <c r="K76" i="15"/>
  <c r="K75" i="15"/>
  <c r="K74" i="15"/>
  <c r="K73" i="15"/>
  <c r="K72" i="15"/>
  <c r="K71" i="15"/>
  <c r="K70" i="15"/>
  <c r="K69" i="15"/>
  <c r="K68" i="15"/>
  <c r="K67" i="15"/>
  <c r="K66" i="15"/>
  <c r="K65" i="15"/>
  <c r="K64" i="15"/>
  <c r="K63" i="15"/>
  <c r="K62" i="15"/>
  <c r="K61" i="15"/>
  <c r="K60" i="15"/>
  <c r="K59" i="15"/>
  <c r="K58" i="15"/>
  <c r="K57" i="15"/>
  <c r="K56" i="15"/>
  <c r="K55" i="15"/>
  <c r="K7" i="15"/>
  <c r="K43" i="15" s="1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Q6" i="15"/>
  <c r="I165" i="15"/>
  <c r="I37" i="15"/>
  <c r="X33" i="9"/>
  <c r="X32" i="9"/>
  <c r="X31" i="9"/>
  <c r="X30" i="9"/>
  <c r="X27" i="9"/>
  <c r="X26" i="9"/>
  <c r="X25" i="9"/>
  <c r="X24" i="9"/>
  <c r="X23" i="9"/>
  <c r="X22" i="9"/>
  <c r="X21" i="9"/>
  <c r="X20" i="9"/>
  <c r="X19" i="9"/>
  <c r="X18" i="9"/>
  <c r="X17" i="9"/>
  <c r="X16" i="9"/>
  <c r="X15" i="9"/>
  <c r="X14" i="9"/>
  <c r="X13" i="9"/>
  <c r="X12" i="9"/>
  <c r="X11" i="9"/>
  <c r="X10" i="9"/>
  <c r="X9" i="9"/>
  <c r="X8" i="9"/>
  <c r="X7" i="9"/>
  <c r="X6" i="9"/>
  <c r="X5" i="9"/>
  <c r="X40" i="9" s="1"/>
  <c r="X4" i="9"/>
  <c r="T33" i="9"/>
  <c r="T32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T11" i="9"/>
  <c r="T10" i="9"/>
  <c r="T9" i="9"/>
  <c r="T8" i="9"/>
  <c r="T7" i="9"/>
  <c r="T6" i="9"/>
  <c r="T5" i="9"/>
  <c r="T41" i="9" s="1"/>
  <c r="T4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40" i="9" s="1"/>
  <c r="P7" i="9"/>
  <c r="P6" i="9"/>
  <c r="P5" i="9"/>
  <c r="P4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1" i="9" s="1"/>
  <c r="L4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40" i="9" s="1"/>
  <c r="H7" i="9"/>
  <c r="H6" i="9"/>
  <c r="H5" i="9"/>
  <c r="H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4" i="9"/>
  <c r="D41" i="9" s="1"/>
  <c r="I103" i="6"/>
  <c r="J103" i="6"/>
  <c r="I104" i="6"/>
  <c r="J104" i="6" s="1"/>
  <c r="I105" i="6"/>
  <c r="J105" i="6"/>
  <c r="I106" i="6"/>
  <c r="J106" i="6" s="1"/>
  <c r="I107" i="6"/>
  <c r="J107" i="6"/>
  <c r="I108" i="6"/>
  <c r="J108" i="6" s="1"/>
  <c r="I109" i="6"/>
  <c r="J109" i="6"/>
  <c r="L109" i="6"/>
  <c r="I110" i="6"/>
  <c r="J110" i="6" s="1"/>
  <c r="I111" i="6"/>
  <c r="J111" i="6"/>
  <c r="I112" i="6"/>
  <c r="J112" i="6"/>
  <c r="I113" i="6"/>
  <c r="J113" i="6" s="1"/>
  <c r="I114" i="6"/>
  <c r="J114" i="6"/>
  <c r="I115" i="6"/>
  <c r="J115" i="6"/>
  <c r="I116" i="6"/>
  <c r="J116" i="6" s="1"/>
  <c r="I103" i="1"/>
  <c r="J103" i="1"/>
  <c r="I104" i="1"/>
  <c r="J104" i="1"/>
  <c r="I105" i="1"/>
  <c r="J105" i="1" s="1"/>
  <c r="I106" i="1"/>
  <c r="J106" i="1"/>
  <c r="I107" i="1"/>
  <c r="J107" i="1"/>
  <c r="I108" i="1"/>
  <c r="J108" i="1" s="1"/>
  <c r="I109" i="1"/>
  <c r="J109" i="1"/>
  <c r="I110" i="1"/>
  <c r="J110" i="1"/>
  <c r="I111" i="1"/>
  <c r="J111" i="1" s="1"/>
  <c r="I112" i="1"/>
  <c r="J112" i="1"/>
  <c r="I113" i="1"/>
  <c r="J113" i="1"/>
  <c r="I114" i="1"/>
  <c r="J114" i="1" s="1"/>
  <c r="I115" i="1"/>
  <c r="J115" i="1"/>
  <c r="I103" i="2"/>
  <c r="J103" i="2"/>
  <c r="I104" i="2"/>
  <c r="J104" i="2" s="1"/>
  <c r="I105" i="2"/>
  <c r="J105" i="2"/>
  <c r="I106" i="2"/>
  <c r="J106" i="2"/>
  <c r="I107" i="2"/>
  <c r="J107" i="2" s="1"/>
  <c r="I108" i="2"/>
  <c r="J108" i="2"/>
  <c r="I109" i="2"/>
  <c r="J109" i="2"/>
  <c r="I110" i="2"/>
  <c r="J110" i="2" s="1"/>
  <c r="I111" i="2"/>
  <c r="J111" i="2"/>
  <c r="I112" i="2"/>
  <c r="J112" i="2"/>
  <c r="I113" i="2"/>
  <c r="J113" i="2" s="1"/>
  <c r="C105" i="15"/>
  <c r="C106" i="15"/>
  <c r="C107" i="15"/>
  <c r="C108" i="15"/>
  <c r="C109" i="15"/>
  <c r="S39" i="9"/>
  <c r="K42" i="9"/>
  <c r="C130" i="15"/>
  <c r="C131" i="15"/>
  <c r="C132" i="15"/>
  <c r="C133" i="15"/>
  <c r="C134" i="15"/>
  <c r="C135" i="15"/>
  <c r="C122" i="15"/>
  <c r="C123" i="15"/>
  <c r="C124" i="15"/>
  <c r="C125" i="15"/>
  <c r="C126" i="15"/>
  <c r="C127" i="15"/>
  <c r="C128" i="15"/>
  <c r="C12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J22" i="9"/>
  <c r="J23" i="9"/>
  <c r="J24" i="9"/>
  <c r="J25" i="9"/>
  <c r="J26" i="9"/>
  <c r="J27" i="9"/>
  <c r="J28" i="9"/>
  <c r="J19" i="9"/>
  <c r="J20" i="9"/>
  <c r="J21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K192" i="15"/>
  <c r="J46" i="15"/>
  <c r="J45" i="15"/>
  <c r="J44" i="15"/>
  <c r="J43" i="15"/>
  <c r="J42" i="15"/>
  <c r="J95" i="15"/>
  <c r="J94" i="15"/>
  <c r="J93" i="15"/>
  <c r="J92" i="15"/>
  <c r="J91" i="15"/>
  <c r="J144" i="15"/>
  <c r="J143" i="15"/>
  <c r="J142" i="15"/>
  <c r="J141" i="15"/>
  <c r="J140" i="15"/>
  <c r="J193" i="15"/>
  <c r="J192" i="15"/>
  <c r="J191" i="15"/>
  <c r="J190" i="15"/>
  <c r="J189" i="15"/>
  <c r="J242" i="15"/>
  <c r="J241" i="15"/>
  <c r="J240" i="15"/>
  <c r="J239" i="15"/>
  <c r="J238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O291" i="15"/>
  <c r="O290" i="15"/>
  <c r="O289" i="15"/>
  <c r="O288" i="15"/>
  <c r="O287" i="15"/>
  <c r="O242" i="15"/>
  <c r="O241" i="15"/>
  <c r="O240" i="15"/>
  <c r="O239" i="15"/>
  <c r="O238" i="15"/>
  <c r="O193" i="15"/>
  <c r="O192" i="15"/>
  <c r="O191" i="15"/>
  <c r="O190" i="15"/>
  <c r="O189" i="15"/>
  <c r="O144" i="15"/>
  <c r="O143" i="15"/>
  <c r="O142" i="15"/>
  <c r="O141" i="15"/>
  <c r="O140" i="15"/>
  <c r="O95" i="15"/>
  <c r="O94" i="15"/>
  <c r="O93" i="15"/>
  <c r="O92" i="15"/>
  <c r="O91" i="15"/>
  <c r="O46" i="15"/>
  <c r="O45" i="15"/>
  <c r="O44" i="15"/>
  <c r="O43" i="15"/>
  <c r="O42" i="15"/>
  <c r="S25" i="15"/>
  <c r="S74" i="15" s="1"/>
  <c r="S123" i="15" s="1"/>
  <c r="S172" i="15" s="1"/>
  <c r="S221" i="15" s="1"/>
  <c r="S24" i="15"/>
  <c r="S73" i="15" s="1"/>
  <c r="S122" i="15" s="1"/>
  <c r="S171" i="15" s="1"/>
  <c r="S220" i="15" s="1"/>
  <c r="S58" i="15"/>
  <c r="S107" i="15" s="1"/>
  <c r="S156" i="15" s="1"/>
  <c r="S205" i="15" s="1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82" i="4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K287" i="15"/>
  <c r="K144" i="15"/>
  <c r="K142" i="15"/>
  <c r="K140" i="15"/>
  <c r="K291" i="15"/>
  <c r="K290" i="15"/>
  <c r="K289" i="15"/>
  <c r="K288" i="15"/>
  <c r="K190" i="15"/>
  <c r="K94" i="15"/>
  <c r="I280" i="15"/>
  <c r="L280" i="15"/>
  <c r="I281" i="15"/>
  <c r="L281" i="15" s="1"/>
  <c r="I282" i="15"/>
  <c r="L282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51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02" i="15"/>
  <c r="C18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53" i="15"/>
  <c r="C104" i="15"/>
  <c r="L272" i="6"/>
  <c r="L262" i="6"/>
  <c r="L261" i="6"/>
  <c r="L251" i="6"/>
  <c r="L268" i="1"/>
  <c r="L253" i="1"/>
  <c r="C50" i="15"/>
  <c r="C99" i="15"/>
  <c r="C148" i="15"/>
  <c r="C197" i="15" s="1"/>
  <c r="C246" i="15"/>
  <c r="I179" i="6"/>
  <c r="J179" i="6"/>
  <c r="C179" i="6"/>
  <c r="Q179" i="6" s="1"/>
  <c r="I215" i="2"/>
  <c r="I179" i="2"/>
  <c r="C179" i="2"/>
  <c r="I119" i="2"/>
  <c r="J119" i="2" s="1"/>
  <c r="I179" i="1"/>
  <c r="J179" i="1"/>
  <c r="C179" i="1"/>
  <c r="Q179" i="1" s="1"/>
  <c r="R51" i="1"/>
  <c r="R259" i="19"/>
  <c r="R258" i="19"/>
  <c r="R257" i="19"/>
  <c r="R256" i="19"/>
  <c r="R255" i="19"/>
  <c r="R254" i="19"/>
  <c r="R253" i="19"/>
  <c r="R252" i="19"/>
  <c r="R251" i="19"/>
  <c r="R250" i="19"/>
  <c r="R249" i="19"/>
  <c r="R248" i="19"/>
  <c r="R247" i="19"/>
  <c r="R246" i="19"/>
  <c r="R245" i="19"/>
  <c r="R244" i="19"/>
  <c r="R243" i="19"/>
  <c r="R242" i="19"/>
  <c r="R241" i="19"/>
  <c r="R240" i="19"/>
  <c r="R239" i="19"/>
  <c r="R238" i="19"/>
  <c r="R237" i="19"/>
  <c r="R236" i="19"/>
  <c r="R235" i="19"/>
  <c r="R234" i="19"/>
  <c r="R233" i="19"/>
  <c r="R232" i="19"/>
  <c r="R231" i="19"/>
  <c r="R230" i="19"/>
  <c r="R229" i="19"/>
  <c r="R228" i="19"/>
  <c r="R227" i="19"/>
  <c r="R214" i="19"/>
  <c r="R213" i="19"/>
  <c r="R212" i="19"/>
  <c r="R211" i="19"/>
  <c r="R210" i="19"/>
  <c r="R209" i="19"/>
  <c r="R208" i="19"/>
  <c r="R207" i="19"/>
  <c r="R206" i="19"/>
  <c r="R205" i="19"/>
  <c r="R204" i="19"/>
  <c r="R203" i="19"/>
  <c r="R202" i="19"/>
  <c r="R201" i="19"/>
  <c r="R200" i="19"/>
  <c r="R199" i="19"/>
  <c r="R198" i="19"/>
  <c r="R197" i="19"/>
  <c r="R196" i="19"/>
  <c r="R195" i="19"/>
  <c r="R194" i="19"/>
  <c r="R193" i="19"/>
  <c r="R192" i="19"/>
  <c r="R191" i="19"/>
  <c r="R190" i="19"/>
  <c r="R189" i="19"/>
  <c r="R188" i="19"/>
  <c r="R187" i="19"/>
  <c r="R186" i="19"/>
  <c r="R185" i="19"/>
  <c r="R184" i="19"/>
  <c r="R183" i="19"/>
  <c r="R170" i="19"/>
  <c r="R169" i="19"/>
  <c r="R168" i="19"/>
  <c r="R167" i="19"/>
  <c r="R166" i="19"/>
  <c r="R165" i="19"/>
  <c r="R164" i="19"/>
  <c r="R163" i="19"/>
  <c r="R162" i="19"/>
  <c r="R161" i="19"/>
  <c r="R160" i="19"/>
  <c r="R159" i="19"/>
  <c r="R158" i="19"/>
  <c r="R157" i="19"/>
  <c r="R156" i="19"/>
  <c r="R155" i="19"/>
  <c r="R154" i="19"/>
  <c r="R153" i="19"/>
  <c r="R152" i="19"/>
  <c r="R151" i="19"/>
  <c r="R150" i="19"/>
  <c r="R149" i="19"/>
  <c r="R148" i="19"/>
  <c r="R147" i="19"/>
  <c r="R146" i="19"/>
  <c r="R145" i="19"/>
  <c r="R144" i="19"/>
  <c r="R143" i="19"/>
  <c r="R142" i="19"/>
  <c r="R141" i="19"/>
  <c r="R140" i="19"/>
  <c r="R139" i="19"/>
  <c r="R126" i="19"/>
  <c r="R125" i="19"/>
  <c r="R124" i="19"/>
  <c r="R123" i="19"/>
  <c r="R122" i="19"/>
  <c r="R121" i="19"/>
  <c r="R120" i="19"/>
  <c r="R119" i="19"/>
  <c r="R118" i="19"/>
  <c r="R117" i="19"/>
  <c r="R116" i="19"/>
  <c r="R115" i="19"/>
  <c r="R114" i="19"/>
  <c r="R113" i="19"/>
  <c r="R112" i="19"/>
  <c r="R111" i="19"/>
  <c r="R110" i="19"/>
  <c r="R109" i="19"/>
  <c r="R108" i="19"/>
  <c r="R107" i="19"/>
  <c r="R106" i="19"/>
  <c r="R105" i="19"/>
  <c r="R104" i="19"/>
  <c r="R103" i="19"/>
  <c r="R102" i="19"/>
  <c r="R101" i="19"/>
  <c r="R100" i="19"/>
  <c r="R99" i="19"/>
  <c r="R98" i="19"/>
  <c r="R97" i="19"/>
  <c r="R96" i="19"/>
  <c r="R95" i="19"/>
  <c r="R82" i="19"/>
  <c r="R81" i="19"/>
  <c r="R80" i="19"/>
  <c r="R79" i="19"/>
  <c r="R78" i="19"/>
  <c r="R77" i="19"/>
  <c r="R76" i="19"/>
  <c r="R75" i="19"/>
  <c r="R74" i="19"/>
  <c r="R73" i="19"/>
  <c r="R72" i="19"/>
  <c r="R71" i="19"/>
  <c r="R70" i="19"/>
  <c r="R69" i="19"/>
  <c r="R68" i="19"/>
  <c r="R67" i="19"/>
  <c r="R66" i="19"/>
  <c r="R65" i="19"/>
  <c r="R64" i="19"/>
  <c r="R63" i="19"/>
  <c r="R62" i="19"/>
  <c r="R61" i="19"/>
  <c r="R60" i="19"/>
  <c r="R59" i="19"/>
  <c r="R58" i="19"/>
  <c r="R57" i="19"/>
  <c r="R56" i="19"/>
  <c r="R55" i="19"/>
  <c r="R54" i="19"/>
  <c r="R53" i="19"/>
  <c r="R52" i="19"/>
  <c r="R51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7" i="19"/>
  <c r="A46" i="19"/>
  <c r="A90" i="19" s="1"/>
  <c r="A134" i="19" s="1"/>
  <c r="A178" i="19" s="1"/>
  <c r="A222" i="19" s="1"/>
  <c r="I279" i="15"/>
  <c r="L279" i="15" s="1"/>
  <c r="I278" i="15"/>
  <c r="L278" i="15" s="1"/>
  <c r="I277" i="15"/>
  <c r="L277" i="15"/>
  <c r="I276" i="15"/>
  <c r="L276" i="15"/>
  <c r="I275" i="15"/>
  <c r="L275" i="15" s="1"/>
  <c r="I274" i="15"/>
  <c r="L274" i="15"/>
  <c r="I273" i="15"/>
  <c r="L273" i="15" s="1"/>
  <c r="I272" i="15"/>
  <c r="L272" i="15" s="1"/>
  <c r="I271" i="15"/>
  <c r="L271" i="15" s="1"/>
  <c r="I270" i="15"/>
  <c r="L270" i="15"/>
  <c r="I269" i="15"/>
  <c r="L269" i="15" s="1"/>
  <c r="I268" i="15"/>
  <c r="L268" i="15"/>
  <c r="I267" i="15"/>
  <c r="L267" i="15" s="1"/>
  <c r="I266" i="15"/>
  <c r="L266" i="15"/>
  <c r="I265" i="15"/>
  <c r="L265" i="15" s="1"/>
  <c r="I264" i="15"/>
  <c r="L264" i="15"/>
  <c r="I263" i="15"/>
  <c r="L263" i="15" s="1"/>
  <c r="I262" i="15"/>
  <c r="L262" i="15"/>
  <c r="I261" i="15"/>
  <c r="L261" i="15" s="1"/>
  <c r="I260" i="15"/>
  <c r="L260" i="15"/>
  <c r="I259" i="15"/>
  <c r="L259" i="15"/>
  <c r="I258" i="15"/>
  <c r="L258" i="15"/>
  <c r="I257" i="15"/>
  <c r="L257" i="15" s="1"/>
  <c r="I256" i="15"/>
  <c r="L256" i="15"/>
  <c r="I255" i="15"/>
  <c r="L255" i="15" s="1"/>
  <c r="I254" i="15"/>
  <c r="L254" i="15" s="1"/>
  <c r="I253" i="15"/>
  <c r="L253" i="15"/>
  <c r="I252" i="15"/>
  <c r="L252" i="15"/>
  <c r="I251" i="15"/>
  <c r="I39" i="6"/>
  <c r="J39" i="6" s="1"/>
  <c r="R239" i="1"/>
  <c r="R239" i="2"/>
  <c r="R192" i="1"/>
  <c r="R192" i="2"/>
  <c r="R145" i="1"/>
  <c r="R145" i="2"/>
  <c r="R98" i="2"/>
  <c r="I119" i="1"/>
  <c r="J119" i="1"/>
  <c r="R98" i="1"/>
  <c r="R51" i="2"/>
  <c r="I86" i="1"/>
  <c r="C39" i="6"/>
  <c r="R4" i="2"/>
  <c r="R4" i="1"/>
  <c r="I39" i="2"/>
  <c r="J39" i="2"/>
  <c r="C39" i="1"/>
  <c r="I225" i="1"/>
  <c r="J225" i="1" s="1"/>
  <c r="I215" i="1"/>
  <c r="L277" i="5"/>
  <c r="L273" i="5"/>
  <c r="L270" i="5"/>
  <c r="L259" i="5"/>
  <c r="L257" i="5"/>
  <c r="L245" i="5"/>
  <c r="L230" i="5"/>
  <c r="L229" i="5"/>
  <c r="L228" i="5"/>
  <c r="L226" i="5"/>
  <c r="L218" i="5"/>
  <c r="L196" i="5"/>
  <c r="L183" i="5"/>
  <c r="L182" i="5"/>
  <c r="L181" i="5"/>
  <c r="L177" i="5"/>
  <c r="L170" i="5"/>
  <c r="L160" i="5"/>
  <c r="L153" i="5"/>
  <c r="L149" i="5"/>
  <c r="L136" i="5"/>
  <c r="L134" i="5"/>
  <c r="L133" i="5"/>
  <c r="L129" i="5"/>
  <c r="L122" i="5"/>
  <c r="L115" i="5"/>
  <c r="L114" i="5"/>
  <c r="L112" i="5"/>
  <c r="L105" i="5"/>
  <c r="L103" i="5"/>
  <c r="L89" i="5"/>
  <c r="L86" i="5"/>
  <c r="L70" i="5"/>
  <c r="L67" i="5"/>
  <c r="L66" i="5"/>
  <c r="L64" i="5"/>
  <c r="L57" i="5"/>
  <c r="L42" i="5"/>
  <c r="L33" i="5"/>
  <c r="L26" i="5"/>
  <c r="L25" i="5"/>
  <c r="L22" i="5"/>
  <c r="L21" i="5"/>
  <c r="L19" i="5"/>
  <c r="L18" i="5"/>
  <c r="L10" i="5"/>
  <c r="B35" i="9"/>
  <c r="I39" i="1"/>
  <c r="J39" i="1"/>
  <c r="R239" i="6"/>
  <c r="R192" i="6"/>
  <c r="R145" i="6"/>
  <c r="R98" i="6"/>
  <c r="R51" i="6"/>
  <c r="R4" i="6"/>
  <c r="W42" i="9"/>
  <c r="N34" i="9"/>
  <c r="Q273" i="2"/>
  <c r="Q274" i="2"/>
  <c r="Q275" i="2"/>
  <c r="I225" i="2"/>
  <c r="Q226" i="2"/>
  <c r="Q227" i="2"/>
  <c r="Q228" i="2"/>
  <c r="Q228" i="1"/>
  <c r="I133" i="1"/>
  <c r="I273" i="1"/>
  <c r="I272" i="1"/>
  <c r="I271" i="1"/>
  <c r="I270" i="1"/>
  <c r="I269" i="1"/>
  <c r="I268" i="1"/>
  <c r="J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24" i="1"/>
  <c r="I223" i="1"/>
  <c r="I222" i="1"/>
  <c r="J222" i="1" s="1"/>
  <c r="I221" i="1"/>
  <c r="I220" i="1"/>
  <c r="I219" i="1"/>
  <c r="I218" i="1"/>
  <c r="I217" i="1"/>
  <c r="J217" i="1"/>
  <c r="I216" i="1"/>
  <c r="I214" i="1"/>
  <c r="I213" i="1"/>
  <c r="I212" i="1"/>
  <c r="J212" i="1"/>
  <c r="I211" i="1"/>
  <c r="I210" i="1"/>
  <c r="I209" i="1"/>
  <c r="I208" i="1"/>
  <c r="I207" i="1"/>
  <c r="I206" i="1"/>
  <c r="I205" i="1"/>
  <c r="J205" i="1" s="1"/>
  <c r="I204" i="1"/>
  <c r="I203" i="1"/>
  <c r="I202" i="1"/>
  <c r="J202" i="1" s="1"/>
  <c r="I201" i="1"/>
  <c r="I200" i="1"/>
  <c r="I199" i="1"/>
  <c r="I198" i="1"/>
  <c r="I197" i="1"/>
  <c r="I196" i="1"/>
  <c r="I178" i="1"/>
  <c r="I177" i="1"/>
  <c r="I176" i="1"/>
  <c r="I175" i="1"/>
  <c r="I174" i="1"/>
  <c r="I173" i="1"/>
  <c r="I172" i="1"/>
  <c r="I171" i="1"/>
  <c r="I170" i="1"/>
  <c r="I169" i="1"/>
  <c r="I168" i="1"/>
  <c r="J168" i="1"/>
  <c r="I167" i="1"/>
  <c r="I166" i="1"/>
  <c r="I165" i="1"/>
  <c r="I164" i="1"/>
  <c r="J164" i="1" s="1"/>
  <c r="I163" i="1"/>
  <c r="I162" i="1"/>
  <c r="I161" i="1"/>
  <c r="I160" i="1"/>
  <c r="I159" i="1"/>
  <c r="J159" i="1"/>
  <c r="I158" i="1"/>
  <c r="J158" i="1"/>
  <c r="I157" i="1"/>
  <c r="J157" i="1" s="1"/>
  <c r="I156" i="1"/>
  <c r="I155" i="1"/>
  <c r="J155" i="1" s="1"/>
  <c r="I154" i="1"/>
  <c r="I153" i="1"/>
  <c r="I152" i="1"/>
  <c r="J152" i="1" s="1"/>
  <c r="I151" i="1"/>
  <c r="I150" i="1"/>
  <c r="I149" i="1"/>
  <c r="I132" i="1"/>
  <c r="I131" i="1"/>
  <c r="I130" i="1"/>
  <c r="I129" i="1"/>
  <c r="J129" i="1" s="1"/>
  <c r="I128" i="1"/>
  <c r="I127" i="1"/>
  <c r="I126" i="1"/>
  <c r="I125" i="1"/>
  <c r="I124" i="1"/>
  <c r="I123" i="1"/>
  <c r="J123" i="1" s="1"/>
  <c r="L123" i="1" s="1"/>
  <c r="D125" i="15" s="1"/>
  <c r="I122" i="1"/>
  <c r="I121" i="1"/>
  <c r="I120" i="1"/>
  <c r="I118" i="1"/>
  <c r="I117" i="1"/>
  <c r="I116" i="1"/>
  <c r="I102" i="1"/>
  <c r="I85" i="1"/>
  <c r="I84" i="1"/>
  <c r="I83" i="1"/>
  <c r="I82" i="1"/>
  <c r="J82" i="1"/>
  <c r="I81" i="1"/>
  <c r="J81" i="1"/>
  <c r="I80" i="1"/>
  <c r="I79" i="1"/>
  <c r="I78" i="1"/>
  <c r="I77" i="1"/>
  <c r="I76" i="1"/>
  <c r="I75" i="1"/>
  <c r="J75" i="1" s="1"/>
  <c r="I74" i="1"/>
  <c r="I73" i="1"/>
  <c r="I72" i="1"/>
  <c r="I71" i="1"/>
  <c r="J71" i="1" s="1"/>
  <c r="I70" i="1"/>
  <c r="I69" i="1"/>
  <c r="I68" i="1"/>
  <c r="I67" i="1"/>
  <c r="I66" i="1"/>
  <c r="I65" i="1"/>
  <c r="I64" i="1"/>
  <c r="I63" i="1"/>
  <c r="J63" i="1" s="1"/>
  <c r="I62" i="1"/>
  <c r="I61" i="1"/>
  <c r="J61" i="1"/>
  <c r="I60" i="1"/>
  <c r="I59" i="1"/>
  <c r="I58" i="1"/>
  <c r="I57" i="1"/>
  <c r="I56" i="1"/>
  <c r="I55" i="1"/>
  <c r="I9" i="1"/>
  <c r="I10" i="1"/>
  <c r="J10" i="1" s="1"/>
  <c r="I11" i="1"/>
  <c r="I12" i="1"/>
  <c r="I13" i="1"/>
  <c r="I14" i="1"/>
  <c r="J14" i="1" s="1"/>
  <c r="I15" i="1"/>
  <c r="I16" i="1"/>
  <c r="I17" i="1"/>
  <c r="I18" i="1"/>
  <c r="I19" i="1"/>
  <c r="I20" i="1"/>
  <c r="I21" i="1"/>
  <c r="I22" i="1"/>
  <c r="J22" i="1" s="1"/>
  <c r="I23" i="1"/>
  <c r="I24" i="1"/>
  <c r="I25" i="1"/>
  <c r="J25" i="1" s="1"/>
  <c r="I26" i="1"/>
  <c r="J26" i="1" s="1"/>
  <c r="I27" i="1"/>
  <c r="I28" i="1"/>
  <c r="I29" i="1"/>
  <c r="I30" i="1"/>
  <c r="I31" i="1"/>
  <c r="J31" i="1"/>
  <c r="I32" i="1"/>
  <c r="I33" i="1"/>
  <c r="I34" i="1"/>
  <c r="I35" i="1"/>
  <c r="J35" i="1"/>
  <c r="I36" i="1"/>
  <c r="I37" i="1"/>
  <c r="I38" i="1"/>
  <c r="J38" i="1" s="1"/>
  <c r="I8" i="1"/>
  <c r="J8" i="1"/>
  <c r="H53" i="2"/>
  <c r="H100" i="2" s="1"/>
  <c r="G53" i="2"/>
  <c r="G100" i="2"/>
  <c r="F53" i="2"/>
  <c r="F100" i="2" s="1"/>
  <c r="E53" i="2"/>
  <c r="E100" i="2"/>
  <c r="D53" i="2"/>
  <c r="D100" i="2" s="1"/>
  <c r="E53" i="1"/>
  <c r="E100" i="1" s="1"/>
  <c r="F53" i="1"/>
  <c r="F100" i="1"/>
  <c r="G53" i="1"/>
  <c r="G100" i="1"/>
  <c r="H53" i="1"/>
  <c r="H100" i="1" s="1"/>
  <c r="H147" i="1" s="1"/>
  <c r="H194" i="1" s="1"/>
  <c r="H241" i="1" s="1"/>
  <c r="D53" i="1"/>
  <c r="D100" i="1" s="1"/>
  <c r="B96" i="19"/>
  <c r="S96" i="19" s="1"/>
  <c r="B97" i="19"/>
  <c r="S97" i="19"/>
  <c r="B98" i="19"/>
  <c r="S98" i="19"/>
  <c r="B99" i="19"/>
  <c r="S99" i="19" s="1"/>
  <c r="B100" i="19"/>
  <c r="S100" i="19"/>
  <c r="B101" i="19"/>
  <c r="S101" i="19" s="1"/>
  <c r="B102" i="19"/>
  <c r="S102" i="19" s="1"/>
  <c r="B103" i="19"/>
  <c r="S103" i="19"/>
  <c r="B104" i="19"/>
  <c r="S104" i="19"/>
  <c r="B105" i="19"/>
  <c r="S105" i="19" s="1"/>
  <c r="B106" i="19"/>
  <c r="S106" i="19" s="1"/>
  <c r="B107" i="19"/>
  <c r="S107" i="19" s="1"/>
  <c r="B108" i="19"/>
  <c r="S108" i="19" s="1"/>
  <c r="B109" i="19"/>
  <c r="S109" i="19"/>
  <c r="B110" i="19"/>
  <c r="S110" i="19" s="1"/>
  <c r="B111" i="19"/>
  <c r="S111" i="19" s="1"/>
  <c r="B112" i="19"/>
  <c r="S112" i="19"/>
  <c r="B113" i="19"/>
  <c r="S113" i="19" s="1"/>
  <c r="B114" i="19"/>
  <c r="S114" i="19"/>
  <c r="B115" i="19"/>
  <c r="S115" i="19"/>
  <c r="B116" i="19"/>
  <c r="S116" i="19" s="1"/>
  <c r="B117" i="19"/>
  <c r="S117" i="19" s="1"/>
  <c r="B118" i="19"/>
  <c r="S118" i="19" s="1"/>
  <c r="B119" i="19"/>
  <c r="S119" i="19" s="1"/>
  <c r="B120" i="19"/>
  <c r="S120" i="19" s="1"/>
  <c r="B121" i="19"/>
  <c r="S121" i="19"/>
  <c r="B122" i="19"/>
  <c r="S122" i="19"/>
  <c r="B123" i="19"/>
  <c r="S123" i="19" s="1"/>
  <c r="B124" i="19"/>
  <c r="S124" i="19"/>
  <c r="B125" i="19"/>
  <c r="S125" i="19" s="1"/>
  <c r="B126" i="19"/>
  <c r="S126" i="19"/>
  <c r="B127" i="19"/>
  <c r="B140" i="19"/>
  <c r="S140" i="19" s="1"/>
  <c r="B141" i="19"/>
  <c r="S141" i="19" s="1"/>
  <c r="B142" i="19"/>
  <c r="S142" i="19"/>
  <c r="B143" i="19"/>
  <c r="S143" i="19" s="1"/>
  <c r="B144" i="19"/>
  <c r="S144" i="19"/>
  <c r="B145" i="19"/>
  <c r="S145" i="19" s="1"/>
  <c r="B146" i="19"/>
  <c r="S146" i="19"/>
  <c r="B147" i="19"/>
  <c r="S147" i="19" s="1"/>
  <c r="B148" i="19"/>
  <c r="S148" i="19"/>
  <c r="B149" i="19"/>
  <c r="S149" i="19" s="1"/>
  <c r="B150" i="19"/>
  <c r="S150" i="19"/>
  <c r="B151" i="19"/>
  <c r="S151" i="19" s="1"/>
  <c r="B152" i="19"/>
  <c r="S152" i="19" s="1"/>
  <c r="B153" i="19"/>
  <c r="S153" i="19"/>
  <c r="B154" i="19"/>
  <c r="S154" i="19"/>
  <c r="B155" i="19"/>
  <c r="S155" i="19" s="1"/>
  <c r="B156" i="19"/>
  <c r="S156" i="19"/>
  <c r="B157" i="19"/>
  <c r="S157" i="19" s="1"/>
  <c r="B158" i="19"/>
  <c r="S158" i="19"/>
  <c r="B159" i="19"/>
  <c r="S159" i="19" s="1"/>
  <c r="B160" i="19"/>
  <c r="S160" i="19"/>
  <c r="B161" i="19"/>
  <c r="S161" i="19" s="1"/>
  <c r="B162" i="19"/>
  <c r="S162" i="19"/>
  <c r="B163" i="19"/>
  <c r="S163" i="19" s="1"/>
  <c r="B164" i="19"/>
  <c r="S164" i="19" s="1"/>
  <c r="B165" i="19"/>
  <c r="S165" i="19"/>
  <c r="B166" i="19"/>
  <c r="S166" i="19"/>
  <c r="B167" i="19"/>
  <c r="S167" i="19" s="1"/>
  <c r="B168" i="19"/>
  <c r="S168" i="19"/>
  <c r="B169" i="19"/>
  <c r="S169" i="19" s="1"/>
  <c r="B170" i="19"/>
  <c r="S170" i="19"/>
  <c r="B171" i="19"/>
  <c r="B184" i="19"/>
  <c r="S184" i="19" s="1"/>
  <c r="B185" i="19"/>
  <c r="S185" i="19"/>
  <c r="B186" i="19"/>
  <c r="S186" i="19" s="1"/>
  <c r="B187" i="19"/>
  <c r="S187" i="19"/>
  <c r="B188" i="19"/>
  <c r="S188" i="19"/>
  <c r="B189" i="19"/>
  <c r="S189" i="19"/>
  <c r="B190" i="19"/>
  <c r="S190" i="19" s="1"/>
  <c r="B191" i="19"/>
  <c r="S191" i="19" s="1"/>
  <c r="B192" i="19"/>
  <c r="S192" i="19" s="1"/>
  <c r="B193" i="19"/>
  <c r="S193" i="19" s="1"/>
  <c r="B194" i="19"/>
  <c r="S194" i="19"/>
  <c r="B195" i="19"/>
  <c r="S195" i="19" s="1"/>
  <c r="B196" i="19"/>
  <c r="S196" i="19" s="1"/>
  <c r="B197" i="19"/>
  <c r="S197" i="19"/>
  <c r="B198" i="19"/>
  <c r="S198" i="19" s="1"/>
  <c r="B199" i="19"/>
  <c r="S199" i="19" s="1"/>
  <c r="B200" i="19"/>
  <c r="S200" i="19"/>
  <c r="B201" i="19"/>
  <c r="S201" i="19"/>
  <c r="B202" i="19"/>
  <c r="S202" i="19" s="1"/>
  <c r="B203" i="19"/>
  <c r="S203" i="19" s="1"/>
  <c r="B204" i="19"/>
  <c r="S204" i="19" s="1"/>
  <c r="B205" i="19"/>
  <c r="S205" i="19" s="1"/>
  <c r="B206" i="19"/>
  <c r="S206" i="19"/>
  <c r="B207" i="19"/>
  <c r="S207" i="19" s="1"/>
  <c r="B208" i="19"/>
  <c r="S208" i="19" s="1"/>
  <c r="B209" i="19"/>
  <c r="S209" i="19"/>
  <c r="B210" i="19"/>
  <c r="S210" i="19" s="1"/>
  <c r="B211" i="19"/>
  <c r="S211" i="19"/>
  <c r="B212" i="19"/>
  <c r="S212" i="19"/>
  <c r="B213" i="19"/>
  <c r="S213" i="19" s="1"/>
  <c r="B214" i="19"/>
  <c r="S214" i="19" s="1"/>
  <c r="B215" i="19"/>
  <c r="B228" i="19"/>
  <c r="S228" i="19" s="1"/>
  <c r="B229" i="19"/>
  <c r="S229" i="19"/>
  <c r="B230" i="19"/>
  <c r="S230" i="19" s="1"/>
  <c r="B231" i="19"/>
  <c r="S231" i="19"/>
  <c r="B232" i="19"/>
  <c r="S232" i="19" s="1"/>
  <c r="B233" i="19"/>
  <c r="S233" i="19"/>
  <c r="B234" i="19"/>
  <c r="S234" i="19" s="1"/>
  <c r="B235" i="19"/>
  <c r="S235" i="19"/>
  <c r="B236" i="19"/>
  <c r="S236" i="19" s="1"/>
  <c r="B237" i="19"/>
  <c r="S237" i="19" s="1"/>
  <c r="B238" i="19"/>
  <c r="S238" i="19"/>
  <c r="B239" i="19"/>
  <c r="S239" i="19"/>
  <c r="B240" i="19"/>
  <c r="S240" i="19" s="1"/>
  <c r="B241" i="19"/>
  <c r="S241" i="19"/>
  <c r="B242" i="19"/>
  <c r="S242" i="19" s="1"/>
  <c r="B243" i="19"/>
  <c r="S243" i="19"/>
  <c r="B244" i="19"/>
  <c r="S244" i="19" s="1"/>
  <c r="B245" i="19"/>
  <c r="S245" i="19"/>
  <c r="B246" i="19"/>
  <c r="S246" i="19" s="1"/>
  <c r="B247" i="19"/>
  <c r="S247" i="19"/>
  <c r="B248" i="19"/>
  <c r="S248" i="19" s="1"/>
  <c r="B249" i="19"/>
  <c r="S249" i="19" s="1"/>
  <c r="B250" i="19"/>
  <c r="S250" i="19"/>
  <c r="B251" i="19"/>
  <c r="S251" i="19"/>
  <c r="B252" i="19"/>
  <c r="S252" i="19" s="1"/>
  <c r="B253" i="19"/>
  <c r="S253" i="19"/>
  <c r="B254" i="19"/>
  <c r="S254" i="19" s="1"/>
  <c r="B255" i="19"/>
  <c r="S255" i="19" s="1"/>
  <c r="B256" i="19"/>
  <c r="S256" i="19" s="1"/>
  <c r="B257" i="19"/>
  <c r="S257" i="19"/>
  <c r="B258" i="19"/>
  <c r="S258" i="19" s="1"/>
  <c r="B259" i="19"/>
  <c r="S259" i="19"/>
  <c r="B227" i="19"/>
  <c r="S227" i="19" s="1"/>
  <c r="B183" i="19"/>
  <c r="S183" i="19" s="1"/>
  <c r="B139" i="19"/>
  <c r="S139" i="19" s="1"/>
  <c r="B95" i="19"/>
  <c r="S95" i="19"/>
  <c r="B52" i="19"/>
  <c r="S52" i="19" s="1"/>
  <c r="B53" i="19"/>
  <c r="S53" i="19"/>
  <c r="B54" i="19"/>
  <c r="S54" i="19" s="1"/>
  <c r="B55" i="19"/>
  <c r="S55" i="19"/>
  <c r="B56" i="19"/>
  <c r="S56" i="19" s="1"/>
  <c r="B57" i="19"/>
  <c r="S57" i="19"/>
  <c r="B58" i="19"/>
  <c r="S58" i="19" s="1"/>
  <c r="B59" i="19"/>
  <c r="S59" i="19"/>
  <c r="B60" i="19"/>
  <c r="S60" i="19" s="1"/>
  <c r="B61" i="19"/>
  <c r="S61" i="19"/>
  <c r="B62" i="19"/>
  <c r="S62" i="19"/>
  <c r="B63" i="19"/>
  <c r="S63" i="19"/>
  <c r="B64" i="19"/>
  <c r="S64" i="19" s="1"/>
  <c r="B65" i="19"/>
  <c r="S65" i="19"/>
  <c r="B66" i="19"/>
  <c r="S66" i="19" s="1"/>
  <c r="B67" i="19"/>
  <c r="S67" i="19"/>
  <c r="B68" i="19"/>
  <c r="S68" i="19"/>
  <c r="B69" i="19"/>
  <c r="S69" i="19"/>
  <c r="B70" i="19"/>
  <c r="S70" i="19" s="1"/>
  <c r="B71" i="19"/>
  <c r="S71" i="19"/>
  <c r="B72" i="19"/>
  <c r="S72" i="19" s="1"/>
  <c r="B73" i="19"/>
  <c r="S73" i="19" s="1"/>
  <c r="B74" i="19"/>
  <c r="S74" i="19"/>
  <c r="B75" i="19"/>
  <c r="S75" i="19"/>
  <c r="B76" i="19"/>
  <c r="S76" i="19" s="1"/>
  <c r="B77" i="19"/>
  <c r="S77" i="19"/>
  <c r="B78" i="19"/>
  <c r="S78" i="19" s="1"/>
  <c r="B79" i="19"/>
  <c r="S79" i="19" s="1"/>
  <c r="B80" i="19"/>
  <c r="S80" i="19" s="1"/>
  <c r="B81" i="19"/>
  <c r="S81" i="19"/>
  <c r="B82" i="19"/>
  <c r="S82" i="19" s="1"/>
  <c r="B83" i="19"/>
  <c r="B51" i="19"/>
  <c r="S51" i="19"/>
  <c r="B8" i="19"/>
  <c r="S8" i="19"/>
  <c r="B9" i="19"/>
  <c r="S9" i="19" s="1"/>
  <c r="B10" i="19"/>
  <c r="S10" i="19" s="1"/>
  <c r="B11" i="19"/>
  <c r="S11" i="19" s="1"/>
  <c r="B12" i="19"/>
  <c r="S12" i="19" s="1"/>
  <c r="B13" i="19"/>
  <c r="S13" i="19" s="1"/>
  <c r="B14" i="19"/>
  <c r="S14" i="19"/>
  <c r="B15" i="19"/>
  <c r="S15" i="19"/>
  <c r="B16" i="19"/>
  <c r="S16" i="19" s="1"/>
  <c r="B17" i="19"/>
  <c r="S17" i="19"/>
  <c r="B18" i="19"/>
  <c r="S18" i="19" s="1"/>
  <c r="B19" i="19"/>
  <c r="S19" i="19"/>
  <c r="B20" i="19"/>
  <c r="S20" i="19"/>
  <c r="B21" i="19"/>
  <c r="S21" i="19"/>
  <c r="B22" i="19"/>
  <c r="S22" i="19" s="1"/>
  <c r="B23" i="19"/>
  <c r="S23" i="19"/>
  <c r="B24" i="19"/>
  <c r="S24" i="19" s="1"/>
  <c r="B25" i="19"/>
  <c r="S25" i="19" s="1"/>
  <c r="B26" i="19"/>
  <c r="S26" i="19"/>
  <c r="B27" i="19"/>
  <c r="S27" i="19" s="1"/>
  <c r="B28" i="19"/>
  <c r="S28" i="19" s="1"/>
  <c r="B29" i="19"/>
  <c r="S29" i="19"/>
  <c r="B30" i="19"/>
  <c r="S30" i="19" s="1"/>
  <c r="B31" i="19"/>
  <c r="S31" i="19" s="1"/>
  <c r="B32" i="19"/>
  <c r="S32" i="19"/>
  <c r="B33" i="19"/>
  <c r="S33" i="19"/>
  <c r="B34" i="19"/>
  <c r="S34" i="19" s="1"/>
  <c r="B35" i="19"/>
  <c r="S35" i="19" s="1"/>
  <c r="B36" i="19"/>
  <c r="S36" i="19" s="1"/>
  <c r="B37" i="19"/>
  <c r="S37" i="19" s="1"/>
  <c r="B38" i="19"/>
  <c r="S38" i="19"/>
  <c r="B7" i="19"/>
  <c r="S7" i="19" s="1"/>
  <c r="Z262" i="19"/>
  <c r="Z218" i="19"/>
  <c r="Z174" i="19"/>
  <c r="Z130" i="19"/>
  <c r="Z86" i="19"/>
  <c r="Z42" i="19"/>
  <c r="J133" i="1"/>
  <c r="L133" i="1" s="1"/>
  <c r="D135" i="15" s="1"/>
  <c r="J273" i="1"/>
  <c r="L273" i="1" s="1"/>
  <c r="C133" i="1"/>
  <c r="Q133" i="1"/>
  <c r="Q180" i="1"/>
  <c r="Q226" i="1"/>
  <c r="Q227" i="1"/>
  <c r="Q275" i="1"/>
  <c r="C272" i="1"/>
  <c r="C273" i="1"/>
  <c r="Q273" i="1" s="1"/>
  <c r="Q274" i="1"/>
  <c r="V2" i="9"/>
  <c r="R2" i="9"/>
  <c r="N2" i="9"/>
  <c r="J2" i="9"/>
  <c r="F2" i="9"/>
  <c r="B2" i="9"/>
  <c r="T38" i="1"/>
  <c r="I169" i="2"/>
  <c r="E1" i="9"/>
  <c r="I1" i="9"/>
  <c r="M1" i="9" s="1"/>
  <c r="Q1" i="9" s="1"/>
  <c r="U1" i="9" s="1"/>
  <c r="B4" i="9"/>
  <c r="F4" i="9"/>
  <c r="J4" i="9"/>
  <c r="N4" i="9"/>
  <c r="R4" i="9"/>
  <c r="V4" i="9"/>
  <c r="B5" i="9"/>
  <c r="F5" i="9"/>
  <c r="N5" i="9"/>
  <c r="R5" i="9"/>
  <c r="V5" i="9"/>
  <c r="B6" i="9"/>
  <c r="F6" i="9"/>
  <c r="N6" i="9"/>
  <c r="R6" i="9"/>
  <c r="V6" i="9"/>
  <c r="B7" i="9"/>
  <c r="F7" i="9"/>
  <c r="N7" i="9"/>
  <c r="R7" i="9"/>
  <c r="V7" i="9"/>
  <c r="B8" i="9"/>
  <c r="F8" i="9"/>
  <c r="N8" i="9"/>
  <c r="R8" i="9"/>
  <c r="V8" i="9"/>
  <c r="B9" i="9"/>
  <c r="F9" i="9"/>
  <c r="N9" i="9"/>
  <c r="R9" i="9"/>
  <c r="V9" i="9"/>
  <c r="B10" i="9"/>
  <c r="F10" i="9"/>
  <c r="N10" i="9"/>
  <c r="R10" i="9"/>
  <c r="V10" i="9"/>
  <c r="B11" i="9"/>
  <c r="F11" i="9"/>
  <c r="N11" i="9"/>
  <c r="R11" i="9"/>
  <c r="V11" i="9"/>
  <c r="B12" i="9"/>
  <c r="F12" i="9"/>
  <c r="N12" i="9"/>
  <c r="R12" i="9"/>
  <c r="V12" i="9"/>
  <c r="B13" i="9"/>
  <c r="F13" i="9"/>
  <c r="N13" i="9"/>
  <c r="R13" i="9"/>
  <c r="V13" i="9"/>
  <c r="B14" i="9"/>
  <c r="F14" i="9"/>
  <c r="N14" i="9"/>
  <c r="R14" i="9"/>
  <c r="V14" i="9"/>
  <c r="B15" i="9"/>
  <c r="F15" i="9"/>
  <c r="N15" i="9"/>
  <c r="R15" i="9"/>
  <c r="V15" i="9"/>
  <c r="B16" i="9"/>
  <c r="F16" i="9"/>
  <c r="N16" i="9"/>
  <c r="R16" i="9"/>
  <c r="V16" i="9"/>
  <c r="B17" i="9"/>
  <c r="F17" i="9"/>
  <c r="N17" i="9"/>
  <c r="R17" i="9"/>
  <c r="V17" i="9"/>
  <c r="B18" i="9"/>
  <c r="F18" i="9"/>
  <c r="N18" i="9"/>
  <c r="R18" i="9"/>
  <c r="V18" i="9"/>
  <c r="B19" i="9"/>
  <c r="F19" i="9"/>
  <c r="N19" i="9"/>
  <c r="R19" i="9"/>
  <c r="V19" i="9"/>
  <c r="B20" i="9"/>
  <c r="F20" i="9"/>
  <c r="N20" i="9"/>
  <c r="R20" i="9"/>
  <c r="V20" i="9"/>
  <c r="B21" i="9"/>
  <c r="F21" i="9"/>
  <c r="N21" i="9"/>
  <c r="R21" i="9"/>
  <c r="V21" i="9"/>
  <c r="B22" i="9"/>
  <c r="F22" i="9"/>
  <c r="N22" i="9"/>
  <c r="R22" i="9"/>
  <c r="V22" i="9"/>
  <c r="B23" i="9"/>
  <c r="F23" i="9"/>
  <c r="N23" i="9"/>
  <c r="R23" i="9"/>
  <c r="V23" i="9"/>
  <c r="B24" i="9"/>
  <c r="F24" i="9"/>
  <c r="N24" i="9"/>
  <c r="R24" i="9"/>
  <c r="V24" i="9"/>
  <c r="B25" i="9"/>
  <c r="F25" i="9"/>
  <c r="N25" i="9"/>
  <c r="R25" i="9"/>
  <c r="V25" i="9"/>
  <c r="B26" i="9"/>
  <c r="F26" i="9"/>
  <c r="N26" i="9"/>
  <c r="R26" i="9"/>
  <c r="V26" i="9"/>
  <c r="B27" i="9"/>
  <c r="F27" i="9"/>
  <c r="N27" i="9"/>
  <c r="R27" i="9"/>
  <c r="V27" i="9"/>
  <c r="B28" i="9"/>
  <c r="F28" i="9"/>
  <c r="N28" i="9"/>
  <c r="R28" i="9"/>
  <c r="V28" i="9"/>
  <c r="B29" i="9"/>
  <c r="F29" i="9"/>
  <c r="J29" i="9"/>
  <c r="N29" i="9"/>
  <c r="R29" i="9"/>
  <c r="V29" i="9"/>
  <c r="B30" i="9"/>
  <c r="F30" i="9"/>
  <c r="J30" i="9"/>
  <c r="N30" i="9"/>
  <c r="R30" i="9"/>
  <c r="V30" i="9"/>
  <c r="B31" i="9"/>
  <c r="F31" i="9"/>
  <c r="J31" i="9"/>
  <c r="N31" i="9"/>
  <c r="R31" i="9"/>
  <c r="V31" i="9"/>
  <c r="B32" i="9"/>
  <c r="F32" i="9"/>
  <c r="J32" i="9"/>
  <c r="N32" i="9"/>
  <c r="R32" i="9"/>
  <c r="V32" i="9"/>
  <c r="B33" i="9"/>
  <c r="F33" i="9"/>
  <c r="J33" i="9"/>
  <c r="N33" i="9"/>
  <c r="R33" i="9"/>
  <c r="V33" i="9"/>
  <c r="B34" i="9"/>
  <c r="F34" i="9"/>
  <c r="J34" i="9"/>
  <c r="F35" i="9"/>
  <c r="J35" i="9"/>
  <c r="E43" i="9"/>
  <c r="I43" i="9" s="1"/>
  <c r="M43" i="9" s="1"/>
  <c r="Q43" i="9"/>
  <c r="A1" i="5"/>
  <c r="A2" i="5"/>
  <c r="A49" i="5"/>
  <c r="A96" i="5" s="1"/>
  <c r="A143" i="5" s="1"/>
  <c r="A190" i="5" s="1"/>
  <c r="A237" i="5" s="1"/>
  <c r="C4" i="5"/>
  <c r="R43" i="5"/>
  <c r="I6" i="5"/>
  <c r="C8" i="5"/>
  <c r="Q8" i="5"/>
  <c r="I8" i="5"/>
  <c r="J8" i="5" s="1"/>
  <c r="L8" i="5" s="1"/>
  <c r="C9" i="5"/>
  <c r="Q9" i="5" s="1"/>
  <c r="I9" i="5"/>
  <c r="J9" i="5"/>
  <c r="L9" i="5" s="1"/>
  <c r="C10" i="5"/>
  <c r="Q10" i="5"/>
  <c r="I10" i="5"/>
  <c r="J10" i="5" s="1"/>
  <c r="N10" i="5"/>
  <c r="C11" i="5"/>
  <c r="Q11" i="5"/>
  <c r="I11" i="5"/>
  <c r="J11" i="5"/>
  <c r="L11" i="5" s="1"/>
  <c r="C12" i="5"/>
  <c r="Q12" i="5" s="1"/>
  <c r="I12" i="5"/>
  <c r="C13" i="5"/>
  <c r="Q13" i="5"/>
  <c r="I13" i="5"/>
  <c r="J13" i="5" s="1"/>
  <c r="L13" i="5" s="1"/>
  <c r="C14" i="5"/>
  <c r="Q14" i="5"/>
  <c r="I14" i="5"/>
  <c r="J14" i="5"/>
  <c r="L14" i="5" s="1"/>
  <c r="C15" i="5"/>
  <c r="Q15" i="5"/>
  <c r="I15" i="5"/>
  <c r="J15" i="5" s="1"/>
  <c r="L15" i="5" s="1"/>
  <c r="C16" i="5"/>
  <c r="Q16" i="5"/>
  <c r="I16" i="5"/>
  <c r="J16" i="5" s="1"/>
  <c r="L16" i="5" s="1"/>
  <c r="C17" i="5"/>
  <c r="Q17" i="5" s="1"/>
  <c r="I17" i="5"/>
  <c r="J17" i="5"/>
  <c r="L17" i="5" s="1"/>
  <c r="C18" i="5"/>
  <c r="Q18" i="5"/>
  <c r="I18" i="5"/>
  <c r="J18" i="5" s="1"/>
  <c r="C19" i="5"/>
  <c r="Q19" i="5"/>
  <c r="I19" i="5"/>
  <c r="J19" i="5" s="1"/>
  <c r="C20" i="5"/>
  <c r="Q20" i="5" s="1"/>
  <c r="I20" i="5"/>
  <c r="J20" i="5"/>
  <c r="L20" i="5" s="1"/>
  <c r="C21" i="5"/>
  <c r="Q21" i="5"/>
  <c r="I21" i="5"/>
  <c r="J21" i="5" s="1"/>
  <c r="C22" i="5"/>
  <c r="Q22" i="5"/>
  <c r="I22" i="5"/>
  <c r="J22" i="5" s="1"/>
  <c r="C23" i="5"/>
  <c r="Q23" i="5" s="1"/>
  <c r="I23" i="5"/>
  <c r="J23" i="5"/>
  <c r="L23" i="5" s="1"/>
  <c r="C24" i="5"/>
  <c r="Q24" i="5"/>
  <c r="I24" i="5"/>
  <c r="J24" i="5" s="1"/>
  <c r="L24" i="5" s="1"/>
  <c r="C25" i="5"/>
  <c r="Q25" i="5" s="1"/>
  <c r="I25" i="5"/>
  <c r="J25" i="5" s="1"/>
  <c r="C26" i="5"/>
  <c r="Q26" i="5"/>
  <c r="I26" i="5"/>
  <c r="J26" i="5"/>
  <c r="C27" i="5"/>
  <c r="Q27" i="5"/>
  <c r="I27" i="5"/>
  <c r="C28" i="5"/>
  <c r="Q28" i="5" s="1"/>
  <c r="I28" i="5"/>
  <c r="J28" i="5" s="1"/>
  <c r="L28" i="5" s="1"/>
  <c r="T28" i="5"/>
  <c r="T75" i="5"/>
  <c r="C29" i="5"/>
  <c r="Q29" i="5"/>
  <c r="I29" i="5"/>
  <c r="J29" i="5" s="1"/>
  <c r="L29" i="5" s="1"/>
  <c r="T29" i="5"/>
  <c r="T76" i="5" s="1"/>
  <c r="C30" i="5"/>
  <c r="Q30" i="5"/>
  <c r="I30" i="5"/>
  <c r="J30" i="5" s="1"/>
  <c r="L30" i="5" s="1"/>
  <c r="C31" i="5"/>
  <c r="Q31" i="5"/>
  <c r="I31" i="5"/>
  <c r="J31" i="5"/>
  <c r="L31" i="5" s="1"/>
  <c r="C32" i="5"/>
  <c r="Q32" i="5"/>
  <c r="I32" i="5"/>
  <c r="J32" i="5" s="1"/>
  <c r="L32" i="5" s="1"/>
  <c r="C33" i="5"/>
  <c r="Q33" i="5"/>
  <c r="I33" i="5"/>
  <c r="J33" i="5" s="1"/>
  <c r="C34" i="5"/>
  <c r="Q34" i="5"/>
  <c r="I34" i="5"/>
  <c r="J34" i="5"/>
  <c r="L34" i="5" s="1"/>
  <c r="C35" i="5"/>
  <c r="Q35" i="5"/>
  <c r="I35" i="5"/>
  <c r="J35" i="5" s="1"/>
  <c r="L35" i="5" s="1"/>
  <c r="C36" i="5"/>
  <c r="Q36" i="5" s="1"/>
  <c r="I36" i="5"/>
  <c r="J36" i="5" s="1"/>
  <c r="L36" i="5" s="1"/>
  <c r="C37" i="5"/>
  <c r="Q37" i="5"/>
  <c r="I37" i="5"/>
  <c r="J37" i="5"/>
  <c r="L37" i="5" s="1"/>
  <c r="T37" i="5"/>
  <c r="T84" i="5"/>
  <c r="T131" i="5" s="1"/>
  <c r="T178" i="5" s="1"/>
  <c r="T225" i="5" s="1"/>
  <c r="T272" i="5" s="1"/>
  <c r="C38" i="5"/>
  <c r="Q38" i="5" s="1"/>
  <c r="I38" i="5"/>
  <c r="J38" i="5" s="1"/>
  <c r="T38" i="5"/>
  <c r="T85" i="5"/>
  <c r="T132" i="5" s="1"/>
  <c r="T179" i="5" s="1"/>
  <c r="T226" i="5" s="1"/>
  <c r="T273" i="5" s="1"/>
  <c r="C39" i="5"/>
  <c r="Q39" i="5" s="1"/>
  <c r="I39" i="5"/>
  <c r="J39" i="5" s="1"/>
  <c r="L39" i="5" s="1"/>
  <c r="K39" i="5"/>
  <c r="C40" i="5"/>
  <c r="Q40" i="5" s="1"/>
  <c r="I40" i="5"/>
  <c r="J40" i="5"/>
  <c r="L40" i="5" s="1"/>
  <c r="C41" i="5"/>
  <c r="Q41" i="5"/>
  <c r="I41" i="5"/>
  <c r="J41" i="5"/>
  <c r="L41" i="5" s="1"/>
  <c r="C42" i="5"/>
  <c r="Q42" i="5" s="1"/>
  <c r="D44" i="5"/>
  <c r="E44" i="5"/>
  <c r="F44" i="5"/>
  <c r="G44" i="5"/>
  <c r="H44" i="5"/>
  <c r="C51" i="5"/>
  <c r="R90" i="5"/>
  <c r="F51" i="5"/>
  <c r="F239" i="5" s="1"/>
  <c r="N51" i="5"/>
  <c r="D53" i="5"/>
  <c r="E53" i="5"/>
  <c r="F53" i="5"/>
  <c r="G53" i="5"/>
  <c r="H53" i="5"/>
  <c r="H100" i="5" s="1"/>
  <c r="C55" i="5"/>
  <c r="Q55" i="5"/>
  <c r="I55" i="5"/>
  <c r="J55" i="5" s="1"/>
  <c r="C56" i="5"/>
  <c r="Q56" i="5" s="1"/>
  <c r="I56" i="5"/>
  <c r="J56" i="5"/>
  <c r="L56" i="5" s="1"/>
  <c r="C57" i="5"/>
  <c r="Q57" i="5" s="1"/>
  <c r="I57" i="5"/>
  <c r="J57" i="5"/>
  <c r="C58" i="5"/>
  <c r="Q58" i="5"/>
  <c r="I58" i="5"/>
  <c r="J58" i="5"/>
  <c r="L58" i="5" s="1"/>
  <c r="C59" i="5"/>
  <c r="Q59" i="5" s="1"/>
  <c r="I59" i="5"/>
  <c r="J59" i="5"/>
  <c r="L59" i="5" s="1"/>
  <c r="C60" i="5"/>
  <c r="Q60" i="5" s="1"/>
  <c r="I60" i="5"/>
  <c r="J60" i="5" s="1"/>
  <c r="C61" i="5"/>
  <c r="Q61" i="5"/>
  <c r="I61" i="5"/>
  <c r="J61" i="5"/>
  <c r="L61" i="5" s="1"/>
  <c r="C62" i="5"/>
  <c r="Q62" i="5"/>
  <c r="I62" i="5"/>
  <c r="J62" i="5" s="1"/>
  <c r="L62" i="5" s="1"/>
  <c r="C63" i="5"/>
  <c r="Q63" i="5"/>
  <c r="I63" i="5"/>
  <c r="J63" i="5" s="1"/>
  <c r="L63" i="5" s="1"/>
  <c r="C64" i="5"/>
  <c r="Q64" i="5" s="1"/>
  <c r="I64" i="5"/>
  <c r="J64" i="5"/>
  <c r="C65" i="5"/>
  <c r="Q65" i="5"/>
  <c r="I65" i="5"/>
  <c r="J65" i="5" s="1"/>
  <c r="L65" i="5" s="1"/>
  <c r="C66" i="5"/>
  <c r="Q66" i="5"/>
  <c r="I66" i="5"/>
  <c r="J66" i="5" s="1"/>
  <c r="C67" i="5"/>
  <c r="Q67" i="5" s="1"/>
  <c r="I67" i="5"/>
  <c r="J67" i="5" s="1"/>
  <c r="K67" i="5" s="1"/>
  <c r="C68" i="5"/>
  <c r="Q68" i="5"/>
  <c r="I68" i="5"/>
  <c r="J68" i="5" s="1"/>
  <c r="L68" i="5" s="1"/>
  <c r="C69" i="5"/>
  <c r="Q69" i="5"/>
  <c r="I69" i="5"/>
  <c r="J69" i="5"/>
  <c r="L69" i="5" s="1"/>
  <c r="C70" i="5"/>
  <c r="Q70" i="5" s="1"/>
  <c r="I70" i="5"/>
  <c r="J70" i="5" s="1"/>
  <c r="C71" i="5"/>
  <c r="Q71" i="5" s="1"/>
  <c r="I71" i="5"/>
  <c r="J71" i="5" s="1"/>
  <c r="L71" i="5" s="1"/>
  <c r="K71" i="5"/>
  <c r="C72" i="5"/>
  <c r="Q72" i="5" s="1"/>
  <c r="I72" i="5"/>
  <c r="J72" i="5"/>
  <c r="L72" i="5" s="1"/>
  <c r="C73" i="5"/>
  <c r="Q73" i="5" s="1"/>
  <c r="I73" i="5"/>
  <c r="J73" i="5"/>
  <c r="L73" i="5" s="1"/>
  <c r="C74" i="5"/>
  <c r="Q74" i="5" s="1"/>
  <c r="I74" i="5"/>
  <c r="J74" i="5"/>
  <c r="L74" i="5" s="1"/>
  <c r="C75" i="5"/>
  <c r="Q75" i="5" s="1"/>
  <c r="I75" i="5"/>
  <c r="J75" i="5" s="1"/>
  <c r="L75" i="5" s="1"/>
  <c r="C76" i="5"/>
  <c r="Q76" i="5"/>
  <c r="I76" i="5"/>
  <c r="J76" i="5"/>
  <c r="L76" i="5" s="1"/>
  <c r="C77" i="5"/>
  <c r="Q77" i="5" s="1"/>
  <c r="I77" i="5"/>
  <c r="J77" i="5"/>
  <c r="C78" i="5"/>
  <c r="Q78" i="5" s="1"/>
  <c r="I78" i="5"/>
  <c r="J78" i="5" s="1"/>
  <c r="L78" i="5" s="1"/>
  <c r="C79" i="5"/>
  <c r="Q79" i="5" s="1"/>
  <c r="I79" i="5"/>
  <c r="J79" i="5"/>
  <c r="L79" i="5" s="1"/>
  <c r="C80" i="5"/>
  <c r="Q80" i="5" s="1"/>
  <c r="I80" i="5"/>
  <c r="J80" i="5"/>
  <c r="L80" i="5" s="1"/>
  <c r="C81" i="5"/>
  <c r="Q81" i="5" s="1"/>
  <c r="I81" i="5"/>
  <c r="J81" i="5"/>
  <c r="L81" i="5" s="1"/>
  <c r="C82" i="5"/>
  <c r="Q82" i="5" s="1"/>
  <c r="I82" i="5"/>
  <c r="J82" i="5" s="1"/>
  <c r="L82" i="5" s="1"/>
  <c r="C83" i="5"/>
  <c r="Q83" i="5" s="1"/>
  <c r="I83" i="5"/>
  <c r="J83" i="5"/>
  <c r="L83" i="5" s="1"/>
  <c r="C84" i="5"/>
  <c r="Q84" i="5"/>
  <c r="I84" i="5"/>
  <c r="J84" i="5"/>
  <c r="L84" i="5" s="1"/>
  <c r="C85" i="5"/>
  <c r="Q85" i="5" s="1"/>
  <c r="I85" i="5"/>
  <c r="J85" i="5" s="1"/>
  <c r="L85" i="5" s="1"/>
  <c r="C86" i="5"/>
  <c r="Q86" i="5" s="1"/>
  <c r="I86" i="5"/>
  <c r="J86" i="5"/>
  <c r="C87" i="5"/>
  <c r="Q87" i="5"/>
  <c r="I87" i="5"/>
  <c r="J87" i="5" s="1"/>
  <c r="L87" i="5" s="1"/>
  <c r="C88" i="5"/>
  <c r="Q88" i="5" s="1"/>
  <c r="I88" i="5"/>
  <c r="J88" i="5" s="1"/>
  <c r="D91" i="5"/>
  <c r="E91" i="5"/>
  <c r="I91" i="5" s="1"/>
  <c r="F91" i="5"/>
  <c r="G91" i="5"/>
  <c r="H91" i="5"/>
  <c r="C98" i="5"/>
  <c r="R137" i="5" s="1"/>
  <c r="F98" i="5"/>
  <c r="N98" i="5"/>
  <c r="E100" i="5"/>
  <c r="F100" i="5"/>
  <c r="G100" i="5"/>
  <c r="G147" i="5" s="1"/>
  <c r="G194" i="5" s="1"/>
  <c r="G241" i="5" s="1"/>
  <c r="H147" i="5"/>
  <c r="C102" i="5"/>
  <c r="Q102" i="5"/>
  <c r="I102" i="5"/>
  <c r="J102" i="5" s="1"/>
  <c r="C103" i="5"/>
  <c r="Q103" i="5" s="1"/>
  <c r="I103" i="5"/>
  <c r="J103" i="5" s="1"/>
  <c r="C104" i="5"/>
  <c r="Q104" i="5" s="1"/>
  <c r="I104" i="5"/>
  <c r="J104" i="5" s="1"/>
  <c r="L104" i="5" s="1"/>
  <c r="N104" i="5"/>
  <c r="C105" i="5"/>
  <c r="Q105" i="5" s="1"/>
  <c r="I105" i="5"/>
  <c r="J105" i="5"/>
  <c r="C106" i="5"/>
  <c r="Q106" i="5" s="1"/>
  <c r="I106" i="5"/>
  <c r="J106" i="5"/>
  <c r="C107" i="5"/>
  <c r="Q107" i="5" s="1"/>
  <c r="I107" i="5"/>
  <c r="J107" i="5"/>
  <c r="L107" i="5" s="1"/>
  <c r="C108" i="5"/>
  <c r="Q108" i="5" s="1"/>
  <c r="I108" i="5"/>
  <c r="J108" i="5"/>
  <c r="L108" i="5" s="1"/>
  <c r="C109" i="5"/>
  <c r="Q109" i="5" s="1"/>
  <c r="I109" i="5"/>
  <c r="J109" i="5"/>
  <c r="C110" i="5"/>
  <c r="Q110" i="5" s="1"/>
  <c r="I110" i="5"/>
  <c r="J110" i="5" s="1"/>
  <c r="C111" i="5"/>
  <c r="Q111" i="5" s="1"/>
  <c r="I111" i="5"/>
  <c r="J111" i="5"/>
  <c r="L111" i="5" s="1"/>
  <c r="K111" i="5"/>
  <c r="C112" i="5"/>
  <c r="Q112" i="5" s="1"/>
  <c r="I112" i="5"/>
  <c r="J112" i="5"/>
  <c r="C113" i="5"/>
  <c r="Q113" i="5"/>
  <c r="I113" i="5"/>
  <c r="J113" i="5"/>
  <c r="L113" i="5" s="1"/>
  <c r="C114" i="5"/>
  <c r="Q114" i="5" s="1"/>
  <c r="I114" i="5"/>
  <c r="J114" i="5"/>
  <c r="C115" i="5"/>
  <c r="Q115" i="5" s="1"/>
  <c r="I115" i="5"/>
  <c r="J115" i="5" s="1"/>
  <c r="C116" i="5"/>
  <c r="Q116" i="5"/>
  <c r="I116" i="5"/>
  <c r="J116" i="5"/>
  <c r="L116" i="5" s="1"/>
  <c r="K116" i="5"/>
  <c r="C117" i="5"/>
  <c r="Q117" i="5"/>
  <c r="I117" i="5"/>
  <c r="J117" i="5" s="1"/>
  <c r="L117" i="5" s="1"/>
  <c r="C118" i="5"/>
  <c r="Q118" i="5"/>
  <c r="I118" i="5"/>
  <c r="J118" i="5" s="1"/>
  <c r="L118" i="5" s="1"/>
  <c r="C119" i="5"/>
  <c r="Q119" i="5"/>
  <c r="I119" i="5"/>
  <c r="J119" i="5"/>
  <c r="L119" i="5" s="1"/>
  <c r="C120" i="5"/>
  <c r="Q120" i="5"/>
  <c r="I120" i="5"/>
  <c r="J120" i="5" s="1"/>
  <c r="L120" i="5" s="1"/>
  <c r="C121" i="5"/>
  <c r="Q121" i="5"/>
  <c r="I121" i="5"/>
  <c r="J121" i="5" s="1"/>
  <c r="L121" i="5" s="1"/>
  <c r="C122" i="5"/>
  <c r="Q122" i="5"/>
  <c r="I122" i="5"/>
  <c r="J122" i="5"/>
  <c r="C123" i="5"/>
  <c r="Q123" i="5"/>
  <c r="I123" i="5"/>
  <c r="J123" i="5" s="1"/>
  <c r="L123" i="5" s="1"/>
  <c r="C124" i="5"/>
  <c r="Q124" i="5"/>
  <c r="I124" i="5"/>
  <c r="J124" i="5" s="1"/>
  <c r="L124" i="5" s="1"/>
  <c r="C125" i="5"/>
  <c r="Q125" i="5" s="1"/>
  <c r="I125" i="5"/>
  <c r="J125" i="5"/>
  <c r="L125" i="5" s="1"/>
  <c r="C126" i="5"/>
  <c r="Q126" i="5"/>
  <c r="I126" i="5"/>
  <c r="J126" i="5" s="1"/>
  <c r="L126" i="5" s="1"/>
  <c r="C127" i="5"/>
  <c r="Q127" i="5"/>
  <c r="I127" i="5"/>
  <c r="J127" i="5" s="1"/>
  <c r="L127" i="5" s="1"/>
  <c r="C128" i="5"/>
  <c r="Q128" i="5" s="1"/>
  <c r="I128" i="5"/>
  <c r="J128" i="5" s="1"/>
  <c r="L128" i="5" s="1"/>
  <c r="C129" i="5"/>
  <c r="Q129" i="5"/>
  <c r="I129" i="5"/>
  <c r="J129" i="5" s="1"/>
  <c r="C130" i="5"/>
  <c r="Q130" i="5"/>
  <c r="I130" i="5"/>
  <c r="J130" i="5" s="1"/>
  <c r="L130" i="5" s="1"/>
  <c r="C131" i="5"/>
  <c r="Q131" i="5"/>
  <c r="I131" i="5"/>
  <c r="J131" i="5"/>
  <c r="C132" i="5"/>
  <c r="Q132" i="5" s="1"/>
  <c r="I132" i="5"/>
  <c r="J132" i="5" s="1"/>
  <c r="L132" i="5" s="1"/>
  <c r="K132" i="5"/>
  <c r="C133" i="5"/>
  <c r="Q133" i="5" s="1"/>
  <c r="I133" i="5"/>
  <c r="J133" i="5"/>
  <c r="K133" i="5"/>
  <c r="C134" i="5"/>
  <c r="Q134" i="5" s="1"/>
  <c r="I134" i="5"/>
  <c r="J134" i="5"/>
  <c r="C135" i="5"/>
  <c r="Q135" i="5" s="1"/>
  <c r="I135" i="5"/>
  <c r="J135" i="5" s="1"/>
  <c r="L135" i="5" s="1"/>
  <c r="D138" i="5"/>
  <c r="E138" i="5"/>
  <c r="I138" i="5" s="1"/>
  <c r="F138" i="5"/>
  <c r="G138" i="5"/>
  <c r="H138" i="5"/>
  <c r="N121" i="5"/>
  <c r="C145" i="5"/>
  <c r="R184" i="5" s="1"/>
  <c r="F145" i="5"/>
  <c r="N145" i="5"/>
  <c r="E147" i="5"/>
  <c r="E194" i="5" s="1"/>
  <c r="C149" i="5"/>
  <c r="Q149" i="5" s="1"/>
  <c r="I149" i="5"/>
  <c r="J149" i="5"/>
  <c r="C150" i="5"/>
  <c r="Q150" i="5"/>
  <c r="I150" i="5"/>
  <c r="J150" i="5" s="1"/>
  <c r="K150" i="5" s="1"/>
  <c r="C151" i="5"/>
  <c r="Q151" i="5" s="1"/>
  <c r="I151" i="5"/>
  <c r="J151" i="5" s="1"/>
  <c r="L151" i="5" s="1"/>
  <c r="N151" i="5"/>
  <c r="C152" i="5"/>
  <c r="Q152" i="5" s="1"/>
  <c r="I152" i="5"/>
  <c r="J152" i="5"/>
  <c r="L152" i="5" s="1"/>
  <c r="C153" i="5"/>
  <c r="Q153" i="5" s="1"/>
  <c r="I153" i="5"/>
  <c r="J153" i="5"/>
  <c r="K153" i="5"/>
  <c r="C154" i="5"/>
  <c r="Q154" i="5"/>
  <c r="I154" i="5"/>
  <c r="J154" i="5" s="1"/>
  <c r="C155" i="5"/>
  <c r="Q155" i="5" s="1"/>
  <c r="I155" i="5"/>
  <c r="J155" i="5" s="1"/>
  <c r="L155" i="5" s="1"/>
  <c r="C156" i="5"/>
  <c r="Q156" i="5" s="1"/>
  <c r="I156" i="5"/>
  <c r="J156" i="5" s="1"/>
  <c r="L156" i="5" s="1"/>
  <c r="C157" i="5"/>
  <c r="Q157" i="5"/>
  <c r="I157" i="5"/>
  <c r="J157" i="5" s="1"/>
  <c r="L157" i="5" s="1"/>
  <c r="C158" i="5"/>
  <c r="Q158" i="5" s="1"/>
  <c r="I158" i="5"/>
  <c r="J158" i="5" s="1"/>
  <c r="C159" i="5"/>
  <c r="Q159" i="5" s="1"/>
  <c r="I159" i="5"/>
  <c r="J159" i="5" s="1"/>
  <c r="L159" i="5" s="1"/>
  <c r="C160" i="5"/>
  <c r="Q160" i="5"/>
  <c r="I160" i="5"/>
  <c r="J160" i="5"/>
  <c r="C161" i="5"/>
  <c r="Q161" i="5" s="1"/>
  <c r="I161" i="5"/>
  <c r="J161" i="5"/>
  <c r="L161" i="5" s="1"/>
  <c r="C162" i="5"/>
  <c r="Q162" i="5" s="1"/>
  <c r="I162" i="5"/>
  <c r="J162" i="5" s="1"/>
  <c r="L162" i="5" s="1"/>
  <c r="C163" i="5"/>
  <c r="Q163" i="5"/>
  <c r="I163" i="5"/>
  <c r="J163" i="5" s="1"/>
  <c r="L163" i="5" s="1"/>
  <c r="C164" i="5"/>
  <c r="Q164" i="5" s="1"/>
  <c r="I164" i="5"/>
  <c r="J164" i="5"/>
  <c r="C165" i="5"/>
  <c r="Q165" i="5"/>
  <c r="I165" i="5"/>
  <c r="J165" i="5" s="1"/>
  <c r="L165" i="5" s="1"/>
  <c r="C166" i="5"/>
  <c r="Q166" i="5" s="1"/>
  <c r="I166" i="5"/>
  <c r="J166" i="5" s="1"/>
  <c r="L166" i="5" s="1"/>
  <c r="C167" i="5"/>
  <c r="Q167" i="5"/>
  <c r="I167" i="5"/>
  <c r="J167" i="5" s="1"/>
  <c r="L167" i="5" s="1"/>
  <c r="C168" i="5"/>
  <c r="Q168" i="5"/>
  <c r="I168" i="5"/>
  <c r="J168" i="5" s="1"/>
  <c r="L168" i="5" s="1"/>
  <c r="C169" i="5"/>
  <c r="Q169" i="5" s="1"/>
  <c r="I169" i="5"/>
  <c r="J169" i="5"/>
  <c r="T169" i="5"/>
  <c r="C170" i="5"/>
  <c r="Q170" i="5"/>
  <c r="I170" i="5"/>
  <c r="J170" i="5" s="1"/>
  <c r="K170" i="5"/>
  <c r="T170" i="5"/>
  <c r="T217" i="5" s="1"/>
  <c r="C171" i="5"/>
  <c r="Q171" i="5"/>
  <c r="I171" i="5"/>
  <c r="J171" i="5" s="1"/>
  <c r="C172" i="5"/>
  <c r="Q172" i="5" s="1"/>
  <c r="I172" i="5"/>
  <c r="J172" i="5" s="1"/>
  <c r="L172" i="5" s="1"/>
  <c r="C173" i="5"/>
  <c r="Q173" i="5" s="1"/>
  <c r="I173" i="5"/>
  <c r="J173" i="5" s="1"/>
  <c r="L173" i="5" s="1"/>
  <c r="C174" i="5"/>
  <c r="Q174" i="5"/>
  <c r="I174" i="5"/>
  <c r="J174" i="5" s="1"/>
  <c r="L174" i="5" s="1"/>
  <c r="C175" i="5"/>
  <c r="Q175" i="5" s="1"/>
  <c r="I175" i="5"/>
  <c r="R175" i="5" s="1"/>
  <c r="C176" i="5"/>
  <c r="Q176" i="5" s="1"/>
  <c r="I176" i="5"/>
  <c r="J176" i="5"/>
  <c r="L176" i="5" s="1"/>
  <c r="C177" i="5"/>
  <c r="Q177" i="5"/>
  <c r="I177" i="5"/>
  <c r="J177" i="5"/>
  <c r="C178" i="5"/>
  <c r="Q178" i="5" s="1"/>
  <c r="I178" i="5"/>
  <c r="J178" i="5"/>
  <c r="L178" i="5" s="1"/>
  <c r="C179" i="5"/>
  <c r="Q179" i="5" s="1"/>
  <c r="I179" i="5"/>
  <c r="J179" i="5" s="1"/>
  <c r="C180" i="5"/>
  <c r="Q180" i="5"/>
  <c r="I180" i="5"/>
  <c r="J180" i="5" s="1"/>
  <c r="Q181" i="5"/>
  <c r="Q182" i="5"/>
  <c r="D185" i="5"/>
  <c r="E185" i="5"/>
  <c r="F185" i="5"/>
  <c r="G185" i="5"/>
  <c r="H185" i="5"/>
  <c r="C192" i="5"/>
  <c r="R231" i="5" s="1"/>
  <c r="F192" i="5"/>
  <c r="N192" i="5"/>
  <c r="C196" i="5"/>
  <c r="Q196" i="5" s="1"/>
  <c r="I196" i="5"/>
  <c r="J196" i="5" s="1"/>
  <c r="C197" i="5"/>
  <c r="Q197" i="5"/>
  <c r="I197" i="5"/>
  <c r="J197" i="5"/>
  <c r="L197" i="5" s="1"/>
  <c r="C198" i="5"/>
  <c r="Q198" i="5" s="1"/>
  <c r="I198" i="5"/>
  <c r="J198" i="5" s="1"/>
  <c r="C199" i="5"/>
  <c r="Q199" i="5"/>
  <c r="I199" i="5"/>
  <c r="C200" i="5"/>
  <c r="Q200" i="5" s="1"/>
  <c r="I200" i="5"/>
  <c r="J200" i="5" s="1"/>
  <c r="L200" i="5" s="1"/>
  <c r="C201" i="5"/>
  <c r="Q201" i="5"/>
  <c r="I201" i="5"/>
  <c r="J201" i="5" s="1"/>
  <c r="L201" i="5" s="1"/>
  <c r="C202" i="5"/>
  <c r="Q202" i="5" s="1"/>
  <c r="I202" i="5"/>
  <c r="J202" i="5"/>
  <c r="L202" i="5" s="1"/>
  <c r="C203" i="5"/>
  <c r="Q203" i="5"/>
  <c r="I203" i="5"/>
  <c r="J203" i="5" s="1"/>
  <c r="L203" i="5" s="1"/>
  <c r="C204" i="5"/>
  <c r="Q204" i="5"/>
  <c r="I204" i="5"/>
  <c r="J204" i="5" s="1"/>
  <c r="L204" i="5" s="1"/>
  <c r="C205" i="5"/>
  <c r="Q205" i="5"/>
  <c r="I205" i="5"/>
  <c r="J205" i="5"/>
  <c r="L205" i="5" s="1"/>
  <c r="C206" i="5"/>
  <c r="Q206" i="5"/>
  <c r="I206" i="5"/>
  <c r="J206" i="5" s="1"/>
  <c r="L206" i="5" s="1"/>
  <c r="C207" i="5"/>
  <c r="Q207" i="5" s="1"/>
  <c r="I207" i="5"/>
  <c r="J207" i="5" s="1"/>
  <c r="L207" i="5" s="1"/>
  <c r="C208" i="5"/>
  <c r="Q208" i="5" s="1"/>
  <c r="I208" i="5"/>
  <c r="J208" i="5"/>
  <c r="L208" i="5" s="1"/>
  <c r="K208" i="5"/>
  <c r="C209" i="5"/>
  <c r="Q209" i="5" s="1"/>
  <c r="I209" i="5"/>
  <c r="J209" i="5"/>
  <c r="C210" i="5"/>
  <c r="Q210" i="5" s="1"/>
  <c r="I210" i="5"/>
  <c r="J210" i="5"/>
  <c r="L210" i="5" s="1"/>
  <c r="C211" i="5"/>
  <c r="Q211" i="5" s="1"/>
  <c r="I211" i="5"/>
  <c r="J211" i="5" s="1"/>
  <c r="C212" i="5"/>
  <c r="Q212" i="5"/>
  <c r="I212" i="5"/>
  <c r="J212" i="5"/>
  <c r="L212" i="5" s="1"/>
  <c r="C213" i="5"/>
  <c r="Q213" i="5" s="1"/>
  <c r="I213" i="5"/>
  <c r="J213" i="5"/>
  <c r="C214" i="5"/>
  <c r="Q214" i="5" s="1"/>
  <c r="I214" i="5"/>
  <c r="J214" i="5" s="1"/>
  <c r="C215" i="5"/>
  <c r="Q215" i="5" s="1"/>
  <c r="I215" i="5"/>
  <c r="J215" i="5"/>
  <c r="L215" i="5" s="1"/>
  <c r="C216" i="5"/>
  <c r="Q216" i="5" s="1"/>
  <c r="I216" i="5"/>
  <c r="J216" i="5"/>
  <c r="L216" i="5" s="1"/>
  <c r="T216" i="5"/>
  <c r="C217" i="5"/>
  <c r="Q217" i="5"/>
  <c r="I217" i="5"/>
  <c r="J217" i="5" s="1"/>
  <c r="C218" i="5"/>
  <c r="Q218" i="5" s="1"/>
  <c r="I218" i="5"/>
  <c r="J218" i="5" s="1"/>
  <c r="C219" i="5"/>
  <c r="Q219" i="5"/>
  <c r="I219" i="5"/>
  <c r="J219" i="5"/>
  <c r="L219" i="5" s="1"/>
  <c r="C220" i="5"/>
  <c r="Q220" i="5" s="1"/>
  <c r="I220" i="5"/>
  <c r="J220" i="5" s="1"/>
  <c r="L220" i="5" s="1"/>
  <c r="C221" i="5"/>
  <c r="Q221" i="5" s="1"/>
  <c r="I221" i="5"/>
  <c r="J221" i="5" s="1"/>
  <c r="L221" i="5" s="1"/>
  <c r="C222" i="5"/>
  <c r="Q222" i="5" s="1"/>
  <c r="I222" i="5"/>
  <c r="J222" i="5" s="1"/>
  <c r="C223" i="5"/>
  <c r="Q223" i="5"/>
  <c r="I223" i="5"/>
  <c r="J223" i="5"/>
  <c r="L223" i="5" s="1"/>
  <c r="C224" i="5"/>
  <c r="Q224" i="5" s="1"/>
  <c r="I224" i="5"/>
  <c r="J224" i="5"/>
  <c r="L224" i="5" s="1"/>
  <c r="C225" i="5"/>
  <c r="Q225" i="5" s="1"/>
  <c r="I225" i="5"/>
  <c r="J225" i="5"/>
  <c r="L225" i="5" s="1"/>
  <c r="C226" i="5"/>
  <c r="Q226" i="5" s="1"/>
  <c r="I226" i="5"/>
  <c r="J226" i="5"/>
  <c r="C227" i="5"/>
  <c r="Q227" i="5" s="1"/>
  <c r="I227" i="5"/>
  <c r="J227" i="5"/>
  <c r="Q228" i="5"/>
  <c r="Q229" i="5"/>
  <c r="D232" i="5"/>
  <c r="E232" i="5"/>
  <c r="F232" i="5"/>
  <c r="I232" i="5" s="1"/>
  <c r="N215" i="5" s="1"/>
  <c r="G232" i="5"/>
  <c r="H232" i="5"/>
  <c r="C239" i="5"/>
  <c r="R278" i="5" s="1"/>
  <c r="N239" i="5"/>
  <c r="C243" i="5"/>
  <c r="Q243" i="5" s="1"/>
  <c r="I243" i="5"/>
  <c r="J243" i="5" s="1"/>
  <c r="L243" i="5" s="1"/>
  <c r="C244" i="5"/>
  <c r="Q244" i="5" s="1"/>
  <c r="I244" i="5"/>
  <c r="J244" i="5"/>
  <c r="L244" i="5" s="1"/>
  <c r="C245" i="5"/>
  <c r="Q245" i="5" s="1"/>
  <c r="I245" i="5"/>
  <c r="J245" i="5"/>
  <c r="C246" i="5"/>
  <c r="Q246" i="5" s="1"/>
  <c r="I246" i="5"/>
  <c r="J246" i="5" s="1"/>
  <c r="L246" i="5" s="1"/>
  <c r="C247" i="5"/>
  <c r="Q247" i="5"/>
  <c r="I247" i="5"/>
  <c r="J247" i="5"/>
  <c r="L247" i="5" s="1"/>
  <c r="K247" i="5"/>
  <c r="C248" i="5"/>
  <c r="Q248" i="5"/>
  <c r="I248" i="5"/>
  <c r="J248" i="5"/>
  <c r="L248" i="5" s="1"/>
  <c r="C249" i="5"/>
  <c r="Q249" i="5" s="1"/>
  <c r="I249" i="5"/>
  <c r="J249" i="5" s="1"/>
  <c r="L249" i="5" s="1"/>
  <c r="C250" i="5"/>
  <c r="Q250" i="5" s="1"/>
  <c r="I250" i="5"/>
  <c r="J250" i="5"/>
  <c r="L250" i="5" s="1"/>
  <c r="C251" i="5"/>
  <c r="Q251" i="5"/>
  <c r="I251" i="5"/>
  <c r="J251" i="5"/>
  <c r="L251" i="5" s="1"/>
  <c r="K251" i="5"/>
  <c r="C252" i="5"/>
  <c r="Q252" i="5" s="1"/>
  <c r="I252" i="5"/>
  <c r="J252" i="5" s="1"/>
  <c r="L252" i="5" s="1"/>
  <c r="C253" i="5"/>
  <c r="Q253" i="5"/>
  <c r="I253" i="5"/>
  <c r="J253" i="5"/>
  <c r="L253" i="5" s="1"/>
  <c r="C254" i="5"/>
  <c r="Q254" i="5" s="1"/>
  <c r="I254" i="5"/>
  <c r="J254" i="5"/>
  <c r="L254" i="5" s="1"/>
  <c r="C255" i="5"/>
  <c r="Q255" i="5" s="1"/>
  <c r="I255" i="5"/>
  <c r="C256" i="5"/>
  <c r="Q256" i="5"/>
  <c r="I256" i="5"/>
  <c r="J256" i="5"/>
  <c r="L256" i="5" s="1"/>
  <c r="C257" i="5"/>
  <c r="Q257" i="5" s="1"/>
  <c r="I257" i="5"/>
  <c r="J257" i="5"/>
  <c r="C258" i="5"/>
  <c r="Q258" i="5" s="1"/>
  <c r="I258" i="5"/>
  <c r="J258" i="5" s="1"/>
  <c r="C259" i="5"/>
  <c r="Q259" i="5"/>
  <c r="I259" i="5"/>
  <c r="J259" i="5"/>
  <c r="C260" i="5"/>
  <c r="Q260" i="5"/>
  <c r="I260" i="5"/>
  <c r="J260" i="5" s="1"/>
  <c r="C261" i="5"/>
  <c r="Q261" i="5" s="1"/>
  <c r="I261" i="5"/>
  <c r="J261" i="5" s="1"/>
  <c r="L261" i="5" s="1"/>
  <c r="C262" i="5"/>
  <c r="Q262" i="5" s="1"/>
  <c r="I262" i="5"/>
  <c r="J262" i="5" s="1"/>
  <c r="C263" i="5"/>
  <c r="Q263" i="5"/>
  <c r="I263" i="5"/>
  <c r="J263" i="5" s="1"/>
  <c r="T263" i="5"/>
  <c r="C264" i="5"/>
  <c r="Q264" i="5" s="1"/>
  <c r="I264" i="5"/>
  <c r="J264" i="5" s="1"/>
  <c r="L264" i="5" s="1"/>
  <c r="T264" i="5"/>
  <c r="C265" i="5"/>
  <c r="Q265" i="5" s="1"/>
  <c r="I265" i="5"/>
  <c r="J265" i="5"/>
  <c r="L265" i="5" s="1"/>
  <c r="K265" i="5"/>
  <c r="C266" i="5"/>
  <c r="Q266" i="5" s="1"/>
  <c r="I266" i="5"/>
  <c r="J266" i="5" s="1"/>
  <c r="C267" i="5"/>
  <c r="Q267" i="5" s="1"/>
  <c r="I267" i="5"/>
  <c r="J267" i="5"/>
  <c r="L267" i="5" s="1"/>
  <c r="C268" i="5"/>
  <c r="Q268" i="5"/>
  <c r="I268" i="5"/>
  <c r="J268" i="5"/>
  <c r="L268" i="5" s="1"/>
  <c r="C269" i="5"/>
  <c r="Q269" i="5"/>
  <c r="I269" i="5"/>
  <c r="J269" i="5" s="1"/>
  <c r="C270" i="5"/>
  <c r="Q270" i="5" s="1"/>
  <c r="I270" i="5"/>
  <c r="J270" i="5" s="1"/>
  <c r="C271" i="5"/>
  <c r="Q271" i="5"/>
  <c r="I271" i="5"/>
  <c r="J271" i="5"/>
  <c r="C272" i="5"/>
  <c r="I272" i="5"/>
  <c r="J272" i="5" s="1"/>
  <c r="Q272" i="5"/>
  <c r="C273" i="5"/>
  <c r="Q273" i="5" s="1"/>
  <c r="I273" i="5"/>
  <c r="J273" i="5"/>
  <c r="C274" i="5"/>
  <c r="Q274" i="5"/>
  <c r="I274" i="5"/>
  <c r="J274" i="5"/>
  <c r="L274" i="5" s="1"/>
  <c r="C275" i="5"/>
  <c r="Q275" i="5"/>
  <c r="I275" i="5"/>
  <c r="R275" i="5" s="1"/>
  <c r="J275" i="5"/>
  <c r="C276" i="5"/>
  <c r="Q276" i="5" s="1"/>
  <c r="I276" i="5"/>
  <c r="J276" i="5"/>
  <c r="L276" i="5" s="1"/>
  <c r="D279" i="5"/>
  <c r="E279" i="5"/>
  <c r="F279" i="5"/>
  <c r="G279" i="5"/>
  <c r="H279" i="5"/>
  <c r="A1" i="6"/>
  <c r="A2" i="6"/>
  <c r="A49" i="6" s="1"/>
  <c r="A96" i="6" s="1"/>
  <c r="A143" i="6" s="1"/>
  <c r="A190" i="6" s="1"/>
  <c r="A237" i="6" s="1"/>
  <c r="C4" i="6"/>
  <c r="I6" i="6"/>
  <c r="C8" i="6"/>
  <c r="Q8" i="6"/>
  <c r="I8" i="6"/>
  <c r="C9" i="6"/>
  <c r="Q9" i="6" s="1"/>
  <c r="I9" i="6"/>
  <c r="C10" i="6"/>
  <c r="Q10" i="6" s="1"/>
  <c r="I10" i="6"/>
  <c r="N10" i="6"/>
  <c r="R20" i="6" s="1"/>
  <c r="C11" i="6"/>
  <c r="Q11" i="6"/>
  <c r="I11" i="6"/>
  <c r="J11" i="6"/>
  <c r="C12" i="6"/>
  <c r="Q12" i="6" s="1"/>
  <c r="I12" i="6"/>
  <c r="C13" i="6"/>
  <c r="Q13" i="6"/>
  <c r="I13" i="6"/>
  <c r="J13" i="6"/>
  <c r="C14" i="6"/>
  <c r="Q14" i="6" s="1"/>
  <c r="I14" i="6"/>
  <c r="C15" i="6"/>
  <c r="Q15" i="6"/>
  <c r="I15" i="6"/>
  <c r="J15" i="6" s="1"/>
  <c r="C16" i="6"/>
  <c r="Q16" i="6"/>
  <c r="I16" i="6"/>
  <c r="C17" i="6"/>
  <c r="Q17" i="6"/>
  <c r="I17" i="6"/>
  <c r="J17" i="6" s="1"/>
  <c r="C18" i="6"/>
  <c r="Q18" i="6" s="1"/>
  <c r="I18" i="6"/>
  <c r="C19" i="6"/>
  <c r="Q19" i="6"/>
  <c r="I19" i="6"/>
  <c r="C20" i="6"/>
  <c r="Q20" i="6" s="1"/>
  <c r="I20" i="6"/>
  <c r="C21" i="6"/>
  <c r="Q21" i="6" s="1"/>
  <c r="I21" i="6"/>
  <c r="C22" i="6"/>
  <c r="Q22" i="6" s="1"/>
  <c r="I22" i="6"/>
  <c r="C23" i="6"/>
  <c r="Q23" i="6" s="1"/>
  <c r="I23" i="6"/>
  <c r="C24" i="6"/>
  <c r="Q24" i="6" s="1"/>
  <c r="I24" i="6"/>
  <c r="R24" i="6"/>
  <c r="C25" i="6"/>
  <c r="Q25" i="6" s="1"/>
  <c r="I25" i="6"/>
  <c r="C26" i="6"/>
  <c r="Q26" i="6" s="1"/>
  <c r="I26" i="6"/>
  <c r="C27" i="6"/>
  <c r="Q27" i="6" s="1"/>
  <c r="I27" i="6"/>
  <c r="J27" i="6" s="1"/>
  <c r="C28" i="6"/>
  <c r="Q28" i="6"/>
  <c r="I28" i="6"/>
  <c r="T28" i="6"/>
  <c r="T75" i="6" s="1"/>
  <c r="T122" i="6" s="1"/>
  <c r="T169" i="6" s="1"/>
  <c r="T216" i="6" s="1"/>
  <c r="T263" i="6" s="1"/>
  <c r="C29" i="6"/>
  <c r="Q29" i="6" s="1"/>
  <c r="I29" i="6"/>
  <c r="J29" i="6" s="1"/>
  <c r="T29" i="6"/>
  <c r="T76" i="6"/>
  <c r="T123" i="6"/>
  <c r="T170" i="6" s="1"/>
  <c r="T217" i="6" s="1"/>
  <c r="T264" i="6" s="1"/>
  <c r="C30" i="6"/>
  <c r="Q30" i="6" s="1"/>
  <c r="I30" i="6"/>
  <c r="C31" i="6"/>
  <c r="Q31" i="6" s="1"/>
  <c r="I31" i="6"/>
  <c r="J31" i="6"/>
  <c r="C32" i="6"/>
  <c r="Q32" i="6"/>
  <c r="I32" i="6"/>
  <c r="J32" i="6"/>
  <c r="C33" i="6"/>
  <c r="Q33" i="6" s="1"/>
  <c r="I33" i="6"/>
  <c r="C34" i="6"/>
  <c r="Q34" i="6" s="1"/>
  <c r="I34" i="6"/>
  <c r="C35" i="6"/>
  <c r="Q35" i="6"/>
  <c r="I35" i="6"/>
  <c r="J35" i="6"/>
  <c r="C36" i="6"/>
  <c r="Q36" i="6"/>
  <c r="I36" i="6"/>
  <c r="C37" i="6"/>
  <c r="Q37" i="6" s="1"/>
  <c r="I37" i="6"/>
  <c r="T37" i="6"/>
  <c r="T84" i="6" s="1"/>
  <c r="T131" i="6" s="1"/>
  <c r="T178" i="6" s="1"/>
  <c r="T225" i="6" s="1"/>
  <c r="T272" i="6" s="1"/>
  <c r="C38" i="6"/>
  <c r="Q38" i="6"/>
  <c r="I38" i="6"/>
  <c r="T38" i="6"/>
  <c r="T85" i="6" s="1"/>
  <c r="T132" i="6" s="1"/>
  <c r="T179" i="6" s="1"/>
  <c r="T226" i="6" s="1"/>
  <c r="T273" i="6" s="1"/>
  <c r="R43" i="6"/>
  <c r="D44" i="6"/>
  <c r="E44" i="6"/>
  <c r="F44" i="6"/>
  <c r="G44" i="6"/>
  <c r="H44" i="6"/>
  <c r="C51" i="6"/>
  <c r="R90" i="6" s="1"/>
  <c r="F51" i="6"/>
  <c r="N51" i="6"/>
  <c r="N239" i="6" s="1"/>
  <c r="D53" i="6"/>
  <c r="D100" i="6" s="1"/>
  <c r="E53" i="6"/>
  <c r="E100" i="6" s="1"/>
  <c r="F53" i="6"/>
  <c r="G53" i="6"/>
  <c r="G100" i="6"/>
  <c r="H53" i="6"/>
  <c r="C55" i="6"/>
  <c r="Q55" i="6" s="1"/>
  <c r="I55" i="6"/>
  <c r="J55" i="6" s="1"/>
  <c r="L55" i="6" s="1"/>
  <c r="C56" i="6"/>
  <c r="Q56" i="6" s="1"/>
  <c r="I56" i="6"/>
  <c r="C57" i="6"/>
  <c r="Q57" i="6" s="1"/>
  <c r="I57" i="6"/>
  <c r="C58" i="6"/>
  <c r="I58" i="6"/>
  <c r="J58" i="6"/>
  <c r="L58" i="6" s="1"/>
  <c r="C59" i="6"/>
  <c r="Q59" i="6" s="1"/>
  <c r="I59" i="6"/>
  <c r="J59" i="6" s="1"/>
  <c r="C60" i="6"/>
  <c r="Q60" i="6" s="1"/>
  <c r="I60" i="6"/>
  <c r="C61" i="6"/>
  <c r="Q61" i="6" s="1"/>
  <c r="I61" i="6"/>
  <c r="C62" i="6"/>
  <c r="Q62" i="6"/>
  <c r="I62" i="6"/>
  <c r="C63" i="6"/>
  <c r="Q63" i="6"/>
  <c r="I63" i="6"/>
  <c r="C64" i="6"/>
  <c r="Q64" i="6" s="1"/>
  <c r="I64" i="6"/>
  <c r="J64" i="6"/>
  <c r="C65" i="6"/>
  <c r="Q65" i="6" s="1"/>
  <c r="I65" i="6"/>
  <c r="C66" i="6"/>
  <c r="Q66" i="6" s="1"/>
  <c r="I66" i="6"/>
  <c r="C67" i="6"/>
  <c r="Q67" i="6"/>
  <c r="I67" i="6"/>
  <c r="C68" i="6"/>
  <c r="Q68" i="6" s="1"/>
  <c r="I68" i="6"/>
  <c r="J68" i="6"/>
  <c r="C69" i="6"/>
  <c r="Q69" i="6"/>
  <c r="I69" i="6"/>
  <c r="C70" i="6"/>
  <c r="Q70" i="6" s="1"/>
  <c r="I70" i="6"/>
  <c r="C71" i="6"/>
  <c r="Q71" i="6"/>
  <c r="I71" i="6"/>
  <c r="C72" i="6"/>
  <c r="Q72" i="6" s="1"/>
  <c r="I72" i="6"/>
  <c r="J72" i="6" s="1"/>
  <c r="C73" i="6"/>
  <c r="Q73" i="6"/>
  <c r="I73" i="6"/>
  <c r="C74" i="6"/>
  <c r="Q74" i="6" s="1"/>
  <c r="I74" i="6"/>
  <c r="C75" i="6"/>
  <c r="Q75" i="6" s="1"/>
  <c r="I75" i="6"/>
  <c r="C76" i="6"/>
  <c r="I76" i="6"/>
  <c r="C77" i="6"/>
  <c r="Q77" i="6" s="1"/>
  <c r="I77" i="6"/>
  <c r="C78" i="6"/>
  <c r="Q78" i="6" s="1"/>
  <c r="I78" i="6"/>
  <c r="J78" i="6" s="1"/>
  <c r="C79" i="6"/>
  <c r="Q79" i="6"/>
  <c r="I79" i="6"/>
  <c r="T79" i="6"/>
  <c r="C80" i="6"/>
  <c r="Q80" i="6"/>
  <c r="I80" i="6"/>
  <c r="C81" i="6"/>
  <c r="Q81" i="6" s="1"/>
  <c r="I81" i="6"/>
  <c r="R81" i="6" s="1"/>
  <c r="C82" i="6"/>
  <c r="Q82" i="6" s="1"/>
  <c r="I82" i="6"/>
  <c r="J82" i="6"/>
  <c r="C83" i="6"/>
  <c r="Q83" i="6" s="1"/>
  <c r="I83" i="6"/>
  <c r="C84" i="6"/>
  <c r="Q84" i="6" s="1"/>
  <c r="I84" i="6"/>
  <c r="C85" i="6"/>
  <c r="Q85" i="6"/>
  <c r="I85" i="6"/>
  <c r="C86" i="6"/>
  <c r="Q86" i="6"/>
  <c r="I86" i="6"/>
  <c r="D91" i="6"/>
  <c r="E91" i="6"/>
  <c r="F91" i="6"/>
  <c r="G91" i="6"/>
  <c r="H91" i="6"/>
  <c r="C98" i="6"/>
  <c r="R137" i="6" s="1"/>
  <c r="F98" i="6"/>
  <c r="N98" i="6"/>
  <c r="F100" i="6"/>
  <c r="F147" i="6" s="1"/>
  <c r="C102" i="6"/>
  <c r="Q102" i="6" s="1"/>
  <c r="I102" i="6"/>
  <c r="C104" i="6"/>
  <c r="Q103" i="6"/>
  <c r="C105" i="6"/>
  <c r="Q104" i="6" s="1"/>
  <c r="C106" i="6"/>
  <c r="Q105" i="6" s="1"/>
  <c r="C107" i="6"/>
  <c r="Q106" i="6"/>
  <c r="C108" i="6"/>
  <c r="Q107" i="6" s="1"/>
  <c r="C109" i="6"/>
  <c r="Q108" i="6"/>
  <c r="C110" i="6"/>
  <c r="Q109" i="6"/>
  <c r="C111" i="6"/>
  <c r="Q110" i="6" s="1"/>
  <c r="C112" i="6"/>
  <c r="Q111" i="6" s="1"/>
  <c r="C103" i="6"/>
  <c r="Q112" i="6"/>
  <c r="C113" i="6"/>
  <c r="Q113" i="6" s="1"/>
  <c r="C114" i="6"/>
  <c r="Q114" i="6"/>
  <c r="C115" i="6"/>
  <c r="Q115" i="6"/>
  <c r="C116" i="6"/>
  <c r="Q116" i="6"/>
  <c r="C117" i="6"/>
  <c r="Q117" i="6" s="1"/>
  <c r="I117" i="6"/>
  <c r="J117" i="6"/>
  <c r="K117" i="6"/>
  <c r="C118" i="6"/>
  <c r="Q118" i="6" s="1"/>
  <c r="I118" i="6"/>
  <c r="C119" i="6"/>
  <c r="Q119" i="6"/>
  <c r="I119" i="6"/>
  <c r="C120" i="6"/>
  <c r="Q120" i="6"/>
  <c r="I120" i="6"/>
  <c r="J120" i="6" s="1"/>
  <c r="L120" i="6" s="1"/>
  <c r="C121" i="6"/>
  <c r="Q121" i="6"/>
  <c r="I121" i="6"/>
  <c r="C122" i="6"/>
  <c r="Q122" i="6" s="1"/>
  <c r="I122" i="6"/>
  <c r="R122" i="6" s="1"/>
  <c r="C123" i="6"/>
  <c r="Q123" i="6"/>
  <c r="I123" i="6"/>
  <c r="C124" i="6"/>
  <c r="Q124" i="6" s="1"/>
  <c r="I124" i="6"/>
  <c r="C125" i="6"/>
  <c r="Q125" i="6"/>
  <c r="I125" i="6"/>
  <c r="C126" i="6"/>
  <c r="Q126" i="6"/>
  <c r="I126" i="6"/>
  <c r="R126" i="6"/>
  <c r="T126" i="6"/>
  <c r="T173" i="6" s="1"/>
  <c r="T220" i="6" s="1"/>
  <c r="T267" i="6" s="1"/>
  <c r="C127" i="6"/>
  <c r="Q127" i="6" s="1"/>
  <c r="I127" i="6"/>
  <c r="C128" i="6"/>
  <c r="Q128" i="6"/>
  <c r="I128" i="6"/>
  <c r="C129" i="6"/>
  <c r="Q129" i="6"/>
  <c r="I129" i="6"/>
  <c r="J129" i="6"/>
  <c r="K129" i="6"/>
  <c r="C130" i="6"/>
  <c r="Q130" i="6"/>
  <c r="I130" i="6"/>
  <c r="C131" i="6"/>
  <c r="Q131" i="6"/>
  <c r="I131" i="6"/>
  <c r="C132" i="6"/>
  <c r="Q132" i="6" s="1"/>
  <c r="I132" i="6"/>
  <c r="R132" i="6" s="1"/>
  <c r="C133" i="6"/>
  <c r="Q133" i="6"/>
  <c r="I133" i="6"/>
  <c r="D138" i="6"/>
  <c r="E138" i="6"/>
  <c r="F138" i="6"/>
  <c r="G138" i="6"/>
  <c r="H138" i="6"/>
  <c r="C145" i="6"/>
  <c r="R184" i="6"/>
  <c r="F145" i="6"/>
  <c r="N145" i="6"/>
  <c r="C149" i="6"/>
  <c r="Q149" i="6" s="1"/>
  <c r="I149" i="6"/>
  <c r="J149" i="6" s="1"/>
  <c r="C150" i="6"/>
  <c r="Q150" i="6"/>
  <c r="I150" i="6"/>
  <c r="J150" i="6" s="1"/>
  <c r="C151" i="6"/>
  <c r="Q151" i="6"/>
  <c r="I151" i="6"/>
  <c r="C152" i="6"/>
  <c r="Q152" i="6"/>
  <c r="I152" i="6"/>
  <c r="C153" i="6"/>
  <c r="Q153" i="6" s="1"/>
  <c r="I153" i="6"/>
  <c r="C154" i="6"/>
  <c r="Q154" i="6" s="1"/>
  <c r="I154" i="6"/>
  <c r="J154" i="6" s="1"/>
  <c r="C155" i="6"/>
  <c r="Q155" i="6" s="1"/>
  <c r="I155" i="6"/>
  <c r="J155" i="6"/>
  <c r="C156" i="6"/>
  <c r="Q156" i="6"/>
  <c r="I156" i="6"/>
  <c r="J156" i="6"/>
  <c r="C157" i="6"/>
  <c r="Q157" i="6" s="1"/>
  <c r="I157" i="6"/>
  <c r="C158" i="6"/>
  <c r="Q158" i="6"/>
  <c r="I158" i="6"/>
  <c r="C159" i="6"/>
  <c r="Q159" i="6"/>
  <c r="I159" i="6"/>
  <c r="C160" i="6"/>
  <c r="Q160" i="6" s="1"/>
  <c r="I160" i="6"/>
  <c r="J160" i="6"/>
  <c r="C161" i="6"/>
  <c r="Q161" i="6" s="1"/>
  <c r="I161" i="6"/>
  <c r="C162" i="6"/>
  <c r="Q162" i="6"/>
  <c r="I162" i="6"/>
  <c r="J162" i="6"/>
  <c r="C163" i="6"/>
  <c r="Q163" i="6" s="1"/>
  <c r="I163" i="6"/>
  <c r="C164" i="6"/>
  <c r="Q164" i="6"/>
  <c r="I164" i="6"/>
  <c r="C165" i="6"/>
  <c r="Q165" i="6" s="1"/>
  <c r="I165" i="6"/>
  <c r="C166" i="6"/>
  <c r="Q166" i="6" s="1"/>
  <c r="I166" i="6"/>
  <c r="R166" i="6"/>
  <c r="C167" i="6"/>
  <c r="Q167" i="6" s="1"/>
  <c r="I167" i="6"/>
  <c r="J167" i="6"/>
  <c r="C168" i="6"/>
  <c r="Q168" i="6" s="1"/>
  <c r="I168" i="6"/>
  <c r="J168" i="6" s="1"/>
  <c r="C169" i="6"/>
  <c r="Q169" i="6"/>
  <c r="I169" i="6"/>
  <c r="J169" i="6"/>
  <c r="C170" i="6"/>
  <c r="Q170" i="6" s="1"/>
  <c r="I170" i="6"/>
  <c r="J170" i="6"/>
  <c r="C171" i="6"/>
  <c r="Q171" i="6" s="1"/>
  <c r="I171" i="6"/>
  <c r="J171" i="6" s="1"/>
  <c r="C172" i="6"/>
  <c r="Q172" i="6" s="1"/>
  <c r="I172" i="6"/>
  <c r="J172" i="6" s="1"/>
  <c r="C173" i="6"/>
  <c r="Q173" i="6" s="1"/>
  <c r="I173" i="6"/>
  <c r="C174" i="6"/>
  <c r="Q174" i="6"/>
  <c r="I174" i="6"/>
  <c r="J174" i="6" s="1"/>
  <c r="C175" i="6"/>
  <c r="Q175" i="6" s="1"/>
  <c r="I175" i="6"/>
  <c r="J175" i="6" s="1"/>
  <c r="C176" i="6"/>
  <c r="Q176" i="6" s="1"/>
  <c r="I176" i="6"/>
  <c r="J176" i="6"/>
  <c r="C177" i="6"/>
  <c r="Q177" i="6"/>
  <c r="I177" i="6"/>
  <c r="C178" i="6"/>
  <c r="Q178" i="6" s="1"/>
  <c r="I178" i="6"/>
  <c r="J178" i="6" s="1"/>
  <c r="D185" i="6"/>
  <c r="E185" i="6"/>
  <c r="F185" i="6"/>
  <c r="G185" i="6"/>
  <c r="H185" i="6"/>
  <c r="C192" i="6"/>
  <c r="R231" i="6" s="1"/>
  <c r="F192" i="6"/>
  <c r="N192" i="6"/>
  <c r="C196" i="6"/>
  <c r="Q196" i="6" s="1"/>
  <c r="I196" i="6"/>
  <c r="C197" i="6"/>
  <c r="Q197" i="6" s="1"/>
  <c r="I197" i="6"/>
  <c r="C198" i="6"/>
  <c r="Q198" i="6"/>
  <c r="I198" i="6"/>
  <c r="J198" i="6" s="1"/>
  <c r="K198" i="6" s="1"/>
  <c r="C199" i="6"/>
  <c r="Q199" i="6"/>
  <c r="I199" i="6"/>
  <c r="J199" i="6" s="1"/>
  <c r="K199" i="6" s="1"/>
  <c r="C200" i="6"/>
  <c r="Q200" i="6" s="1"/>
  <c r="I200" i="6"/>
  <c r="C201" i="6"/>
  <c r="Q201" i="6" s="1"/>
  <c r="I201" i="6"/>
  <c r="C202" i="6"/>
  <c r="I202" i="6"/>
  <c r="J202" i="6" s="1"/>
  <c r="K202" i="6" s="1"/>
  <c r="C203" i="6"/>
  <c r="Q203" i="6" s="1"/>
  <c r="I203" i="6"/>
  <c r="C204" i="6"/>
  <c r="Q204" i="6"/>
  <c r="I204" i="6"/>
  <c r="C205" i="6"/>
  <c r="Q205" i="6"/>
  <c r="I205" i="6"/>
  <c r="C206" i="6"/>
  <c r="Q206" i="6" s="1"/>
  <c r="I206" i="6"/>
  <c r="C207" i="6"/>
  <c r="Q207" i="6" s="1"/>
  <c r="I207" i="6"/>
  <c r="J207" i="6" s="1"/>
  <c r="K207" i="6" s="1"/>
  <c r="C208" i="6"/>
  <c r="Q208" i="6"/>
  <c r="I208" i="6"/>
  <c r="C209" i="6"/>
  <c r="Q209" i="6" s="1"/>
  <c r="I209" i="6"/>
  <c r="C210" i="6"/>
  <c r="Q210" i="6" s="1"/>
  <c r="I210" i="6"/>
  <c r="J210" i="6"/>
  <c r="C211" i="6"/>
  <c r="Q211" i="6"/>
  <c r="I211" i="6"/>
  <c r="J211" i="6"/>
  <c r="K211" i="6"/>
  <c r="C212" i="6"/>
  <c r="Q212" i="6"/>
  <c r="I212" i="6"/>
  <c r="C213" i="6"/>
  <c r="Q213" i="6" s="1"/>
  <c r="I213" i="6"/>
  <c r="C214" i="6"/>
  <c r="Q214" i="6" s="1"/>
  <c r="I214" i="6"/>
  <c r="J214" i="6"/>
  <c r="K214" i="6"/>
  <c r="C215" i="6"/>
  <c r="Q215" i="6"/>
  <c r="I215" i="6"/>
  <c r="C216" i="6"/>
  <c r="Q216" i="6"/>
  <c r="I216" i="6"/>
  <c r="C217" i="6"/>
  <c r="Q217" i="6"/>
  <c r="I217" i="6"/>
  <c r="J217" i="6"/>
  <c r="L217" i="6" s="1"/>
  <c r="C218" i="6"/>
  <c r="Q218" i="6"/>
  <c r="I218" i="6"/>
  <c r="C219" i="6"/>
  <c r="Q219" i="6"/>
  <c r="I219" i="6"/>
  <c r="C220" i="6"/>
  <c r="Q220" i="6"/>
  <c r="I220" i="6"/>
  <c r="C221" i="6"/>
  <c r="Q221" i="6" s="1"/>
  <c r="I221" i="6"/>
  <c r="C222" i="6"/>
  <c r="Q222" i="6"/>
  <c r="I222" i="6"/>
  <c r="J222" i="6"/>
  <c r="L222" i="6" s="1"/>
  <c r="C223" i="6"/>
  <c r="Q223" i="6"/>
  <c r="I223" i="6"/>
  <c r="C224" i="6"/>
  <c r="Q224" i="6" s="1"/>
  <c r="I224" i="6"/>
  <c r="C225" i="6"/>
  <c r="Q225" i="6" s="1"/>
  <c r="I225" i="6"/>
  <c r="Q226" i="6"/>
  <c r="Q227" i="6"/>
  <c r="Q228" i="6"/>
  <c r="D232" i="6"/>
  <c r="E232" i="6"/>
  <c r="F232" i="6"/>
  <c r="G232" i="6"/>
  <c r="H232" i="6"/>
  <c r="C239" i="6"/>
  <c r="R278" i="6" s="1"/>
  <c r="F239" i="6"/>
  <c r="C243" i="6"/>
  <c r="Q243" i="6"/>
  <c r="I243" i="6"/>
  <c r="C244" i="6"/>
  <c r="Q244" i="6"/>
  <c r="I244" i="6"/>
  <c r="C245" i="6"/>
  <c r="Q245" i="6"/>
  <c r="I245" i="6"/>
  <c r="C246" i="6"/>
  <c r="Q246" i="6" s="1"/>
  <c r="I246" i="6"/>
  <c r="C247" i="6"/>
  <c r="Q247" i="6"/>
  <c r="I247" i="6"/>
  <c r="J247" i="6" s="1"/>
  <c r="L247" i="6" s="1"/>
  <c r="C248" i="6"/>
  <c r="Q248" i="6" s="1"/>
  <c r="I248" i="6"/>
  <c r="C249" i="6"/>
  <c r="Q249" i="6" s="1"/>
  <c r="I249" i="6"/>
  <c r="J249" i="6" s="1"/>
  <c r="L249" i="6" s="1"/>
  <c r="C250" i="6"/>
  <c r="Q250" i="6"/>
  <c r="I250" i="6"/>
  <c r="R250" i="6" s="1"/>
  <c r="C251" i="6"/>
  <c r="Q251" i="6" s="1"/>
  <c r="I251" i="6"/>
  <c r="J251" i="6" s="1"/>
  <c r="C252" i="6"/>
  <c r="Q252" i="6"/>
  <c r="I252" i="6"/>
  <c r="C253" i="6"/>
  <c r="Q253" i="6" s="1"/>
  <c r="I253" i="6"/>
  <c r="J253" i="6"/>
  <c r="L253" i="6" s="1"/>
  <c r="C254" i="6"/>
  <c r="Q254" i="6" s="1"/>
  <c r="I254" i="6"/>
  <c r="C255" i="6"/>
  <c r="Q255" i="6" s="1"/>
  <c r="I255" i="6"/>
  <c r="J255" i="6"/>
  <c r="L255" i="6" s="1"/>
  <c r="C256" i="6"/>
  <c r="Q256" i="6"/>
  <c r="I256" i="6"/>
  <c r="J256" i="6" s="1"/>
  <c r="L256" i="6" s="1"/>
  <c r="C257" i="6"/>
  <c r="Q257" i="6"/>
  <c r="I257" i="6"/>
  <c r="J257" i="6" s="1"/>
  <c r="L257" i="6" s="1"/>
  <c r="C258" i="6"/>
  <c r="Q258" i="6"/>
  <c r="I258" i="6"/>
  <c r="C259" i="6"/>
  <c r="Q259" i="6"/>
  <c r="I259" i="6"/>
  <c r="J259" i="6" s="1"/>
  <c r="C260" i="6"/>
  <c r="Q260" i="6" s="1"/>
  <c r="I260" i="6"/>
  <c r="C261" i="6"/>
  <c r="Q261" i="6" s="1"/>
  <c r="I261" i="6"/>
  <c r="J261" i="6" s="1"/>
  <c r="C262" i="6"/>
  <c r="Q262" i="6" s="1"/>
  <c r="I262" i="6"/>
  <c r="C263" i="6"/>
  <c r="Q263" i="6"/>
  <c r="I263" i="6"/>
  <c r="J263" i="6" s="1"/>
  <c r="L263" i="6" s="1"/>
  <c r="C264" i="6"/>
  <c r="Q264" i="6"/>
  <c r="I264" i="6"/>
  <c r="C265" i="6"/>
  <c r="Q265" i="6" s="1"/>
  <c r="I265" i="6"/>
  <c r="J265" i="6"/>
  <c r="L265" i="6" s="1"/>
  <c r="C266" i="6"/>
  <c r="Q266" i="6"/>
  <c r="I266" i="6"/>
  <c r="C267" i="6"/>
  <c r="Q267" i="6" s="1"/>
  <c r="I267" i="6"/>
  <c r="J267" i="6"/>
  <c r="L267" i="6" s="1"/>
  <c r="C268" i="6"/>
  <c r="Q268" i="6" s="1"/>
  <c r="I268" i="6"/>
  <c r="C269" i="6"/>
  <c r="Q269" i="6" s="1"/>
  <c r="I269" i="6"/>
  <c r="C270" i="6"/>
  <c r="Q270" i="6"/>
  <c r="I270" i="6"/>
  <c r="C271" i="6"/>
  <c r="Q271" i="6"/>
  <c r="I271" i="6"/>
  <c r="J271" i="6" s="1"/>
  <c r="C272" i="6"/>
  <c r="Q272" i="6" s="1"/>
  <c r="Q273" i="6"/>
  <c r="Q274" i="6"/>
  <c r="Q275" i="6"/>
  <c r="D279" i="6"/>
  <c r="E279" i="6"/>
  <c r="F279" i="6"/>
  <c r="G279" i="6"/>
  <c r="H279" i="6"/>
  <c r="A1" i="2"/>
  <c r="A2" i="2"/>
  <c r="A49" i="2" s="1"/>
  <c r="A96" i="2" s="1"/>
  <c r="A143" i="2" s="1"/>
  <c r="A190" i="2" s="1"/>
  <c r="A237" i="2" s="1"/>
  <c r="C4" i="2"/>
  <c r="R43" i="2" s="1"/>
  <c r="I6" i="2"/>
  <c r="C8" i="2"/>
  <c r="Q8" i="2"/>
  <c r="I8" i="2"/>
  <c r="C9" i="2"/>
  <c r="Q9" i="2" s="1"/>
  <c r="I9" i="2"/>
  <c r="C10" i="2"/>
  <c r="Q10" i="2"/>
  <c r="I10" i="2"/>
  <c r="R10" i="2"/>
  <c r="N10" i="2"/>
  <c r="C11" i="2"/>
  <c r="Q11" i="2" s="1"/>
  <c r="I11" i="2"/>
  <c r="C12" i="2"/>
  <c r="Q12" i="2"/>
  <c r="I12" i="2"/>
  <c r="C13" i="2"/>
  <c r="Q13" i="2"/>
  <c r="I13" i="2"/>
  <c r="J13" i="2"/>
  <c r="C14" i="2"/>
  <c r="Q14" i="2"/>
  <c r="I14" i="2"/>
  <c r="J14" i="2" s="1"/>
  <c r="C15" i="2"/>
  <c r="Q15" i="2" s="1"/>
  <c r="I15" i="2"/>
  <c r="C16" i="2"/>
  <c r="Q16" i="2"/>
  <c r="I16" i="2"/>
  <c r="C17" i="2"/>
  <c r="Q17" i="2" s="1"/>
  <c r="I17" i="2"/>
  <c r="J17" i="2"/>
  <c r="C18" i="2"/>
  <c r="Q18" i="2" s="1"/>
  <c r="I18" i="2"/>
  <c r="J18" i="2" s="1"/>
  <c r="C19" i="2"/>
  <c r="Q19" i="2" s="1"/>
  <c r="I19" i="2"/>
  <c r="C20" i="2"/>
  <c r="Q20" i="2" s="1"/>
  <c r="I20" i="2"/>
  <c r="C21" i="2"/>
  <c r="Q21" i="2" s="1"/>
  <c r="I21" i="2"/>
  <c r="C22" i="2"/>
  <c r="Q22" i="2" s="1"/>
  <c r="I22" i="2"/>
  <c r="J22" i="2" s="1"/>
  <c r="C23" i="2"/>
  <c r="Q23" i="2"/>
  <c r="I23" i="2"/>
  <c r="C24" i="2"/>
  <c r="Q24" i="2" s="1"/>
  <c r="I24" i="2"/>
  <c r="C25" i="2"/>
  <c r="Q25" i="2" s="1"/>
  <c r="I25" i="2"/>
  <c r="C26" i="2"/>
  <c r="Q26" i="2"/>
  <c r="I26" i="2"/>
  <c r="J26" i="2" s="1"/>
  <c r="C27" i="2"/>
  <c r="Q27" i="2"/>
  <c r="I27" i="2"/>
  <c r="C28" i="2"/>
  <c r="Q28" i="2" s="1"/>
  <c r="I28" i="2"/>
  <c r="J28" i="2" s="1"/>
  <c r="T28" i="2"/>
  <c r="C29" i="2"/>
  <c r="Q29" i="2" s="1"/>
  <c r="I29" i="2"/>
  <c r="J29" i="2" s="1"/>
  <c r="T29" i="2"/>
  <c r="C30" i="2"/>
  <c r="Q30" i="2"/>
  <c r="I30" i="2"/>
  <c r="R30" i="2" s="1"/>
  <c r="C31" i="2"/>
  <c r="Q31" i="2"/>
  <c r="I31" i="2"/>
  <c r="J31" i="2" s="1"/>
  <c r="L31" i="2" s="1"/>
  <c r="F29" i="15" s="1"/>
  <c r="C32" i="2"/>
  <c r="Q32" i="2" s="1"/>
  <c r="I32" i="2"/>
  <c r="C33" i="2"/>
  <c r="Q33" i="2" s="1"/>
  <c r="I33" i="2"/>
  <c r="C34" i="2"/>
  <c r="Q34" i="2"/>
  <c r="I34" i="2"/>
  <c r="C35" i="2"/>
  <c r="Q35" i="2" s="1"/>
  <c r="I35" i="2"/>
  <c r="C36" i="2"/>
  <c r="Q36" i="2" s="1"/>
  <c r="I36" i="2"/>
  <c r="C37" i="2"/>
  <c r="Q37" i="2"/>
  <c r="I37" i="2"/>
  <c r="T37" i="2"/>
  <c r="C38" i="2"/>
  <c r="Q38" i="2" s="1"/>
  <c r="I38" i="2"/>
  <c r="J38" i="2"/>
  <c r="L38" i="2" s="1"/>
  <c r="F36" i="15"/>
  <c r="T38" i="2"/>
  <c r="C39" i="2"/>
  <c r="D44" i="2"/>
  <c r="E44" i="2"/>
  <c r="F44" i="2"/>
  <c r="I44" i="2" s="1"/>
  <c r="N27" i="2" s="1"/>
  <c r="G44" i="2"/>
  <c r="H44" i="2"/>
  <c r="C51" i="2"/>
  <c r="R90" i="2"/>
  <c r="F51" i="2"/>
  <c r="N51" i="2"/>
  <c r="C55" i="2"/>
  <c r="Q55" i="2" s="1"/>
  <c r="I55" i="2"/>
  <c r="C56" i="2"/>
  <c r="Q56" i="2" s="1"/>
  <c r="I56" i="2"/>
  <c r="R56" i="2" s="1"/>
  <c r="C57" i="2"/>
  <c r="Q57" i="2" s="1"/>
  <c r="I57" i="2"/>
  <c r="C58" i="2"/>
  <c r="Q58" i="2" s="1"/>
  <c r="I58" i="2"/>
  <c r="C59" i="2"/>
  <c r="Q59" i="2"/>
  <c r="I59" i="2"/>
  <c r="R59" i="2" s="1"/>
  <c r="C60" i="2"/>
  <c r="Q60" i="2"/>
  <c r="I60" i="2"/>
  <c r="C61" i="2"/>
  <c r="Q61" i="2" s="1"/>
  <c r="I61" i="2"/>
  <c r="C62" i="2"/>
  <c r="Q62" i="2" s="1"/>
  <c r="I62" i="2"/>
  <c r="C63" i="2"/>
  <c r="Q63" i="2"/>
  <c r="I63" i="2"/>
  <c r="C64" i="2"/>
  <c r="Q64" i="2" s="1"/>
  <c r="I64" i="2"/>
  <c r="C65" i="2"/>
  <c r="Q65" i="2"/>
  <c r="I65" i="2"/>
  <c r="C66" i="2"/>
  <c r="Q66" i="2"/>
  <c r="I66" i="2"/>
  <c r="C67" i="2"/>
  <c r="Q67" i="2"/>
  <c r="I67" i="2"/>
  <c r="J67" i="2" s="1"/>
  <c r="C68" i="2"/>
  <c r="Q68" i="2"/>
  <c r="I68" i="2"/>
  <c r="C69" i="2"/>
  <c r="Q69" i="2"/>
  <c r="I69" i="2"/>
  <c r="C70" i="2"/>
  <c r="Q70" i="2"/>
  <c r="I70" i="2"/>
  <c r="C71" i="2"/>
  <c r="Q71" i="2" s="1"/>
  <c r="I71" i="2"/>
  <c r="C72" i="2"/>
  <c r="Q72" i="2"/>
  <c r="I72" i="2"/>
  <c r="C73" i="2"/>
  <c r="Q73" i="2"/>
  <c r="I73" i="2"/>
  <c r="C74" i="2"/>
  <c r="Q74" i="2"/>
  <c r="I74" i="2"/>
  <c r="J74" i="2" s="1"/>
  <c r="L74" i="2" s="1"/>
  <c r="F74" i="15" s="1"/>
  <c r="C75" i="2"/>
  <c r="Q75" i="2" s="1"/>
  <c r="I75" i="2"/>
  <c r="T75" i="2"/>
  <c r="T216" i="2" s="1"/>
  <c r="T263" i="2"/>
  <c r="C76" i="2"/>
  <c r="Q76" i="2"/>
  <c r="I76" i="2"/>
  <c r="T76" i="2"/>
  <c r="T123" i="2"/>
  <c r="C77" i="2"/>
  <c r="Q77" i="2"/>
  <c r="I77" i="2"/>
  <c r="C78" i="2"/>
  <c r="Q78" i="2" s="1"/>
  <c r="I78" i="2"/>
  <c r="C79" i="2"/>
  <c r="Q79" i="2" s="1"/>
  <c r="I79" i="2"/>
  <c r="C80" i="2"/>
  <c r="Q80" i="2"/>
  <c r="I80" i="2"/>
  <c r="C81" i="2"/>
  <c r="Q81" i="2"/>
  <c r="I81" i="2"/>
  <c r="C82" i="2"/>
  <c r="Q82" i="2" s="1"/>
  <c r="I82" i="2"/>
  <c r="C83" i="2"/>
  <c r="Q83" i="2" s="1"/>
  <c r="I83" i="2"/>
  <c r="C84" i="2"/>
  <c r="Q84" i="2" s="1"/>
  <c r="I84" i="2"/>
  <c r="T84" i="2"/>
  <c r="T131" i="2"/>
  <c r="C85" i="2"/>
  <c r="Q85" i="2" s="1"/>
  <c r="I85" i="2"/>
  <c r="T85" i="2"/>
  <c r="C86" i="2"/>
  <c r="Q86" i="2" s="1"/>
  <c r="I86" i="2"/>
  <c r="D91" i="2"/>
  <c r="E91" i="2"/>
  <c r="F91" i="2"/>
  <c r="G91" i="2"/>
  <c r="H91" i="2"/>
  <c r="C98" i="2"/>
  <c r="R137" i="2"/>
  <c r="F98" i="2"/>
  <c r="N98" i="2"/>
  <c r="C102" i="2"/>
  <c r="Q102" i="2" s="1"/>
  <c r="I102" i="2"/>
  <c r="J102" i="2" s="1"/>
  <c r="C104" i="2"/>
  <c r="Q103" i="2" s="1"/>
  <c r="C105" i="2"/>
  <c r="Q104" i="2" s="1"/>
  <c r="C106" i="2"/>
  <c r="Q105" i="2"/>
  <c r="C107" i="2"/>
  <c r="Q106" i="2" s="1"/>
  <c r="C108" i="2"/>
  <c r="Q107" i="2" s="1"/>
  <c r="C109" i="2"/>
  <c r="Q108" i="2" s="1"/>
  <c r="C110" i="2"/>
  <c r="Q109" i="2"/>
  <c r="C111" i="2"/>
  <c r="Q110" i="2"/>
  <c r="C112" i="2"/>
  <c r="Q111" i="2"/>
  <c r="C103" i="2"/>
  <c r="Q112" i="2"/>
  <c r="C113" i="2"/>
  <c r="Q113" i="2"/>
  <c r="C114" i="2"/>
  <c r="Q114" i="2" s="1"/>
  <c r="I114" i="2"/>
  <c r="C115" i="2"/>
  <c r="Q115" i="2" s="1"/>
  <c r="I115" i="2"/>
  <c r="C116" i="2"/>
  <c r="Q116" i="2"/>
  <c r="I116" i="2"/>
  <c r="C117" i="2"/>
  <c r="Q117" i="2" s="1"/>
  <c r="I117" i="2"/>
  <c r="C118" i="2"/>
  <c r="Q118" i="2" s="1"/>
  <c r="I118" i="2"/>
  <c r="C119" i="2"/>
  <c r="Q119" i="2" s="1"/>
  <c r="C120" i="2"/>
  <c r="Q120" i="2"/>
  <c r="I120" i="2"/>
  <c r="C121" i="2"/>
  <c r="Q121" i="2"/>
  <c r="I121" i="2"/>
  <c r="C122" i="2"/>
  <c r="Q122" i="2" s="1"/>
  <c r="I122" i="2"/>
  <c r="C123" i="2"/>
  <c r="Q123" i="2"/>
  <c r="I123" i="2"/>
  <c r="C124" i="2"/>
  <c r="Q124" i="2"/>
  <c r="I124" i="2"/>
  <c r="C125" i="2"/>
  <c r="Q125" i="2"/>
  <c r="I125" i="2"/>
  <c r="C126" i="2"/>
  <c r="Q126" i="2" s="1"/>
  <c r="I126" i="2"/>
  <c r="C127" i="2"/>
  <c r="Q127" i="2"/>
  <c r="I127" i="2"/>
  <c r="C128" i="2"/>
  <c r="Q128" i="2"/>
  <c r="I128" i="2"/>
  <c r="C129" i="2"/>
  <c r="Q129" i="2"/>
  <c r="I129" i="2"/>
  <c r="C130" i="2"/>
  <c r="Q130" i="2" s="1"/>
  <c r="I130" i="2"/>
  <c r="C131" i="2"/>
  <c r="Q131" i="2"/>
  <c r="I131" i="2"/>
  <c r="C132" i="2"/>
  <c r="Q132" i="2"/>
  <c r="I132" i="2"/>
  <c r="C133" i="2"/>
  <c r="Q133" i="2"/>
  <c r="I133" i="2"/>
  <c r="D138" i="2"/>
  <c r="I138" i="2" s="1"/>
  <c r="N121" i="2" s="1"/>
  <c r="E138" i="2"/>
  <c r="F138" i="2"/>
  <c r="G138" i="2"/>
  <c r="H138" i="2"/>
  <c r="C145" i="2"/>
  <c r="R184" i="2" s="1"/>
  <c r="F145" i="2"/>
  <c r="N145" i="2"/>
  <c r="C149" i="2"/>
  <c r="Q149" i="2" s="1"/>
  <c r="I149" i="2"/>
  <c r="J149" i="2" s="1"/>
  <c r="L149" i="2" s="1"/>
  <c r="F153" i="15" s="1"/>
  <c r="C150" i="2"/>
  <c r="Q150" i="2" s="1"/>
  <c r="I150" i="2"/>
  <c r="C151" i="2"/>
  <c r="Q151" i="2"/>
  <c r="I151" i="2"/>
  <c r="J151" i="2" s="1"/>
  <c r="L151" i="2" s="1"/>
  <c r="F155" i="15" s="1"/>
  <c r="N151" i="2"/>
  <c r="C152" i="2"/>
  <c r="Q152" i="2" s="1"/>
  <c r="I152" i="2"/>
  <c r="C153" i="2"/>
  <c r="Q153" i="2" s="1"/>
  <c r="I153" i="2"/>
  <c r="C154" i="2"/>
  <c r="Q154" i="2"/>
  <c r="I154" i="2"/>
  <c r="C155" i="2"/>
  <c r="Q155" i="2"/>
  <c r="I155" i="2"/>
  <c r="J155" i="2" s="1"/>
  <c r="C156" i="2"/>
  <c r="Q156" i="2" s="1"/>
  <c r="I156" i="2"/>
  <c r="C157" i="2"/>
  <c r="Q157" i="2" s="1"/>
  <c r="I157" i="2"/>
  <c r="C158" i="2"/>
  <c r="Q158" i="2"/>
  <c r="I158" i="2"/>
  <c r="C159" i="2"/>
  <c r="Q159" i="2"/>
  <c r="I159" i="2"/>
  <c r="J159" i="2" s="1"/>
  <c r="K159" i="2" s="1"/>
  <c r="C160" i="2"/>
  <c r="Q160" i="2" s="1"/>
  <c r="I160" i="2"/>
  <c r="C161" i="2"/>
  <c r="Q161" i="2" s="1"/>
  <c r="I161" i="2"/>
  <c r="C162" i="2"/>
  <c r="Q162" i="2"/>
  <c r="I162" i="2"/>
  <c r="C163" i="2"/>
  <c r="Q163" i="2"/>
  <c r="I163" i="2"/>
  <c r="C164" i="2"/>
  <c r="Q164" i="2" s="1"/>
  <c r="I164" i="2"/>
  <c r="C165" i="2"/>
  <c r="Q165" i="2" s="1"/>
  <c r="I165" i="2"/>
  <c r="R165" i="2" s="1"/>
  <c r="C166" i="2"/>
  <c r="Q166" i="2" s="1"/>
  <c r="I166" i="2"/>
  <c r="C167" i="2"/>
  <c r="Q167" i="2" s="1"/>
  <c r="I167" i="2"/>
  <c r="R167" i="2" s="1"/>
  <c r="C168" i="2"/>
  <c r="Q168" i="2" s="1"/>
  <c r="I168" i="2"/>
  <c r="C169" i="2"/>
  <c r="Q169" i="2" s="1"/>
  <c r="J169" i="2"/>
  <c r="L169" i="2" s="1"/>
  <c r="F173" i="15" s="1"/>
  <c r="C170" i="2"/>
  <c r="Q170" i="2"/>
  <c r="I170" i="2"/>
  <c r="J170" i="2" s="1"/>
  <c r="L170" i="2" s="1"/>
  <c r="F174" i="15" s="1"/>
  <c r="C171" i="2"/>
  <c r="Q171" i="2" s="1"/>
  <c r="I171" i="2"/>
  <c r="R171" i="2" s="1"/>
  <c r="C172" i="2"/>
  <c r="Q172" i="2" s="1"/>
  <c r="I172" i="2"/>
  <c r="C173" i="2"/>
  <c r="Q173" i="2" s="1"/>
  <c r="I173" i="2"/>
  <c r="C174" i="2"/>
  <c r="Q174" i="2"/>
  <c r="I174" i="2"/>
  <c r="J174" i="2" s="1"/>
  <c r="C175" i="2"/>
  <c r="Q175" i="2" s="1"/>
  <c r="I175" i="2"/>
  <c r="R175" i="2" s="1"/>
  <c r="C176" i="2"/>
  <c r="Q176" i="2" s="1"/>
  <c r="I176" i="2"/>
  <c r="C177" i="2"/>
  <c r="Q177" i="2" s="1"/>
  <c r="I177" i="2"/>
  <c r="C178" i="2"/>
  <c r="Q178" i="2"/>
  <c r="I178" i="2"/>
  <c r="T178" i="2"/>
  <c r="D185" i="2"/>
  <c r="I185" i="2" s="1"/>
  <c r="N168" i="2"/>
  <c r="E185" i="2"/>
  <c r="F185" i="2"/>
  <c r="G185" i="2"/>
  <c r="H185" i="2"/>
  <c r="C192" i="2"/>
  <c r="R231" i="2"/>
  <c r="F192" i="2"/>
  <c r="N192" i="2"/>
  <c r="C196" i="2"/>
  <c r="Q196" i="2"/>
  <c r="I196" i="2"/>
  <c r="J196" i="2" s="1"/>
  <c r="C197" i="2"/>
  <c r="Q197" i="2" s="1"/>
  <c r="I197" i="2"/>
  <c r="C198" i="2"/>
  <c r="Q198" i="2" s="1"/>
  <c r="I198" i="2"/>
  <c r="C199" i="2"/>
  <c r="Q199" i="2"/>
  <c r="I199" i="2"/>
  <c r="R199" i="2"/>
  <c r="C200" i="2"/>
  <c r="Q200" i="2"/>
  <c r="I200" i="2"/>
  <c r="C201" i="2"/>
  <c r="Q201" i="2"/>
  <c r="I201" i="2"/>
  <c r="C202" i="2"/>
  <c r="Q202" i="2" s="1"/>
  <c r="I202" i="2"/>
  <c r="C203" i="2"/>
  <c r="Q203" i="2"/>
  <c r="I203" i="2"/>
  <c r="J203" i="2" s="1"/>
  <c r="R203" i="2"/>
  <c r="C204" i="2"/>
  <c r="Q204" i="2" s="1"/>
  <c r="I204" i="2"/>
  <c r="C205" i="2"/>
  <c r="Q205" i="2"/>
  <c r="I205" i="2"/>
  <c r="C206" i="2"/>
  <c r="Q206" i="2"/>
  <c r="I206" i="2"/>
  <c r="C207" i="2"/>
  <c r="Q207" i="2"/>
  <c r="I207" i="2"/>
  <c r="J207" i="2" s="1"/>
  <c r="L207" i="2" s="1"/>
  <c r="F213" i="15" s="1"/>
  <c r="C208" i="2"/>
  <c r="Q208" i="2" s="1"/>
  <c r="I208" i="2"/>
  <c r="C209" i="2"/>
  <c r="Q209" i="2"/>
  <c r="I209" i="2"/>
  <c r="C210" i="2"/>
  <c r="Q210" i="2" s="1"/>
  <c r="I210" i="2"/>
  <c r="C211" i="2"/>
  <c r="Q211" i="2" s="1"/>
  <c r="I211" i="2"/>
  <c r="C212" i="2"/>
  <c r="Q212" i="2"/>
  <c r="I212" i="2"/>
  <c r="C213" i="2"/>
  <c r="Q213" i="2" s="1"/>
  <c r="I213" i="2"/>
  <c r="C214" i="2"/>
  <c r="Q214" i="2"/>
  <c r="I214" i="2"/>
  <c r="C215" i="2"/>
  <c r="Q215" i="2" s="1"/>
  <c r="C216" i="2"/>
  <c r="Q216" i="2" s="1"/>
  <c r="I216" i="2"/>
  <c r="C217" i="2"/>
  <c r="Q217" i="2" s="1"/>
  <c r="I217" i="2"/>
  <c r="J217" i="2" s="1"/>
  <c r="T217" i="2"/>
  <c r="C218" i="2"/>
  <c r="Q218" i="2" s="1"/>
  <c r="I218" i="2"/>
  <c r="C219" i="2"/>
  <c r="Q219" i="2"/>
  <c r="I219" i="2"/>
  <c r="C220" i="2"/>
  <c r="Q220" i="2" s="1"/>
  <c r="I220" i="2"/>
  <c r="C221" i="2"/>
  <c r="Q221" i="2"/>
  <c r="I221" i="2"/>
  <c r="C222" i="2"/>
  <c r="Q222" i="2" s="1"/>
  <c r="I222" i="2"/>
  <c r="C223" i="2"/>
  <c r="Q223" i="2" s="1"/>
  <c r="I223" i="2"/>
  <c r="R223" i="2" s="1"/>
  <c r="C224" i="2"/>
  <c r="Q224" i="2"/>
  <c r="I224" i="2"/>
  <c r="C225" i="2"/>
  <c r="Q225" i="2" s="1"/>
  <c r="T225" i="2"/>
  <c r="D232" i="2"/>
  <c r="E232" i="2"/>
  <c r="F232" i="2"/>
  <c r="G232" i="2"/>
  <c r="H232" i="2"/>
  <c r="C239" i="2"/>
  <c r="R278" i="2" s="1"/>
  <c r="F239" i="2"/>
  <c r="N239" i="2"/>
  <c r="C243" i="2"/>
  <c r="Q243" i="2" s="1"/>
  <c r="I243" i="2"/>
  <c r="C244" i="2"/>
  <c r="Q244" i="2" s="1"/>
  <c r="I244" i="2"/>
  <c r="C245" i="2"/>
  <c r="Q245" i="2" s="1"/>
  <c r="I245" i="2"/>
  <c r="C246" i="2"/>
  <c r="Q246" i="2"/>
  <c r="I246" i="2"/>
  <c r="C247" i="2"/>
  <c r="Q247" i="2" s="1"/>
  <c r="I247" i="2"/>
  <c r="J247" i="2" s="1"/>
  <c r="C248" i="2"/>
  <c r="Q248" i="2" s="1"/>
  <c r="I248" i="2"/>
  <c r="C249" i="2"/>
  <c r="Q249" i="2"/>
  <c r="I249" i="2"/>
  <c r="C250" i="2"/>
  <c r="Q250" i="2"/>
  <c r="I250" i="2"/>
  <c r="J250" i="2" s="1"/>
  <c r="L250" i="2" s="1"/>
  <c r="C251" i="2"/>
  <c r="Q251" i="2" s="1"/>
  <c r="I251" i="2"/>
  <c r="J251" i="2" s="1"/>
  <c r="L251" i="2" s="1"/>
  <c r="C252" i="2"/>
  <c r="Q252" i="2" s="1"/>
  <c r="I252" i="2"/>
  <c r="C253" i="2"/>
  <c r="Q253" i="2"/>
  <c r="I253" i="2"/>
  <c r="J253" i="2"/>
  <c r="L253" i="2" s="1"/>
  <c r="C254" i="2"/>
  <c r="Q254" i="2"/>
  <c r="I254" i="2"/>
  <c r="J254" i="2" s="1"/>
  <c r="L254" i="2" s="1"/>
  <c r="C255" i="2"/>
  <c r="Q255" i="2" s="1"/>
  <c r="I255" i="2"/>
  <c r="J255" i="2" s="1"/>
  <c r="L255" i="2" s="1"/>
  <c r="C256" i="2"/>
  <c r="Q256" i="2" s="1"/>
  <c r="I256" i="2"/>
  <c r="C257" i="2"/>
  <c r="Q257" i="2"/>
  <c r="I257" i="2"/>
  <c r="J257" i="2"/>
  <c r="C258" i="2"/>
  <c r="Q258" i="2"/>
  <c r="I258" i="2"/>
  <c r="R258" i="2" s="1"/>
  <c r="C259" i="2"/>
  <c r="Q259" i="2" s="1"/>
  <c r="I259" i="2"/>
  <c r="J259" i="2" s="1"/>
  <c r="L259" i="2" s="1"/>
  <c r="C260" i="2"/>
  <c r="Q260" i="2" s="1"/>
  <c r="I260" i="2"/>
  <c r="C261" i="2"/>
  <c r="Q261" i="2"/>
  <c r="I261" i="2"/>
  <c r="C262" i="2"/>
  <c r="Q262" i="2" s="1"/>
  <c r="I262" i="2"/>
  <c r="C263" i="2"/>
  <c r="Q263" i="2" s="1"/>
  <c r="I263" i="2"/>
  <c r="J263" i="2" s="1"/>
  <c r="L263" i="2" s="1"/>
  <c r="C264" i="2"/>
  <c r="Q264" i="2" s="1"/>
  <c r="I264" i="2"/>
  <c r="C265" i="2"/>
  <c r="Q265" i="2"/>
  <c r="I265" i="2"/>
  <c r="C266" i="2"/>
  <c r="Q266" i="2" s="1"/>
  <c r="I266" i="2"/>
  <c r="C267" i="2"/>
  <c r="Q267" i="2" s="1"/>
  <c r="I267" i="2"/>
  <c r="C268" i="2"/>
  <c r="Q268" i="2" s="1"/>
  <c r="I268" i="2"/>
  <c r="C269" i="2"/>
  <c r="Q269" i="2"/>
  <c r="I269" i="2"/>
  <c r="J269" i="2"/>
  <c r="C270" i="2"/>
  <c r="Q270" i="2"/>
  <c r="I270" i="2"/>
  <c r="C271" i="2"/>
  <c r="Q271" i="2" s="1"/>
  <c r="I271" i="2"/>
  <c r="J271" i="2" s="1"/>
  <c r="L271" i="2" s="1"/>
  <c r="C272" i="2"/>
  <c r="Q272" i="2"/>
  <c r="I272" i="2"/>
  <c r="J272" i="2" s="1"/>
  <c r="L272" i="2" s="1"/>
  <c r="T272" i="2"/>
  <c r="D279" i="2"/>
  <c r="E279" i="2"/>
  <c r="F279" i="2"/>
  <c r="G279" i="2"/>
  <c r="H279" i="2"/>
  <c r="C4" i="1"/>
  <c r="R43" i="1" s="1"/>
  <c r="N4" i="1"/>
  <c r="I6" i="1"/>
  <c r="C8" i="1"/>
  <c r="Q8" i="1"/>
  <c r="C9" i="1"/>
  <c r="Q9" i="1" s="1"/>
  <c r="J9" i="1"/>
  <c r="C10" i="1"/>
  <c r="Q10" i="1"/>
  <c r="N10" i="1"/>
  <c r="C11" i="1"/>
  <c r="Q11" i="1" s="1"/>
  <c r="C12" i="1"/>
  <c r="Q12" i="1" s="1"/>
  <c r="J12" i="1"/>
  <c r="L12" i="1"/>
  <c r="D10" i="15"/>
  <c r="I10" i="15" s="1"/>
  <c r="L10" i="15" s="1"/>
  <c r="C13" i="1"/>
  <c r="Q13" i="1" s="1"/>
  <c r="C14" i="1"/>
  <c r="Q14" i="1" s="1"/>
  <c r="C15" i="1"/>
  <c r="Q15" i="1" s="1"/>
  <c r="C16" i="1"/>
  <c r="Q16" i="1"/>
  <c r="J16" i="1"/>
  <c r="L16" i="1" s="1"/>
  <c r="D14" i="15" s="1"/>
  <c r="C17" i="1"/>
  <c r="Q17" i="1"/>
  <c r="C18" i="1"/>
  <c r="Q18" i="1"/>
  <c r="J18" i="1"/>
  <c r="L18" i="1"/>
  <c r="D16" i="15" s="1"/>
  <c r="C19" i="1"/>
  <c r="Q19" i="1" s="1"/>
  <c r="C20" i="1"/>
  <c r="Q20" i="1" s="1"/>
  <c r="C21" i="1"/>
  <c r="Q21" i="1"/>
  <c r="J21" i="1"/>
  <c r="C22" i="1"/>
  <c r="Q22" i="1"/>
  <c r="C23" i="1"/>
  <c r="Q23" i="1"/>
  <c r="J23" i="1"/>
  <c r="L23" i="1" s="1"/>
  <c r="D21" i="15" s="1"/>
  <c r="I21" i="15" s="1"/>
  <c r="L21" i="15" s="1"/>
  <c r="C24" i="1"/>
  <c r="Q24" i="1" s="1"/>
  <c r="J24" i="1"/>
  <c r="L24" i="1"/>
  <c r="D22" i="15"/>
  <c r="C25" i="1"/>
  <c r="Q25" i="1"/>
  <c r="C26" i="1"/>
  <c r="Q26" i="1" s="1"/>
  <c r="C27" i="1"/>
  <c r="Q27" i="1" s="1"/>
  <c r="J27" i="1"/>
  <c r="L27" i="1" s="1"/>
  <c r="D25" i="15" s="1"/>
  <c r="C28" i="1"/>
  <c r="Q28" i="1"/>
  <c r="J28" i="1"/>
  <c r="L28" i="1"/>
  <c r="D26" i="15" s="1"/>
  <c r="I26" i="15" s="1"/>
  <c r="L26" i="15" s="1"/>
  <c r="T28" i="1"/>
  <c r="T169" i="1" s="1"/>
  <c r="T75" i="1"/>
  <c r="C29" i="1"/>
  <c r="Q29" i="1"/>
  <c r="T29" i="1"/>
  <c r="T170" i="1"/>
  <c r="C30" i="1"/>
  <c r="Q30" i="1" s="1"/>
  <c r="J30" i="1"/>
  <c r="L30" i="1" s="1"/>
  <c r="D28" i="15"/>
  <c r="C31" i="1"/>
  <c r="Q31" i="1"/>
  <c r="C32" i="1"/>
  <c r="Q32" i="1" s="1"/>
  <c r="J32" i="1"/>
  <c r="K32" i="1" s="1"/>
  <c r="C33" i="1"/>
  <c r="Q33" i="1"/>
  <c r="C34" i="1"/>
  <c r="Q34" i="1" s="1"/>
  <c r="J34" i="1"/>
  <c r="C35" i="1"/>
  <c r="Q35" i="1"/>
  <c r="C36" i="1"/>
  <c r="Q36" i="1"/>
  <c r="J36" i="1"/>
  <c r="L36" i="1"/>
  <c r="D34" i="15" s="1"/>
  <c r="I34" i="15" s="1"/>
  <c r="C37" i="1"/>
  <c r="Q37" i="1" s="1"/>
  <c r="T37" i="1"/>
  <c r="T272" i="1" s="1"/>
  <c r="C38" i="1"/>
  <c r="Q38" i="1" s="1"/>
  <c r="D44" i="1"/>
  <c r="E44" i="1"/>
  <c r="F44" i="1"/>
  <c r="G44" i="1"/>
  <c r="A48" i="1"/>
  <c r="A95" i="1" s="1"/>
  <c r="A48" i="6"/>
  <c r="A49" i="1"/>
  <c r="A96" i="1" s="1"/>
  <c r="A143" i="1" s="1"/>
  <c r="A190" i="1" s="1"/>
  <c r="A237" i="1" s="1"/>
  <c r="C51" i="1"/>
  <c r="R90" i="1"/>
  <c r="F51" i="1"/>
  <c r="N51" i="1"/>
  <c r="C55" i="1"/>
  <c r="Q55" i="1"/>
  <c r="J55" i="1"/>
  <c r="L55" i="1"/>
  <c r="D55" i="15" s="1"/>
  <c r="C56" i="1"/>
  <c r="Q56" i="1"/>
  <c r="J56" i="1"/>
  <c r="C57" i="1"/>
  <c r="Q57" i="1"/>
  <c r="J57" i="1"/>
  <c r="L57" i="1"/>
  <c r="D57" i="15"/>
  <c r="C58" i="1"/>
  <c r="Q58" i="1" s="1"/>
  <c r="J58" i="1"/>
  <c r="L58" i="1"/>
  <c r="D58" i="15"/>
  <c r="C59" i="1"/>
  <c r="Q59" i="1"/>
  <c r="J59" i="1"/>
  <c r="L59" i="1"/>
  <c r="D59" i="15" s="1"/>
  <c r="C60" i="1"/>
  <c r="Q60" i="1"/>
  <c r="J60" i="1"/>
  <c r="L60" i="1"/>
  <c r="D60" i="15" s="1"/>
  <c r="I60" i="15" s="1"/>
  <c r="L60" i="15" s="1"/>
  <c r="C61" i="1"/>
  <c r="Q61" i="1"/>
  <c r="C62" i="1"/>
  <c r="Q62" i="1" s="1"/>
  <c r="J62" i="1"/>
  <c r="L62" i="1"/>
  <c r="D62" i="15" s="1"/>
  <c r="C63" i="1"/>
  <c r="Q63" i="1" s="1"/>
  <c r="C64" i="1"/>
  <c r="Q64" i="1"/>
  <c r="J64" i="1"/>
  <c r="L64" i="1" s="1"/>
  <c r="D64" i="15" s="1"/>
  <c r="C65" i="1"/>
  <c r="Q65" i="1"/>
  <c r="J65" i="1"/>
  <c r="L65" i="1"/>
  <c r="D65" i="15" s="1"/>
  <c r="C66" i="1"/>
  <c r="Q66" i="1" s="1"/>
  <c r="J66" i="1"/>
  <c r="L66" i="1"/>
  <c r="D66" i="15"/>
  <c r="C67" i="1"/>
  <c r="Q67" i="1" s="1"/>
  <c r="J67" i="1"/>
  <c r="L67" i="1" s="1"/>
  <c r="D67" i="15" s="1"/>
  <c r="C68" i="1"/>
  <c r="Q68" i="1" s="1"/>
  <c r="J68" i="1"/>
  <c r="L68" i="1"/>
  <c r="D68" i="15" s="1"/>
  <c r="I68" i="15" s="1"/>
  <c r="L68" i="15" s="1"/>
  <c r="C69" i="1"/>
  <c r="Q69" i="1" s="1"/>
  <c r="J69" i="1"/>
  <c r="L69" i="1"/>
  <c r="D69" i="15"/>
  <c r="C70" i="1"/>
  <c r="Q70" i="1" s="1"/>
  <c r="J70" i="1"/>
  <c r="L70" i="1" s="1"/>
  <c r="D70" i="15" s="1"/>
  <c r="C71" i="1"/>
  <c r="Q71" i="1" s="1"/>
  <c r="C72" i="1"/>
  <c r="Q72" i="1"/>
  <c r="J72" i="1"/>
  <c r="L72" i="1" s="1"/>
  <c r="D72" i="15"/>
  <c r="C73" i="1"/>
  <c r="Q73" i="1"/>
  <c r="J73" i="1"/>
  <c r="L73" i="1"/>
  <c r="D73" i="15" s="1"/>
  <c r="I73" i="15" s="1"/>
  <c r="L73" i="15" s="1"/>
  <c r="C74" i="1"/>
  <c r="Q74" i="1" s="1"/>
  <c r="J74" i="1"/>
  <c r="L74" i="1" s="1"/>
  <c r="D74" i="15" s="1"/>
  <c r="C75" i="1"/>
  <c r="Q75" i="1"/>
  <c r="L75" i="1"/>
  <c r="D75" i="15" s="1"/>
  <c r="C76" i="1"/>
  <c r="Q76" i="1" s="1"/>
  <c r="J76" i="1"/>
  <c r="L76" i="1" s="1"/>
  <c r="D76" i="15" s="1"/>
  <c r="C77" i="1"/>
  <c r="Q77" i="1" s="1"/>
  <c r="J77" i="1"/>
  <c r="L77" i="1" s="1"/>
  <c r="D77" i="15"/>
  <c r="C78" i="1"/>
  <c r="Q78" i="1" s="1"/>
  <c r="J78" i="1"/>
  <c r="L78" i="1"/>
  <c r="D78" i="15" s="1"/>
  <c r="C79" i="1"/>
  <c r="Q79" i="1" s="1"/>
  <c r="J79" i="1"/>
  <c r="L79" i="1" s="1"/>
  <c r="D79" i="15" s="1"/>
  <c r="C80" i="1"/>
  <c r="Q80" i="1"/>
  <c r="C81" i="1"/>
  <c r="Q81" i="1" s="1"/>
  <c r="C82" i="1"/>
  <c r="Q82" i="1" s="1"/>
  <c r="C83" i="1"/>
  <c r="Q83" i="1"/>
  <c r="J83" i="1"/>
  <c r="L83" i="1" s="1"/>
  <c r="D83" i="15" s="1"/>
  <c r="C84" i="1"/>
  <c r="Q84" i="1"/>
  <c r="J84" i="1"/>
  <c r="L84" i="1"/>
  <c r="D84" i="15"/>
  <c r="C85" i="1"/>
  <c r="Q85" i="1" s="1"/>
  <c r="J85" i="1"/>
  <c r="L85" i="1" s="1"/>
  <c r="D85" i="15" s="1"/>
  <c r="C86" i="1"/>
  <c r="Q86" i="1" s="1"/>
  <c r="J86" i="1"/>
  <c r="L86" i="1"/>
  <c r="D86" i="15"/>
  <c r="D91" i="1"/>
  <c r="I91" i="1" s="1"/>
  <c r="N74" i="1"/>
  <c r="E91" i="1"/>
  <c r="F91" i="1"/>
  <c r="G91" i="1"/>
  <c r="C98" i="1"/>
  <c r="R137" i="1"/>
  <c r="F98" i="1"/>
  <c r="N98" i="1"/>
  <c r="C102" i="1"/>
  <c r="Q102" i="1"/>
  <c r="J102" i="1"/>
  <c r="C104" i="1"/>
  <c r="Q103" i="1"/>
  <c r="C105" i="1"/>
  <c r="Q104" i="1"/>
  <c r="C106" i="1"/>
  <c r="Q105" i="1"/>
  <c r="C107" i="1"/>
  <c r="Q106" i="1"/>
  <c r="C108" i="1"/>
  <c r="Q107" i="1" s="1"/>
  <c r="C109" i="1"/>
  <c r="Q108" i="1"/>
  <c r="C110" i="1"/>
  <c r="Q109" i="1"/>
  <c r="C111" i="1"/>
  <c r="Q110" i="1" s="1"/>
  <c r="C112" i="1"/>
  <c r="Q111" i="1"/>
  <c r="C103" i="1"/>
  <c r="Q112" i="1" s="1"/>
  <c r="C113" i="1"/>
  <c r="Q113" i="1" s="1"/>
  <c r="C114" i="1"/>
  <c r="Q114" i="1"/>
  <c r="C115" i="1"/>
  <c r="Q115" i="1"/>
  <c r="C116" i="1"/>
  <c r="Q116" i="1" s="1"/>
  <c r="J116" i="1"/>
  <c r="L116" i="1" s="1"/>
  <c r="D118" i="15" s="1"/>
  <c r="I118" i="15" s="1"/>
  <c r="L118" i="15" s="1"/>
  <c r="C117" i="1"/>
  <c r="Q117" i="1" s="1"/>
  <c r="J117" i="1"/>
  <c r="L117" i="1" s="1"/>
  <c r="D119" i="15" s="1"/>
  <c r="C118" i="1"/>
  <c r="Q118" i="1"/>
  <c r="J118" i="1"/>
  <c r="C119" i="1"/>
  <c r="Q119" i="1" s="1"/>
  <c r="C120" i="1"/>
  <c r="Q120" i="1" s="1"/>
  <c r="J120" i="1"/>
  <c r="L120" i="1" s="1"/>
  <c r="D122" i="15" s="1"/>
  <c r="C121" i="1"/>
  <c r="Q121" i="1"/>
  <c r="J121" i="1"/>
  <c r="L121" i="1"/>
  <c r="D123" i="15"/>
  <c r="C122" i="1"/>
  <c r="Q122" i="1" s="1"/>
  <c r="J122" i="1"/>
  <c r="C123" i="1"/>
  <c r="Q123" i="1"/>
  <c r="C124" i="1"/>
  <c r="Q124" i="1" s="1"/>
  <c r="J124" i="1"/>
  <c r="L124" i="1"/>
  <c r="D126" i="15" s="1"/>
  <c r="C125" i="1"/>
  <c r="Q125" i="1" s="1"/>
  <c r="J125" i="1"/>
  <c r="L125" i="1"/>
  <c r="D127" i="15"/>
  <c r="C126" i="1"/>
  <c r="Q126" i="1" s="1"/>
  <c r="J126" i="1"/>
  <c r="L126" i="1"/>
  <c r="D128" i="15"/>
  <c r="C127" i="1"/>
  <c r="Q127" i="1" s="1"/>
  <c r="J127" i="1"/>
  <c r="L127" i="1" s="1"/>
  <c r="D129" i="15" s="1"/>
  <c r="C128" i="1"/>
  <c r="Q128" i="1"/>
  <c r="J128" i="1"/>
  <c r="K128" i="1" s="1"/>
  <c r="L128" i="1"/>
  <c r="D130" i="15" s="1"/>
  <c r="I130" i="15" s="1"/>
  <c r="C129" i="1"/>
  <c r="Q129" i="1" s="1"/>
  <c r="C130" i="1"/>
  <c r="Q130" i="1" s="1"/>
  <c r="J130" i="1"/>
  <c r="L130" i="1" s="1"/>
  <c r="D132" i="15" s="1"/>
  <c r="C131" i="1"/>
  <c r="Q131" i="1"/>
  <c r="J131" i="1"/>
  <c r="K131" i="1" s="1"/>
  <c r="C132" i="1"/>
  <c r="Q132" i="1"/>
  <c r="J132" i="1"/>
  <c r="L132" i="1" s="1"/>
  <c r="D134" i="15" s="1"/>
  <c r="D138" i="1"/>
  <c r="E138" i="1"/>
  <c r="F138" i="1"/>
  <c r="G138" i="1"/>
  <c r="A142" i="1"/>
  <c r="C145" i="1"/>
  <c r="R184" i="1"/>
  <c r="F145" i="1"/>
  <c r="N145" i="1"/>
  <c r="C149" i="1"/>
  <c r="Q149" i="1" s="1"/>
  <c r="J149" i="1"/>
  <c r="L149" i="1"/>
  <c r="D153" i="15"/>
  <c r="C150" i="1"/>
  <c r="Q150" i="1" s="1"/>
  <c r="J150" i="1"/>
  <c r="C151" i="1"/>
  <c r="Q151" i="1" s="1"/>
  <c r="J151" i="1"/>
  <c r="C152" i="1"/>
  <c r="Q152" i="1"/>
  <c r="C153" i="1"/>
  <c r="Q153" i="1"/>
  <c r="J153" i="1"/>
  <c r="C154" i="1"/>
  <c r="Q154" i="1" s="1"/>
  <c r="J154" i="1"/>
  <c r="L154" i="1"/>
  <c r="D158" i="15"/>
  <c r="C155" i="1"/>
  <c r="Q155" i="1" s="1"/>
  <c r="C156" i="1"/>
  <c r="Q156" i="1"/>
  <c r="J156" i="1"/>
  <c r="L156" i="1"/>
  <c r="D160" i="15"/>
  <c r="C157" i="1"/>
  <c r="Q157" i="1" s="1"/>
  <c r="C158" i="1"/>
  <c r="Q158" i="1" s="1"/>
  <c r="C159" i="1"/>
  <c r="Q159" i="1" s="1"/>
  <c r="C160" i="1"/>
  <c r="Q160" i="1" s="1"/>
  <c r="J160" i="1"/>
  <c r="L160" i="1"/>
  <c r="D164" i="15"/>
  <c r="I164" i="15" s="1"/>
  <c r="C161" i="1"/>
  <c r="Q161" i="1" s="1"/>
  <c r="J161" i="1"/>
  <c r="C162" i="1"/>
  <c r="Q162" i="1" s="1"/>
  <c r="J162" i="1"/>
  <c r="L162" i="1" s="1"/>
  <c r="D166" i="15" s="1"/>
  <c r="C163" i="1"/>
  <c r="Q163" i="1"/>
  <c r="J163" i="1"/>
  <c r="C164" i="1"/>
  <c r="Q164" i="1"/>
  <c r="C165" i="1"/>
  <c r="Q165" i="1" s="1"/>
  <c r="J165" i="1"/>
  <c r="K165" i="1" s="1"/>
  <c r="L165" i="1"/>
  <c r="D169" i="15" s="1"/>
  <c r="C166" i="1"/>
  <c r="Q166" i="1" s="1"/>
  <c r="J166" i="1"/>
  <c r="L166" i="1"/>
  <c r="D170" i="15"/>
  <c r="C167" i="1"/>
  <c r="Q167" i="1" s="1"/>
  <c r="J167" i="1"/>
  <c r="K167" i="1" s="1"/>
  <c r="L167" i="1"/>
  <c r="D171" i="15" s="1"/>
  <c r="C168" i="1"/>
  <c r="Q168" i="1"/>
  <c r="C169" i="1"/>
  <c r="Q169" i="1" s="1"/>
  <c r="J169" i="1"/>
  <c r="C170" i="1"/>
  <c r="Q170" i="1"/>
  <c r="J170" i="1"/>
  <c r="C171" i="1"/>
  <c r="Q171" i="1" s="1"/>
  <c r="J171" i="1"/>
  <c r="K171" i="1" s="1"/>
  <c r="L171" i="1"/>
  <c r="D175" i="15"/>
  <c r="C172" i="1"/>
  <c r="Q172" i="1" s="1"/>
  <c r="J172" i="1"/>
  <c r="L172" i="1"/>
  <c r="D176" i="15"/>
  <c r="C173" i="1"/>
  <c r="Q173" i="1" s="1"/>
  <c r="J173" i="1"/>
  <c r="L173" i="1"/>
  <c r="D177" i="15" s="1"/>
  <c r="C174" i="1"/>
  <c r="Q174" i="1" s="1"/>
  <c r="J174" i="1"/>
  <c r="L174" i="1" s="1"/>
  <c r="D178" i="15" s="1"/>
  <c r="C175" i="1"/>
  <c r="Q175" i="1"/>
  <c r="J175" i="1"/>
  <c r="K175" i="1" s="1"/>
  <c r="C176" i="1"/>
  <c r="Q176" i="1"/>
  <c r="J176" i="1"/>
  <c r="C177" i="1"/>
  <c r="Q177" i="1" s="1"/>
  <c r="J177" i="1"/>
  <c r="L177" i="1"/>
  <c r="D181" i="15"/>
  <c r="C178" i="1"/>
  <c r="Q178" i="1" s="1"/>
  <c r="J178" i="1"/>
  <c r="L178" i="1" s="1"/>
  <c r="D182" i="15" s="1"/>
  <c r="T179" i="1"/>
  <c r="D185" i="1"/>
  <c r="E185" i="1"/>
  <c r="F185" i="1"/>
  <c r="G185" i="1"/>
  <c r="C192" i="1"/>
  <c r="R231" i="1"/>
  <c r="F192" i="1"/>
  <c r="N192" i="1"/>
  <c r="C196" i="1"/>
  <c r="Q196" i="1" s="1"/>
  <c r="J196" i="1"/>
  <c r="L196" i="1" s="1"/>
  <c r="D202" i="15" s="1"/>
  <c r="C197" i="1"/>
  <c r="Q197" i="1"/>
  <c r="J197" i="1"/>
  <c r="K197" i="1" s="1"/>
  <c r="L197" i="1"/>
  <c r="D203" i="15" s="1"/>
  <c r="C198" i="1"/>
  <c r="Q198" i="1"/>
  <c r="J198" i="1"/>
  <c r="K198" i="1" s="1"/>
  <c r="C199" i="1"/>
  <c r="Q199" i="1" s="1"/>
  <c r="J199" i="1"/>
  <c r="L199" i="1"/>
  <c r="D205" i="15"/>
  <c r="C200" i="1"/>
  <c r="Q200" i="1"/>
  <c r="J200" i="1"/>
  <c r="K200" i="1" s="1"/>
  <c r="L200" i="1"/>
  <c r="D206" i="15" s="1"/>
  <c r="I206" i="15" s="1"/>
  <c r="L206" i="15" s="1"/>
  <c r="C201" i="1"/>
  <c r="Q201" i="1" s="1"/>
  <c r="J201" i="1"/>
  <c r="L201" i="1" s="1"/>
  <c r="D207" i="15" s="1"/>
  <c r="C202" i="1"/>
  <c r="Q202" i="1"/>
  <c r="C203" i="1"/>
  <c r="Q203" i="1"/>
  <c r="J203" i="1"/>
  <c r="L203" i="1" s="1"/>
  <c r="D209" i="15" s="1"/>
  <c r="I209" i="15" s="1"/>
  <c r="L209" i="15" s="1"/>
  <c r="C204" i="1"/>
  <c r="Q204" i="1" s="1"/>
  <c r="J204" i="1"/>
  <c r="L204" i="1" s="1"/>
  <c r="D210" i="15" s="1"/>
  <c r="C205" i="1"/>
  <c r="Q205" i="1"/>
  <c r="C206" i="1"/>
  <c r="Q206" i="1" s="1"/>
  <c r="J206" i="1"/>
  <c r="L206" i="1" s="1"/>
  <c r="D212" i="15" s="1"/>
  <c r="C207" i="1"/>
  <c r="Q207" i="1" s="1"/>
  <c r="J207" i="1"/>
  <c r="L207" i="1" s="1"/>
  <c r="D213" i="15" s="1"/>
  <c r="C208" i="1"/>
  <c r="Q208" i="1"/>
  <c r="J208" i="1"/>
  <c r="C209" i="1"/>
  <c r="Q209" i="1" s="1"/>
  <c r="J209" i="1"/>
  <c r="C210" i="1"/>
  <c r="Q210" i="1"/>
  <c r="J210" i="1"/>
  <c r="L210" i="1"/>
  <c r="D216" i="15"/>
  <c r="C211" i="1"/>
  <c r="Q211" i="1" s="1"/>
  <c r="J211" i="1"/>
  <c r="K211" i="1" s="1"/>
  <c r="L211" i="1"/>
  <c r="D217" i="15" s="1"/>
  <c r="C212" i="1"/>
  <c r="Q212" i="1" s="1"/>
  <c r="C213" i="1"/>
  <c r="Q213" i="1"/>
  <c r="J213" i="1"/>
  <c r="L213" i="1"/>
  <c r="D219" i="15" s="1"/>
  <c r="I219" i="15" s="1"/>
  <c r="C214" i="1"/>
  <c r="Q214" i="1"/>
  <c r="J214" i="1"/>
  <c r="C215" i="1"/>
  <c r="Q215" i="1" s="1"/>
  <c r="C216" i="1"/>
  <c r="Q216" i="1"/>
  <c r="J216" i="1"/>
  <c r="L216" i="1"/>
  <c r="D222" i="15"/>
  <c r="T216" i="1"/>
  <c r="C217" i="1"/>
  <c r="Q217" i="1" s="1"/>
  <c r="C218" i="1"/>
  <c r="Q218" i="1" s="1"/>
  <c r="J218" i="1"/>
  <c r="L218" i="1" s="1"/>
  <c r="D224" i="15" s="1"/>
  <c r="C219" i="1"/>
  <c r="Q219" i="1"/>
  <c r="J219" i="1"/>
  <c r="L219" i="1" s="1"/>
  <c r="D225" i="15" s="1"/>
  <c r="I225" i="15" s="1"/>
  <c r="L225" i="15" s="1"/>
  <c r="C220" i="1"/>
  <c r="Q220" i="1" s="1"/>
  <c r="J220" i="1"/>
  <c r="K220" i="1" s="1"/>
  <c r="L220" i="1"/>
  <c r="D226" i="15" s="1"/>
  <c r="C221" i="1"/>
  <c r="Q221" i="1" s="1"/>
  <c r="J221" i="1"/>
  <c r="L221" i="1"/>
  <c r="D227" i="15"/>
  <c r="C222" i="1"/>
  <c r="Q222" i="1" s="1"/>
  <c r="C223" i="1"/>
  <c r="Q223" i="1"/>
  <c r="J223" i="1"/>
  <c r="C224" i="1"/>
  <c r="Q224" i="1" s="1"/>
  <c r="J224" i="1"/>
  <c r="L224" i="1"/>
  <c r="D230" i="15"/>
  <c r="C225" i="1"/>
  <c r="Q225" i="1" s="1"/>
  <c r="T226" i="1"/>
  <c r="D232" i="1"/>
  <c r="E232" i="1"/>
  <c r="F232" i="1"/>
  <c r="G232" i="1"/>
  <c r="C239" i="1"/>
  <c r="R278" i="1" s="1"/>
  <c r="F239" i="1"/>
  <c r="N239" i="1"/>
  <c r="C243" i="1"/>
  <c r="Q243" i="1" s="1"/>
  <c r="J243" i="1"/>
  <c r="L243" i="1" s="1"/>
  <c r="C244" i="1"/>
  <c r="Q244" i="1" s="1"/>
  <c r="J244" i="1"/>
  <c r="L244" i="1" s="1"/>
  <c r="C245" i="1"/>
  <c r="Q245" i="1" s="1"/>
  <c r="J245" i="1"/>
  <c r="L245" i="1" s="1"/>
  <c r="C246" i="1"/>
  <c r="Q246" i="1"/>
  <c r="J246" i="1"/>
  <c r="L246" i="1" s="1"/>
  <c r="C247" i="1"/>
  <c r="Q247" i="1" s="1"/>
  <c r="J247" i="1"/>
  <c r="L247" i="1" s="1"/>
  <c r="C248" i="1"/>
  <c r="Q248" i="1" s="1"/>
  <c r="J248" i="1"/>
  <c r="L248" i="1" s="1"/>
  <c r="C249" i="1"/>
  <c r="Q249" i="1" s="1"/>
  <c r="J249" i="1"/>
  <c r="L249" i="1" s="1"/>
  <c r="C250" i="1"/>
  <c r="Q250" i="1"/>
  <c r="J250" i="1"/>
  <c r="L250" i="1" s="1"/>
  <c r="C251" i="1"/>
  <c r="Q251" i="1"/>
  <c r="J251" i="1"/>
  <c r="C252" i="1"/>
  <c r="Q252" i="1"/>
  <c r="J252" i="1"/>
  <c r="L252" i="1" s="1"/>
  <c r="C253" i="1"/>
  <c r="Q253" i="1" s="1"/>
  <c r="J253" i="1"/>
  <c r="C254" i="1"/>
  <c r="Q254" i="1"/>
  <c r="J254" i="1"/>
  <c r="L254" i="1" s="1"/>
  <c r="C255" i="1"/>
  <c r="Q255" i="1"/>
  <c r="J255" i="1"/>
  <c r="C256" i="1"/>
  <c r="Q256" i="1" s="1"/>
  <c r="J256" i="1"/>
  <c r="C257" i="1"/>
  <c r="Q257" i="1" s="1"/>
  <c r="J257" i="1"/>
  <c r="L257" i="1" s="1"/>
  <c r="C258" i="1"/>
  <c r="Q258" i="1"/>
  <c r="J258" i="1"/>
  <c r="L258" i="1" s="1"/>
  <c r="C259" i="1"/>
  <c r="Q259" i="1" s="1"/>
  <c r="J259" i="1"/>
  <c r="L259" i="1" s="1"/>
  <c r="C260" i="1"/>
  <c r="Q260" i="1"/>
  <c r="J260" i="1"/>
  <c r="L260" i="1" s="1"/>
  <c r="C261" i="1"/>
  <c r="Q261" i="1" s="1"/>
  <c r="J261" i="1"/>
  <c r="L261" i="1" s="1"/>
  <c r="C262" i="1"/>
  <c r="Q262" i="1"/>
  <c r="J262" i="1"/>
  <c r="L262" i="1" s="1"/>
  <c r="C263" i="1"/>
  <c r="Q263" i="1"/>
  <c r="J263" i="1"/>
  <c r="T263" i="1"/>
  <c r="C264" i="1"/>
  <c r="Q264" i="1"/>
  <c r="J264" i="1"/>
  <c r="L264" i="1" s="1"/>
  <c r="C265" i="1"/>
  <c r="Q265" i="1" s="1"/>
  <c r="J265" i="1"/>
  <c r="L265" i="1" s="1"/>
  <c r="C266" i="1"/>
  <c r="Q266" i="1"/>
  <c r="J266" i="1"/>
  <c r="C267" i="1"/>
  <c r="Q267" i="1"/>
  <c r="J267" i="1"/>
  <c r="L267" i="1" s="1"/>
  <c r="C268" i="1"/>
  <c r="Q268" i="1" s="1"/>
  <c r="C269" i="1"/>
  <c r="Q269" i="1" s="1"/>
  <c r="J269" i="1"/>
  <c r="L269" i="1" s="1"/>
  <c r="C270" i="1"/>
  <c r="Q270" i="1"/>
  <c r="J270" i="1"/>
  <c r="L270" i="1" s="1"/>
  <c r="C271" i="1"/>
  <c r="Q271" i="1" s="1"/>
  <c r="J271" i="1"/>
  <c r="L271" i="1" s="1"/>
  <c r="Q272" i="1"/>
  <c r="J272" i="1"/>
  <c r="D279" i="1"/>
  <c r="I279" i="1" s="1"/>
  <c r="E279" i="1"/>
  <c r="F279" i="1"/>
  <c r="G279" i="1"/>
  <c r="J80" i="1"/>
  <c r="L80" i="1"/>
  <c r="D80" i="15" s="1"/>
  <c r="J20" i="1"/>
  <c r="L20" i="1"/>
  <c r="D18" i="15"/>
  <c r="J243" i="6"/>
  <c r="L243" i="6" s="1"/>
  <c r="J8" i="6"/>
  <c r="L8" i="6" s="1"/>
  <c r="K226" i="5"/>
  <c r="K223" i="5"/>
  <c r="K218" i="5"/>
  <c r="K215" i="5"/>
  <c r="K212" i="5"/>
  <c r="K200" i="5"/>
  <c r="K196" i="5"/>
  <c r="E241" i="5"/>
  <c r="K177" i="5"/>
  <c r="K166" i="5"/>
  <c r="K163" i="5"/>
  <c r="K161" i="5"/>
  <c r="K135" i="5"/>
  <c r="K123" i="5"/>
  <c r="K121" i="5"/>
  <c r="K119" i="5"/>
  <c r="K117" i="5"/>
  <c r="H194" i="5"/>
  <c r="H241" i="5" s="1"/>
  <c r="K74" i="5"/>
  <c r="K72" i="5"/>
  <c r="K70" i="5"/>
  <c r="A95" i="5"/>
  <c r="A95" i="6"/>
  <c r="A95" i="2"/>
  <c r="J244" i="2"/>
  <c r="L244" i="2" s="1"/>
  <c r="I53" i="2"/>
  <c r="N104" i="6"/>
  <c r="N198" i="6"/>
  <c r="K273" i="5"/>
  <c r="K270" i="5"/>
  <c r="K264" i="5"/>
  <c r="K259" i="5"/>
  <c r="K252" i="5"/>
  <c r="K248" i="5"/>
  <c r="K243" i="5"/>
  <c r="I231" i="5"/>
  <c r="K219" i="5"/>
  <c r="K204" i="5"/>
  <c r="K201" i="5"/>
  <c r="K176" i="5"/>
  <c r="K173" i="5"/>
  <c r="K167" i="5"/>
  <c r="K162" i="5"/>
  <c r="A48" i="2"/>
  <c r="K160" i="5"/>
  <c r="K156" i="5"/>
  <c r="K152" i="5"/>
  <c r="K151" i="5"/>
  <c r="K149" i="5"/>
  <c r="K134" i="5"/>
  <c r="K130" i="5"/>
  <c r="K128" i="5"/>
  <c r="K126" i="5"/>
  <c r="K124" i="5"/>
  <c r="K122" i="5"/>
  <c r="K112" i="5"/>
  <c r="K108" i="5"/>
  <c r="K103" i="5"/>
  <c r="N74" i="5"/>
  <c r="K86" i="5"/>
  <c r="K84" i="5"/>
  <c r="K82" i="5"/>
  <c r="K80" i="5"/>
  <c r="K78" i="5"/>
  <c r="K75" i="5"/>
  <c r="K65" i="5"/>
  <c r="K63" i="5"/>
  <c r="K61" i="5"/>
  <c r="K59" i="5"/>
  <c r="K56" i="5"/>
  <c r="I44" i="5"/>
  <c r="K35" i="5"/>
  <c r="K31" i="5"/>
  <c r="K29" i="5"/>
  <c r="K24" i="5"/>
  <c r="K17" i="5"/>
  <c r="K13" i="5"/>
  <c r="K9" i="5"/>
  <c r="K8" i="5"/>
  <c r="W39" i="9"/>
  <c r="W40" i="9"/>
  <c r="W41" i="9"/>
  <c r="K10" i="5"/>
  <c r="K274" i="5"/>
  <c r="K268" i="5"/>
  <c r="K261" i="5"/>
  <c r="K256" i="5"/>
  <c r="K220" i="5"/>
  <c r="K203" i="5"/>
  <c r="K202" i="5"/>
  <c r="K178" i="5"/>
  <c r="K168" i="5"/>
  <c r="K165" i="5"/>
  <c r="K155" i="5"/>
  <c r="K129" i="5"/>
  <c r="K115" i="5"/>
  <c r="K254" i="5"/>
  <c r="K253" i="5"/>
  <c r="K246" i="5"/>
  <c r="K245" i="5"/>
  <c r="K244" i="5"/>
  <c r="K224" i="5"/>
  <c r="K207" i="5"/>
  <c r="K197" i="5"/>
  <c r="K174" i="5"/>
  <c r="K159" i="5"/>
  <c r="K125" i="5"/>
  <c r="K118" i="5"/>
  <c r="K105" i="5"/>
  <c r="K104" i="5"/>
  <c r="K257" i="5"/>
  <c r="K250" i="5"/>
  <c r="F147" i="5"/>
  <c r="K58" i="5"/>
  <c r="K26" i="5"/>
  <c r="K22" i="5"/>
  <c r="K11" i="5"/>
  <c r="F194" i="5"/>
  <c r="F241" i="5"/>
  <c r="I279" i="6"/>
  <c r="N262" i="6" s="1"/>
  <c r="J245" i="6"/>
  <c r="L245" i="6" s="1"/>
  <c r="K245" i="6"/>
  <c r="K249" i="1"/>
  <c r="K247" i="1"/>
  <c r="K245" i="1"/>
  <c r="K224" i="1"/>
  <c r="K221" i="1"/>
  <c r="K177" i="1"/>
  <c r="K173" i="1"/>
  <c r="K24" i="1"/>
  <c r="J58" i="2"/>
  <c r="L58" i="2" s="1"/>
  <c r="F58" i="15" s="1"/>
  <c r="I58" i="15" s="1"/>
  <c r="N57" i="2"/>
  <c r="N245" i="2" s="1"/>
  <c r="K270" i="1"/>
  <c r="K265" i="1"/>
  <c r="K260" i="1"/>
  <c r="K254" i="1"/>
  <c r="K243" i="1"/>
  <c r="K207" i="1"/>
  <c r="K201" i="1"/>
  <c r="K116" i="1"/>
  <c r="K121" i="1"/>
  <c r="K70" i="1"/>
  <c r="K66" i="1"/>
  <c r="K86" i="1"/>
  <c r="J260" i="2"/>
  <c r="L260" i="2" s="1"/>
  <c r="J248" i="2"/>
  <c r="L248" i="2" s="1"/>
  <c r="J270" i="2"/>
  <c r="L270" i="2" s="1"/>
  <c r="J268" i="2"/>
  <c r="J266" i="2"/>
  <c r="J264" i="2"/>
  <c r="L264" i="2" s="1"/>
  <c r="J261" i="2"/>
  <c r="L261" i="2" s="1"/>
  <c r="J258" i="2"/>
  <c r="J256" i="2"/>
  <c r="L256" i="2" s="1"/>
  <c r="J252" i="2"/>
  <c r="L252" i="2" s="1"/>
  <c r="J249" i="2"/>
  <c r="L249" i="2" s="1"/>
  <c r="J246" i="2"/>
  <c r="J245" i="2"/>
  <c r="J243" i="2"/>
  <c r="J223" i="2"/>
  <c r="L223" i="2" s="1"/>
  <c r="F229" i="15" s="1"/>
  <c r="J222" i="2"/>
  <c r="J219" i="2"/>
  <c r="L219" i="2" s="1"/>
  <c r="F225" i="15" s="1"/>
  <c r="J213" i="2"/>
  <c r="J211" i="2"/>
  <c r="K211" i="2" s="1"/>
  <c r="J209" i="2"/>
  <c r="J202" i="2"/>
  <c r="J201" i="2"/>
  <c r="L201" i="2" s="1"/>
  <c r="F207" i="15" s="1"/>
  <c r="J200" i="2"/>
  <c r="K200" i="2" s="1"/>
  <c r="J176" i="2"/>
  <c r="L176" i="2"/>
  <c r="F180" i="15"/>
  <c r="L174" i="2"/>
  <c r="F178" i="15"/>
  <c r="J172" i="2"/>
  <c r="L172" i="2" s="1"/>
  <c r="F176" i="15" s="1"/>
  <c r="J168" i="2"/>
  <c r="L168" i="2"/>
  <c r="F172" i="15"/>
  <c r="J166" i="2"/>
  <c r="J164" i="2"/>
  <c r="K164" i="2" s="1"/>
  <c r="J162" i="2"/>
  <c r="L162" i="2" s="1"/>
  <c r="F166" i="15" s="1"/>
  <c r="J160" i="2"/>
  <c r="L160" i="2"/>
  <c r="F164" i="15"/>
  <c r="J158" i="2"/>
  <c r="K158" i="2" s="1"/>
  <c r="L158" i="2"/>
  <c r="F162" i="15"/>
  <c r="J156" i="2"/>
  <c r="J154" i="2"/>
  <c r="L154" i="2" s="1"/>
  <c r="F158" i="15" s="1"/>
  <c r="I158" i="15" s="1"/>
  <c r="J152" i="2"/>
  <c r="L152" i="2"/>
  <c r="F156" i="15" s="1"/>
  <c r="J150" i="2"/>
  <c r="L150" i="2"/>
  <c r="F154" i="15"/>
  <c r="J133" i="2"/>
  <c r="L133" i="2"/>
  <c r="F135" i="15"/>
  <c r="I135" i="15" s="1"/>
  <c r="L135" i="15" s="1"/>
  <c r="J130" i="2"/>
  <c r="L130" i="2" s="1"/>
  <c r="F132" i="15" s="1"/>
  <c r="I132" i="15" s="1"/>
  <c r="L132" i="15" s="1"/>
  <c r="J129" i="2"/>
  <c r="L129" i="2"/>
  <c r="F131" i="15" s="1"/>
  <c r="J128" i="2"/>
  <c r="L128" i="2" s="1"/>
  <c r="F130" i="15" s="1"/>
  <c r="J127" i="2"/>
  <c r="L127" i="2"/>
  <c r="F129" i="15" s="1"/>
  <c r="J126" i="2"/>
  <c r="L126" i="2"/>
  <c r="F128" i="15" s="1"/>
  <c r="J125" i="2"/>
  <c r="L125" i="2" s="1"/>
  <c r="F127" i="15" s="1"/>
  <c r="J124" i="2"/>
  <c r="L124" i="2" s="1"/>
  <c r="F126" i="15" s="1"/>
  <c r="J123" i="2"/>
  <c r="L123" i="2"/>
  <c r="F125" i="15"/>
  <c r="I125" i="15" s="1"/>
  <c r="J122" i="2"/>
  <c r="J121" i="2"/>
  <c r="J115" i="2"/>
  <c r="L115" i="2"/>
  <c r="F117" i="15"/>
  <c r="J84" i="2"/>
  <c r="L84" i="2" s="1"/>
  <c r="J85" i="2"/>
  <c r="K85" i="2" s="1"/>
  <c r="L85" i="2"/>
  <c r="F85" i="15" s="1"/>
  <c r="J83" i="2"/>
  <c r="K83" i="2" s="1"/>
  <c r="L83" i="2"/>
  <c r="F83" i="15" s="1"/>
  <c r="J82" i="2"/>
  <c r="L82" i="2"/>
  <c r="F82" i="15"/>
  <c r="J81" i="2"/>
  <c r="L81" i="2"/>
  <c r="F81" i="15"/>
  <c r="J79" i="2"/>
  <c r="L79" i="2"/>
  <c r="F79" i="15"/>
  <c r="J70" i="2"/>
  <c r="K70" i="2" s="1"/>
  <c r="L70" i="2"/>
  <c r="F70" i="15" s="1"/>
  <c r="J68" i="2"/>
  <c r="L68" i="2" s="1"/>
  <c r="F68" i="15" s="1"/>
  <c r="J66" i="2"/>
  <c r="J62" i="2"/>
  <c r="J60" i="2"/>
  <c r="J57" i="2"/>
  <c r="J32" i="2"/>
  <c r="L32" i="2" s="1"/>
  <c r="F30" i="15" s="1"/>
  <c r="J37" i="2"/>
  <c r="L37" i="2"/>
  <c r="F35" i="15" s="1"/>
  <c r="J36" i="2"/>
  <c r="L36" i="2"/>
  <c r="F34" i="15"/>
  <c r="J35" i="2"/>
  <c r="K35" i="2" s="1"/>
  <c r="L35" i="2"/>
  <c r="F33" i="15" s="1"/>
  <c r="J34" i="2"/>
  <c r="K34" i="2" s="1"/>
  <c r="L34" i="2"/>
  <c r="F32" i="15" s="1"/>
  <c r="J33" i="2"/>
  <c r="L33" i="2" s="1"/>
  <c r="F31" i="15" s="1"/>
  <c r="J27" i="2"/>
  <c r="L27" i="2" s="1"/>
  <c r="F25" i="15"/>
  <c r="J25" i="2"/>
  <c r="K25" i="2" s="1"/>
  <c r="L25" i="2"/>
  <c r="F23" i="15" s="1"/>
  <c r="J23" i="2"/>
  <c r="L23" i="2" s="1"/>
  <c r="F21" i="15" s="1"/>
  <c r="J21" i="2"/>
  <c r="L21" i="2"/>
  <c r="F19" i="15"/>
  <c r="J19" i="2"/>
  <c r="L19" i="2"/>
  <c r="F17" i="15" s="1"/>
  <c r="J15" i="2"/>
  <c r="L15" i="2" s="1"/>
  <c r="F13" i="15" s="1"/>
  <c r="J11" i="2"/>
  <c r="L11" i="2"/>
  <c r="F9" i="15" s="1"/>
  <c r="J10" i="2"/>
  <c r="L10" i="2"/>
  <c r="F8" i="15"/>
  <c r="J9" i="2"/>
  <c r="L9" i="2"/>
  <c r="F7" i="15"/>
  <c r="N262" i="1"/>
  <c r="K271" i="1"/>
  <c r="K258" i="1"/>
  <c r="K273" i="1"/>
  <c r="K199" i="1"/>
  <c r="K260" i="2"/>
  <c r="K248" i="2"/>
  <c r="K272" i="2"/>
  <c r="K270" i="2"/>
  <c r="K264" i="2"/>
  <c r="K256" i="2"/>
  <c r="K254" i="2"/>
  <c r="K249" i="2"/>
  <c r="K207" i="2"/>
  <c r="K174" i="2"/>
  <c r="K170" i="2"/>
  <c r="K168" i="2"/>
  <c r="K154" i="2"/>
  <c r="K152" i="2"/>
  <c r="K130" i="2"/>
  <c r="K127" i="2"/>
  <c r="K124" i="2"/>
  <c r="K123" i="2"/>
  <c r="K81" i="2"/>
  <c r="K79" i="2"/>
  <c r="K68" i="2"/>
  <c r="K37" i="2"/>
  <c r="K21" i="2"/>
  <c r="J269" i="6"/>
  <c r="L269" i="6" s="1"/>
  <c r="K243" i="6"/>
  <c r="J270" i="6"/>
  <c r="L270" i="6" s="1"/>
  <c r="K269" i="6"/>
  <c r="J268" i="6"/>
  <c r="L268" i="6" s="1"/>
  <c r="J266" i="6"/>
  <c r="L266" i="6" s="1"/>
  <c r="J264" i="6"/>
  <c r="L264" i="6" s="1"/>
  <c r="J262" i="6"/>
  <c r="J260" i="6"/>
  <c r="L260" i="6" s="1"/>
  <c r="J258" i="6"/>
  <c r="K258" i="6" s="1"/>
  <c r="J254" i="6"/>
  <c r="L254" i="6" s="1"/>
  <c r="J252" i="6"/>
  <c r="J250" i="6"/>
  <c r="J248" i="6"/>
  <c r="L248" i="6" s="1"/>
  <c r="J246" i="6"/>
  <c r="L246" i="6" s="1"/>
  <c r="J244" i="6"/>
  <c r="L244" i="6" s="1"/>
  <c r="J208" i="6"/>
  <c r="L208" i="6" s="1"/>
  <c r="J206" i="6"/>
  <c r="L206" i="6" s="1"/>
  <c r="J200" i="6"/>
  <c r="J223" i="6"/>
  <c r="L223" i="6" s="1"/>
  <c r="J221" i="6"/>
  <c r="L221" i="6"/>
  <c r="J219" i="6"/>
  <c r="L219" i="6"/>
  <c r="J212" i="6"/>
  <c r="L210" i="6"/>
  <c r="L207" i="6"/>
  <c r="J203" i="6"/>
  <c r="L199" i="6"/>
  <c r="J158" i="6"/>
  <c r="L158" i="6"/>
  <c r="J177" i="6"/>
  <c r="J165" i="6"/>
  <c r="K165" i="6" s="1"/>
  <c r="L165" i="6"/>
  <c r="J163" i="6"/>
  <c r="J161" i="6"/>
  <c r="L161" i="6"/>
  <c r="J159" i="6"/>
  <c r="J157" i="6"/>
  <c r="L157" i="6" s="1"/>
  <c r="J153" i="6"/>
  <c r="L153" i="6"/>
  <c r="J133" i="6"/>
  <c r="L133" i="6"/>
  <c r="J132" i="6"/>
  <c r="L132" i="6" s="1"/>
  <c r="J130" i="6"/>
  <c r="L130" i="6" s="1"/>
  <c r="J128" i="6"/>
  <c r="J127" i="6"/>
  <c r="L127" i="6" s="1"/>
  <c r="J126" i="6"/>
  <c r="J125" i="6"/>
  <c r="L125" i="6" s="1"/>
  <c r="J123" i="6"/>
  <c r="J122" i="6"/>
  <c r="L122" i="6" s="1"/>
  <c r="J121" i="6"/>
  <c r="L121" i="6" s="1"/>
  <c r="J118" i="6"/>
  <c r="J102" i="6"/>
  <c r="L102" i="6" s="1"/>
  <c r="J60" i="6"/>
  <c r="J86" i="6"/>
  <c r="L86" i="6" s="1"/>
  <c r="J85" i="6"/>
  <c r="L85" i="6"/>
  <c r="J84" i="6"/>
  <c r="J83" i="6"/>
  <c r="L83" i="6"/>
  <c r="J81" i="6"/>
  <c r="K81" i="6" s="1"/>
  <c r="L81" i="6"/>
  <c r="J80" i="6"/>
  <c r="L80" i="6"/>
  <c r="J76" i="6"/>
  <c r="J75" i="6"/>
  <c r="K75" i="6" s="1"/>
  <c r="J74" i="6"/>
  <c r="L74" i="6" s="1"/>
  <c r="J71" i="6"/>
  <c r="K71" i="6" s="1"/>
  <c r="L71" i="6"/>
  <c r="J70" i="6"/>
  <c r="L70" i="6"/>
  <c r="J69" i="6"/>
  <c r="K69" i="6" s="1"/>
  <c r="L69" i="6"/>
  <c r="J67" i="6"/>
  <c r="J66" i="6"/>
  <c r="L66" i="6" s="1"/>
  <c r="J65" i="6"/>
  <c r="L65" i="6"/>
  <c r="J63" i="6"/>
  <c r="J62" i="6"/>
  <c r="J57" i="6"/>
  <c r="L57" i="6"/>
  <c r="J56" i="6"/>
  <c r="L56" i="6" s="1"/>
  <c r="J38" i="6"/>
  <c r="L38" i="6"/>
  <c r="J33" i="6"/>
  <c r="L33" i="6" s="1"/>
  <c r="J19" i="6"/>
  <c r="K19" i="6" s="1"/>
  <c r="L19" i="6"/>
  <c r="J37" i="6"/>
  <c r="L37" i="6" s="1"/>
  <c r="J36" i="6"/>
  <c r="R35" i="6"/>
  <c r="J34" i="6"/>
  <c r="K34" i="6" s="1"/>
  <c r="J30" i="6"/>
  <c r="K30" i="6" s="1"/>
  <c r="L30" i="6"/>
  <c r="R29" i="6"/>
  <c r="J28" i="6"/>
  <c r="K28" i="6" s="1"/>
  <c r="L28" i="6"/>
  <c r="R27" i="6"/>
  <c r="J26" i="6"/>
  <c r="J25" i="6"/>
  <c r="L25" i="6" s="1"/>
  <c r="J24" i="6"/>
  <c r="L24" i="6" s="1"/>
  <c r="J23" i="6"/>
  <c r="L23" i="6" s="1"/>
  <c r="J22" i="6"/>
  <c r="L22" i="6"/>
  <c r="J21" i="6"/>
  <c r="L21" i="6"/>
  <c r="J20" i="6"/>
  <c r="L20" i="6"/>
  <c r="J18" i="6"/>
  <c r="L18" i="6" s="1"/>
  <c r="R17" i="6"/>
  <c r="J16" i="6"/>
  <c r="J14" i="6"/>
  <c r="L14" i="6" s="1"/>
  <c r="J12" i="6"/>
  <c r="K12" i="6" s="1"/>
  <c r="L12" i="6"/>
  <c r="J10" i="6"/>
  <c r="K10" i="6" s="1"/>
  <c r="L10" i="6"/>
  <c r="J9" i="6"/>
  <c r="L9" i="6" s="1"/>
  <c r="K268" i="6"/>
  <c r="K264" i="6"/>
  <c r="K262" i="6"/>
  <c r="K260" i="6"/>
  <c r="K256" i="6"/>
  <c r="K254" i="6"/>
  <c r="K248" i="6"/>
  <c r="K246" i="6"/>
  <c r="K223" i="6"/>
  <c r="K219" i="6"/>
  <c r="K161" i="6"/>
  <c r="K133" i="6"/>
  <c r="K130" i="6"/>
  <c r="K125" i="6"/>
  <c r="K120" i="6"/>
  <c r="K83" i="6"/>
  <c r="K57" i="6"/>
  <c r="K56" i="6"/>
  <c r="K55" i="6"/>
  <c r="K38" i="6"/>
  <c r="K25" i="6"/>
  <c r="K24" i="6"/>
  <c r="K23" i="6"/>
  <c r="K22" i="6"/>
  <c r="K21" i="6"/>
  <c r="K20" i="6"/>
  <c r="K18" i="6"/>
  <c r="K9" i="6"/>
  <c r="K23" i="1"/>
  <c r="K12" i="1"/>
  <c r="K18" i="1"/>
  <c r="J33" i="1"/>
  <c r="J17" i="1"/>
  <c r="J15" i="1"/>
  <c r="L15" i="1" s="1"/>
  <c r="D13" i="15"/>
  <c r="J13" i="1"/>
  <c r="K13" i="1" s="1"/>
  <c r="J11" i="1"/>
  <c r="L11" i="1"/>
  <c r="D9" i="15"/>
  <c r="I9" i="15" s="1"/>
  <c r="N41" i="1"/>
  <c r="N57" i="1"/>
  <c r="N88" i="1" s="1"/>
  <c r="K84" i="1"/>
  <c r="K80" i="1"/>
  <c r="K259" i="1"/>
  <c r="K250" i="1"/>
  <c r="K248" i="1"/>
  <c r="K246" i="1"/>
  <c r="K162" i="1"/>
  <c r="K123" i="1"/>
  <c r="K264" i="1"/>
  <c r="K261" i="1"/>
  <c r="K253" i="1"/>
  <c r="K244" i="1"/>
  <c r="K267" i="1"/>
  <c r="K262" i="1"/>
  <c r="K149" i="1"/>
  <c r="K120" i="1"/>
  <c r="K130" i="1"/>
  <c r="K117" i="1"/>
  <c r="K77" i="1"/>
  <c r="K72" i="1"/>
  <c r="K68" i="1"/>
  <c r="K64" i="1"/>
  <c r="K78" i="1"/>
  <c r="R273" i="5"/>
  <c r="R271" i="5"/>
  <c r="R269" i="5"/>
  <c r="R267" i="5"/>
  <c r="R265" i="5"/>
  <c r="R261" i="5"/>
  <c r="R259" i="5"/>
  <c r="R257" i="5"/>
  <c r="R253" i="5"/>
  <c r="R251" i="5"/>
  <c r="R249" i="5"/>
  <c r="R247" i="5"/>
  <c r="R245" i="5"/>
  <c r="R243" i="5"/>
  <c r="R228" i="5"/>
  <c r="R226" i="5"/>
  <c r="R224" i="5"/>
  <c r="R222" i="5"/>
  <c r="R220" i="5"/>
  <c r="R218" i="5"/>
  <c r="R216" i="5"/>
  <c r="R214" i="5"/>
  <c r="R212" i="5"/>
  <c r="R210" i="5"/>
  <c r="R208" i="5"/>
  <c r="R206" i="5"/>
  <c r="R204" i="5"/>
  <c r="R202" i="5"/>
  <c r="R200" i="5"/>
  <c r="R198" i="5"/>
  <c r="R196" i="5"/>
  <c r="R181" i="5"/>
  <c r="R179" i="5"/>
  <c r="R177" i="5"/>
  <c r="R173" i="5"/>
  <c r="R169" i="5"/>
  <c r="R167" i="5"/>
  <c r="R165" i="5"/>
  <c r="R163" i="5"/>
  <c r="R161" i="5"/>
  <c r="R159" i="5"/>
  <c r="R157" i="5"/>
  <c r="R155" i="5"/>
  <c r="R153" i="5"/>
  <c r="R151" i="5"/>
  <c r="R149" i="5"/>
  <c r="R134" i="5"/>
  <c r="R132" i="5"/>
  <c r="R130" i="5"/>
  <c r="R128" i="5"/>
  <c r="R126" i="5"/>
  <c r="R124" i="5"/>
  <c r="R122" i="5"/>
  <c r="R120" i="5"/>
  <c r="R118" i="5"/>
  <c r="R116" i="5"/>
  <c r="R114" i="5"/>
  <c r="R112" i="5"/>
  <c r="R110" i="5"/>
  <c r="R108" i="5"/>
  <c r="R106" i="5"/>
  <c r="R104" i="5"/>
  <c r="R102" i="5"/>
  <c r="R87" i="5"/>
  <c r="R83" i="5"/>
  <c r="R81" i="5"/>
  <c r="R79" i="5"/>
  <c r="R77" i="5"/>
  <c r="R75" i="5"/>
  <c r="R73" i="5"/>
  <c r="R71" i="5"/>
  <c r="R69" i="5"/>
  <c r="R67" i="5"/>
  <c r="R65" i="5"/>
  <c r="R276" i="5"/>
  <c r="R272" i="5"/>
  <c r="R268" i="5"/>
  <c r="R264" i="5"/>
  <c r="R260" i="5"/>
  <c r="R256" i="5"/>
  <c r="R252" i="5"/>
  <c r="R248" i="5"/>
  <c r="R244" i="5"/>
  <c r="R227" i="5"/>
  <c r="R223" i="5"/>
  <c r="R219" i="5"/>
  <c r="R215" i="5"/>
  <c r="R211" i="5"/>
  <c r="R207" i="5"/>
  <c r="R203" i="5"/>
  <c r="R182" i="5"/>
  <c r="R178" i="5"/>
  <c r="R174" i="5"/>
  <c r="R170" i="5"/>
  <c r="R166" i="5"/>
  <c r="R162" i="5"/>
  <c r="R158" i="5"/>
  <c r="R154" i="5"/>
  <c r="R150" i="5"/>
  <c r="R133" i="5"/>
  <c r="R129" i="5"/>
  <c r="R125" i="5"/>
  <c r="R121" i="5"/>
  <c r="R117" i="5"/>
  <c r="R113" i="5"/>
  <c r="R109" i="5"/>
  <c r="R105" i="5"/>
  <c r="R88" i="5"/>
  <c r="R84" i="5"/>
  <c r="R80" i="5"/>
  <c r="R76" i="5"/>
  <c r="R72" i="5"/>
  <c r="R68" i="5"/>
  <c r="R64" i="5"/>
  <c r="R62" i="5"/>
  <c r="R60" i="5"/>
  <c r="R58" i="5"/>
  <c r="R56" i="5"/>
  <c r="R41" i="5"/>
  <c r="R39" i="5"/>
  <c r="R37" i="5"/>
  <c r="R35" i="5"/>
  <c r="R33" i="5"/>
  <c r="R31" i="5"/>
  <c r="R29" i="5"/>
  <c r="R25" i="5"/>
  <c r="R23" i="5"/>
  <c r="R21" i="5"/>
  <c r="R19" i="5"/>
  <c r="R17" i="5"/>
  <c r="R15" i="5"/>
  <c r="R13" i="5"/>
  <c r="R11" i="5"/>
  <c r="R9" i="5"/>
  <c r="K15" i="5"/>
  <c r="K18" i="5"/>
  <c r="K19" i="5"/>
  <c r="K20" i="5"/>
  <c r="K21" i="5"/>
  <c r="K23" i="5"/>
  <c r="K30" i="5"/>
  <c r="K33" i="5"/>
  <c r="K36" i="5"/>
  <c r="R274" i="5"/>
  <c r="R258" i="5"/>
  <c r="R250" i="5"/>
  <c r="R229" i="5"/>
  <c r="R221" i="5"/>
  <c r="R213" i="5"/>
  <c r="R205" i="5"/>
  <c r="R197" i="5"/>
  <c r="R176" i="5"/>
  <c r="R168" i="5"/>
  <c r="R160" i="5"/>
  <c r="R152" i="5"/>
  <c r="R131" i="5"/>
  <c r="R123" i="5"/>
  <c r="R115" i="5"/>
  <c r="R107" i="5"/>
  <c r="R86" i="5"/>
  <c r="R78" i="5"/>
  <c r="R70" i="5"/>
  <c r="R63" i="5"/>
  <c r="R59" i="5"/>
  <c r="R55" i="5"/>
  <c r="R38" i="5"/>
  <c r="R34" i="5"/>
  <c r="R30" i="5"/>
  <c r="R26" i="5"/>
  <c r="R22" i="5"/>
  <c r="R18" i="5"/>
  <c r="R14" i="5"/>
  <c r="R10" i="5"/>
  <c r="K14" i="5"/>
  <c r="K25" i="5"/>
  <c r="K28" i="5"/>
  <c r="R270" i="5"/>
  <c r="R262" i="5"/>
  <c r="R254" i="5"/>
  <c r="R246" i="5"/>
  <c r="R225" i="5"/>
  <c r="R217" i="5"/>
  <c r="R209" i="5"/>
  <c r="R201" i="5"/>
  <c r="R180" i="5"/>
  <c r="R172" i="5"/>
  <c r="R164" i="5"/>
  <c r="R156" i="5"/>
  <c r="R135" i="5"/>
  <c r="R127" i="5"/>
  <c r="R119" i="5"/>
  <c r="R111" i="5"/>
  <c r="R103" i="5"/>
  <c r="R82" i="5"/>
  <c r="R74" i="5"/>
  <c r="R66" i="5"/>
  <c r="R61" i="5"/>
  <c r="R57" i="5"/>
  <c r="R40" i="5"/>
  <c r="R36" i="5"/>
  <c r="R32" i="5"/>
  <c r="R28" i="5"/>
  <c r="R24" i="5"/>
  <c r="R20" i="5"/>
  <c r="R16" i="5"/>
  <c r="R8" i="5"/>
  <c r="I278" i="1"/>
  <c r="J224" i="2"/>
  <c r="K219" i="1"/>
  <c r="K129" i="2"/>
  <c r="J120" i="2"/>
  <c r="L120" i="2"/>
  <c r="F122" i="15" s="1"/>
  <c r="I122" i="15" s="1"/>
  <c r="L122" i="15" s="1"/>
  <c r="K133" i="2"/>
  <c r="K11" i="2"/>
  <c r="K10" i="2"/>
  <c r="K267" i="6"/>
  <c r="K265" i="6"/>
  <c r="K263" i="6"/>
  <c r="K261" i="6"/>
  <c r="K257" i="6"/>
  <c r="K255" i="6"/>
  <c r="K253" i="6"/>
  <c r="K251" i="6"/>
  <c r="K247" i="6"/>
  <c r="K263" i="2"/>
  <c r="K259" i="2"/>
  <c r="K255" i="2"/>
  <c r="K253" i="2"/>
  <c r="G147" i="1"/>
  <c r="G194" i="1" s="1"/>
  <c r="G241" i="1" s="1"/>
  <c r="I53" i="1"/>
  <c r="L251" i="15"/>
  <c r="L288" i="15"/>
  <c r="K66" i="6"/>
  <c r="K70" i="6"/>
  <c r="K74" i="6"/>
  <c r="K80" i="6"/>
  <c r="J79" i="6"/>
  <c r="L79" i="6" s="1"/>
  <c r="J215" i="1"/>
  <c r="K215" i="1"/>
  <c r="K172" i="2"/>
  <c r="K124" i="1"/>
  <c r="K74" i="1"/>
  <c r="K19" i="2"/>
  <c r="K15" i="2"/>
  <c r="H147" i="2"/>
  <c r="D147" i="1"/>
  <c r="H194" i="2"/>
  <c r="H241" i="2" s="1"/>
  <c r="D194" i="1"/>
  <c r="D241" i="1"/>
  <c r="J196" i="6"/>
  <c r="J173" i="6"/>
  <c r="L173" i="6" s="1"/>
  <c r="J164" i="6"/>
  <c r="J166" i="6"/>
  <c r="L166" i="6"/>
  <c r="J151" i="6"/>
  <c r="L151" i="6" s="1"/>
  <c r="J124" i="6"/>
  <c r="J77" i="6"/>
  <c r="K77" i="6" s="1"/>
  <c r="L77" i="6"/>
  <c r="K85" i="6"/>
  <c r="J61" i="6"/>
  <c r="L61" i="6"/>
  <c r="K14" i="6"/>
  <c r="N198" i="1"/>
  <c r="N229" i="1" s="1"/>
  <c r="N151" i="1"/>
  <c r="N182" i="1" s="1"/>
  <c r="K46" i="15"/>
  <c r="K91" i="15"/>
  <c r="K93" i="15"/>
  <c r="K95" i="15"/>
  <c r="K92" i="15"/>
  <c r="K242" i="15"/>
  <c r="K238" i="15"/>
  <c r="K239" i="15"/>
  <c r="K240" i="15"/>
  <c r="K241" i="15"/>
  <c r="K208" i="6"/>
  <c r="K153" i="6"/>
  <c r="K157" i="6"/>
  <c r="K158" i="6"/>
  <c r="K61" i="6"/>
  <c r="L215" i="1"/>
  <c r="D221" i="15"/>
  <c r="K15" i="1"/>
  <c r="T217" i="1"/>
  <c r="T122" i="1"/>
  <c r="R273" i="1"/>
  <c r="R271" i="1"/>
  <c r="R269" i="1"/>
  <c r="R267" i="1"/>
  <c r="R265" i="1"/>
  <c r="R263" i="1"/>
  <c r="R261" i="1"/>
  <c r="R259" i="1"/>
  <c r="R257" i="1"/>
  <c r="R255" i="1"/>
  <c r="R253" i="1"/>
  <c r="R251" i="1"/>
  <c r="R249" i="1"/>
  <c r="R247" i="1"/>
  <c r="R245" i="1"/>
  <c r="R243" i="1"/>
  <c r="R225" i="1"/>
  <c r="R223" i="1"/>
  <c r="R221" i="1"/>
  <c r="R219" i="1"/>
  <c r="R215" i="1"/>
  <c r="R213" i="1"/>
  <c r="R211" i="1"/>
  <c r="R209" i="1"/>
  <c r="R207" i="1"/>
  <c r="R205" i="1"/>
  <c r="R201" i="1"/>
  <c r="R199" i="1"/>
  <c r="R179" i="1"/>
  <c r="R177" i="1"/>
  <c r="R175" i="1"/>
  <c r="R173" i="1"/>
  <c r="R171" i="1"/>
  <c r="R169" i="1"/>
  <c r="R167" i="1"/>
  <c r="R165" i="1"/>
  <c r="R163" i="1"/>
  <c r="R161" i="1"/>
  <c r="R159" i="1"/>
  <c r="R155" i="1"/>
  <c r="R153" i="1"/>
  <c r="R151" i="1"/>
  <c r="R149" i="1"/>
  <c r="R131" i="1"/>
  <c r="R129" i="1"/>
  <c r="R127" i="1"/>
  <c r="R125" i="1"/>
  <c r="R123" i="1"/>
  <c r="R121" i="1"/>
  <c r="R119" i="1"/>
  <c r="R117" i="1"/>
  <c r="R115" i="1"/>
  <c r="R113" i="1"/>
  <c r="R111" i="1"/>
  <c r="R109" i="1"/>
  <c r="R107" i="1"/>
  <c r="R105" i="1"/>
  <c r="R103" i="1"/>
  <c r="R85" i="1"/>
  <c r="R83" i="1"/>
  <c r="R79" i="1"/>
  <c r="R77" i="1"/>
  <c r="R75" i="1"/>
  <c r="R73" i="1"/>
  <c r="R69" i="1"/>
  <c r="R65" i="1"/>
  <c r="R57" i="1"/>
  <c r="R33" i="1"/>
  <c r="R25" i="1"/>
  <c r="R272" i="1"/>
  <c r="R270" i="1"/>
  <c r="R268" i="1"/>
  <c r="R266" i="1"/>
  <c r="R264" i="1"/>
  <c r="R262" i="1"/>
  <c r="R260" i="1"/>
  <c r="R258" i="1"/>
  <c r="R256" i="1"/>
  <c r="R254" i="1"/>
  <c r="R252" i="1"/>
  <c r="R250" i="1"/>
  <c r="R248" i="1"/>
  <c r="R246" i="1"/>
  <c r="R244" i="1"/>
  <c r="R226" i="1"/>
  <c r="R224" i="1"/>
  <c r="R222" i="1"/>
  <c r="R220" i="1"/>
  <c r="R218" i="1"/>
  <c r="R216" i="1"/>
  <c r="R214" i="1"/>
  <c r="R212" i="1"/>
  <c r="R210" i="1"/>
  <c r="R208" i="1"/>
  <c r="R206" i="1"/>
  <c r="R204" i="1"/>
  <c r="R200" i="1"/>
  <c r="R198" i="1"/>
  <c r="R196" i="1"/>
  <c r="R178" i="1"/>
  <c r="R176" i="1"/>
  <c r="R174" i="1"/>
  <c r="R172" i="1"/>
  <c r="R170" i="1"/>
  <c r="R168" i="1"/>
  <c r="R166" i="1"/>
  <c r="R164" i="1"/>
  <c r="R162" i="1"/>
  <c r="R160" i="1"/>
  <c r="R158" i="1"/>
  <c r="R156" i="1"/>
  <c r="R154" i="1"/>
  <c r="R150" i="1"/>
  <c r="R132" i="1"/>
  <c r="R130" i="1"/>
  <c r="R128" i="1"/>
  <c r="R126" i="1"/>
  <c r="R124" i="1"/>
  <c r="R122" i="1"/>
  <c r="R120" i="1"/>
  <c r="R118" i="1"/>
  <c r="R116" i="1"/>
  <c r="R114" i="1"/>
  <c r="R112" i="1"/>
  <c r="R108" i="1"/>
  <c r="R106" i="1"/>
  <c r="R104" i="1"/>
  <c r="R102" i="1"/>
  <c r="R84" i="1"/>
  <c r="R82" i="1"/>
  <c r="R80" i="1"/>
  <c r="R78" i="1"/>
  <c r="R76" i="1"/>
  <c r="R74" i="1"/>
  <c r="R72" i="1"/>
  <c r="R70" i="1"/>
  <c r="R68" i="1"/>
  <c r="R64" i="1"/>
  <c r="R62" i="1"/>
  <c r="R60" i="1"/>
  <c r="R58" i="1"/>
  <c r="R56" i="1"/>
  <c r="R38" i="1"/>
  <c r="R36" i="1"/>
  <c r="R34" i="1"/>
  <c r="R30" i="1"/>
  <c r="R28" i="1"/>
  <c r="R26" i="1"/>
  <c r="R22" i="1"/>
  <c r="R18" i="1"/>
  <c r="R16" i="1"/>
  <c r="R14" i="1"/>
  <c r="R12" i="1"/>
  <c r="R10" i="1"/>
  <c r="R8" i="1"/>
  <c r="R21" i="1"/>
  <c r="R17" i="1"/>
  <c r="R13" i="1"/>
  <c r="R9" i="1"/>
  <c r="R23" i="1"/>
  <c r="T179" i="2"/>
  <c r="T226" i="2"/>
  <c r="T122" i="2"/>
  <c r="T169" i="2"/>
  <c r="R272" i="2"/>
  <c r="R270" i="2"/>
  <c r="R268" i="2"/>
  <c r="R266" i="2"/>
  <c r="R264" i="2"/>
  <c r="R260" i="2"/>
  <c r="R254" i="2"/>
  <c r="R252" i="2"/>
  <c r="R250" i="2"/>
  <c r="R248" i="2"/>
  <c r="R246" i="2"/>
  <c r="R244" i="2"/>
  <c r="R226" i="2"/>
  <c r="R224" i="2"/>
  <c r="R222" i="2"/>
  <c r="R220" i="2"/>
  <c r="R208" i="2"/>
  <c r="R200" i="2"/>
  <c r="R198" i="2"/>
  <c r="R176" i="2"/>
  <c r="R172" i="2"/>
  <c r="R170" i="2"/>
  <c r="R168" i="2"/>
  <c r="R162" i="2"/>
  <c r="R160" i="2"/>
  <c r="R158" i="2"/>
  <c r="R156" i="2"/>
  <c r="R151" i="2"/>
  <c r="R149" i="2"/>
  <c r="R129" i="2"/>
  <c r="R127" i="2"/>
  <c r="R125" i="2"/>
  <c r="R123" i="2"/>
  <c r="R117" i="2"/>
  <c r="R115" i="2"/>
  <c r="R113" i="2"/>
  <c r="R111" i="2"/>
  <c r="R109" i="2"/>
  <c r="R107" i="2"/>
  <c r="R105" i="2"/>
  <c r="R103" i="2"/>
  <c r="R85" i="2"/>
  <c r="R83" i="2"/>
  <c r="R73" i="2"/>
  <c r="R65" i="2"/>
  <c r="R63" i="2"/>
  <c r="R57" i="2"/>
  <c r="R37" i="2"/>
  <c r="R273" i="2"/>
  <c r="R271" i="2"/>
  <c r="R269" i="2"/>
  <c r="R259" i="2"/>
  <c r="R257" i="2"/>
  <c r="R255" i="2"/>
  <c r="R253" i="2"/>
  <c r="R251" i="2"/>
  <c r="R249" i="2"/>
  <c r="R247" i="2"/>
  <c r="R245" i="2"/>
  <c r="R243" i="2"/>
  <c r="R225" i="2"/>
  <c r="R217" i="2"/>
  <c r="R215" i="2"/>
  <c r="R213" i="2"/>
  <c r="R211" i="2"/>
  <c r="R209" i="2"/>
  <c r="R207" i="2"/>
  <c r="R201" i="2"/>
  <c r="R197" i="2"/>
  <c r="R179" i="2"/>
  <c r="R169" i="2"/>
  <c r="R163" i="2"/>
  <c r="R157" i="2"/>
  <c r="R155" i="2"/>
  <c r="R152" i="2"/>
  <c r="R150" i="2"/>
  <c r="R132" i="2"/>
  <c r="R130" i="2"/>
  <c r="R126" i="2"/>
  <c r="R124" i="2"/>
  <c r="R118" i="2"/>
  <c r="R116" i="2"/>
  <c r="R114" i="2"/>
  <c r="R112" i="2"/>
  <c r="R110" i="2"/>
  <c r="R108" i="2"/>
  <c r="R106" i="2"/>
  <c r="R104" i="2"/>
  <c r="R102" i="2"/>
  <c r="R82" i="2"/>
  <c r="R66" i="2"/>
  <c r="R60" i="2"/>
  <c r="R58" i="2"/>
  <c r="R36" i="2"/>
  <c r="R34" i="2"/>
  <c r="R32" i="2"/>
  <c r="R28" i="2"/>
  <c r="R26" i="2"/>
  <c r="R24" i="2"/>
  <c r="R18" i="2"/>
  <c r="R14" i="2"/>
  <c r="R12" i="2"/>
  <c r="R35" i="2"/>
  <c r="R25" i="2"/>
  <c r="R23" i="2"/>
  <c r="R21" i="2"/>
  <c r="R19" i="2"/>
  <c r="R15" i="2"/>
  <c r="R272" i="6"/>
  <c r="R270" i="6"/>
  <c r="R268" i="6"/>
  <c r="R266" i="6"/>
  <c r="R264" i="6"/>
  <c r="R262" i="6"/>
  <c r="R260" i="6"/>
  <c r="R258" i="6"/>
  <c r="R256" i="6"/>
  <c r="R254" i="6"/>
  <c r="R252" i="6"/>
  <c r="R248" i="6"/>
  <c r="R246" i="6"/>
  <c r="R244" i="6"/>
  <c r="R226" i="6"/>
  <c r="R222" i="6"/>
  <c r="R214" i="6"/>
  <c r="R212" i="6"/>
  <c r="R210" i="6"/>
  <c r="R208" i="6"/>
  <c r="R206" i="6"/>
  <c r="R202" i="6"/>
  <c r="R200" i="6"/>
  <c r="R196" i="6"/>
  <c r="R178" i="6"/>
  <c r="R176" i="6"/>
  <c r="R174" i="6"/>
  <c r="R172" i="6"/>
  <c r="R170" i="6"/>
  <c r="R168" i="6"/>
  <c r="R164" i="6"/>
  <c r="R162" i="6"/>
  <c r="R160" i="6"/>
  <c r="R158" i="6"/>
  <c r="R150" i="6"/>
  <c r="R128" i="6"/>
  <c r="R124" i="6"/>
  <c r="R120" i="6"/>
  <c r="R118" i="6"/>
  <c r="R116" i="6"/>
  <c r="R112" i="6"/>
  <c r="R110" i="6"/>
  <c r="R108" i="6"/>
  <c r="R106" i="6"/>
  <c r="R102" i="6"/>
  <c r="R84" i="6"/>
  <c r="R82" i="6"/>
  <c r="R80" i="6"/>
  <c r="R78" i="6"/>
  <c r="R76" i="6"/>
  <c r="R74" i="6"/>
  <c r="R72" i="6"/>
  <c r="R70" i="6"/>
  <c r="R66" i="6"/>
  <c r="R64" i="6"/>
  <c r="R62" i="6"/>
  <c r="R60" i="6"/>
  <c r="R58" i="6"/>
  <c r="R56" i="6"/>
  <c r="R37" i="6"/>
  <c r="R33" i="6"/>
  <c r="R31" i="6"/>
  <c r="R15" i="6"/>
  <c r="R13" i="6"/>
  <c r="R273" i="6"/>
  <c r="R271" i="6"/>
  <c r="R269" i="6"/>
  <c r="R267" i="6"/>
  <c r="R265" i="6"/>
  <c r="R261" i="6"/>
  <c r="R259" i="6"/>
  <c r="R257" i="6"/>
  <c r="R255" i="6"/>
  <c r="R253" i="6"/>
  <c r="R251" i="6"/>
  <c r="R249" i="6"/>
  <c r="R247" i="6"/>
  <c r="R245" i="6"/>
  <c r="R243" i="6"/>
  <c r="R223" i="6"/>
  <c r="R219" i="6"/>
  <c r="R217" i="6"/>
  <c r="R211" i="6"/>
  <c r="R203" i="6"/>
  <c r="R199" i="6"/>
  <c r="R179" i="6"/>
  <c r="R175" i="6"/>
  <c r="R173" i="6"/>
  <c r="R169" i="6"/>
  <c r="R165" i="6"/>
  <c r="R163" i="6"/>
  <c r="R161" i="6"/>
  <c r="R159" i="6"/>
  <c r="R157" i="6"/>
  <c r="R155" i="6"/>
  <c r="R153" i="6"/>
  <c r="R151" i="6"/>
  <c r="R149" i="6"/>
  <c r="R129" i="6"/>
  <c r="R127" i="6"/>
  <c r="R125" i="6"/>
  <c r="R123" i="6"/>
  <c r="R121" i="6"/>
  <c r="R117" i="6"/>
  <c r="R115" i="6"/>
  <c r="R109" i="6"/>
  <c r="R107" i="6"/>
  <c r="R105" i="6"/>
  <c r="R103" i="6"/>
  <c r="R85" i="6"/>
  <c r="R83" i="6"/>
  <c r="R79" i="6"/>
  <c r="R77" i="6"/>
  <c r="R75" i="6"/>
  <c r="R71" i="6"/>
  <c r="R69" i="6"/>
  <c r="R67" i="6"/>
  <c r="R65" i="6"/>
  <c r="R63" i="6"/>
  <c r="R61" i="6"/>
  <c r="R55" i="6"/>
  <c r="R34" i="6"/>
  <c r="R16" i="6"/>
  <c r="R14" i="6"/>
  <c r="R12" i="6"/>
  <c r="R9" i="6"/>
  <c r="R8" i="6"/>
  <c r="R10" i="6"/>
  <c r="R19" i="6"/>
  <c r="R21" i="6"/>
  <c r="R23" i="6"/>
  <c r="R25" i="6"/>
  <c r="R30" i="6"/>
  <c r="R38" i="6"/>
  <c r="N57" i="6"/>
  <c r="N245" i="6" s="1"/>
  <c r="N151" i="6"/>
  <c r="K16" i="5"/>
  <c r="K32" i="5"/>
  <c r="K40" i="5"/>
  <c r="N57" i="5"/>
  <c r="N245" i="5" s="1"/>
  <c r="K62" i="5"/>
  <c r="K66" i="5"/>
  <c r="K69" i="5"/>
  <c r="K73" i="5"/>
  <c r="K76" i="5"/>
  <c r="K79" i="5"/>
  <c r="K83" i="5"/>
  <c r="K107" i="5"/>
  <c r="K113" i="5"/>
  <c r="K114" i="5"/>
  <c r="K120" i="5"/>
  <c r="K127" i="5"/>
  <c r="K172" i="5"/>
  <c r="N198" i="5"/>
  <c r="K206" i="5"/>
  <c r="K210" i="5"/>
  <c r="K216" i="5"/>
  <c r="K225" i="5"/>
  <c r="K249" i="5"/>
  <c r="K267" i="5"/>
  <c r="K276" i="5"/>
  <c r="K213" i="1"/>
  <c r="K210" i="1"/>
  <c r="R63" i="1"/>
  <c r="K79" i="1"/>
  <c r="R31" i="1"/>
  <c r="R35" i="1"/>
  <c r="L40" i="1"/>
  <c r="K20" i="1"/>
  <c r="K16" i="1"/>
  <c r="L13" i="1"/>
  <c r="D11" i="15"/>
  <c r="I11" i="15" s="1"/>
  <c r="L11" i="15" s="1"/>
  <c r="K27" i="1"/>
  <c r="I43" i="1"/>
  <c r="R196" i="2"/>
  <c r="K36" i="2"/>
  <c r="R152" i="1"/>
  <c r="A48" i="5"/>
  <c r="K216" i="1"/>
  <c r="K125" i="1"/>
  <c r="K132" i="1"/>
  <c r="K127" i="1"/>
  <c r="K83" i="1"/>
  <c r="K60" i="1"/>
  <c r="L60" i="2"/>
  <c r="F60" i="15"/>
  <c r="K60" i="2"/>
  <c r="L62" i="2"/>
  <c r="F62" i="15"/>
  <c r="I62" i="15" s="1"/>
  <c r="L62" i="15" s="1"/>
  <c r="J59" i="2"/>
  <c r="K59" i="2" s="1"/>
  <c r="L59" i="2"/>
  <c r="F59" i="15"/>
  <c r="I59" i="15" s="1"/>
  <c r="J55" i="2"/>
  <c r="L55" i="2" s="1"/>
  <c r="F55" i="15" s="1"/>
  <c r="F84" i="15"/>
  <c r="K84" i="2"/>
  <c r="R76" i="2"/>
  <c r="J75" i="2"/>
  <c r="K75" i="2"/>
  <c r="R75" i="2"/>
  <c r="J71" i="2"/>
  <c r="L71" i="2" s="1"/>
  <c r="F71" i="15" s="1"/>
  <c r="K71" i="2"/>
  <c r="R71" i="2"/>
  <c r="R67" i="2"/>
  <c r="L170" i="1"/>
  <c r="D174" i="15"/>
  <c r="I174" i="15" s="1"/>
  <c r="L174" i="15" s="1"/>
  <c r="K170" i="1"/>
  <c r="K172" i="1"/>
  <c r="K174" i="1"/>
  <c r="L169" i="1"/>
  <c r="D173" i="15" s="1"/>
  <c r="I173" i="15" s="1"/>
  <c r="L173" i="15" s="1"/>
  <c r="K169" i="1"/>
  <c r="L163" i="1"/>
  <c r="D167" i="15"/>
  <c r="K163" i="1"/>
  <c r="L161" i="1"/>
  <c r="K161" i="1"/>
  <c r="L153" i="1"/>
  <c r="D157" i="15" s="1"/>
  <c r="K153" i="1"/>
  <c r="L150" i="1"/>
  <c r="D154" i="15" s="1"/>
  <c r="I154" i="15" s="1"/>
  <c r="L154" i="15" s="1"/>
  <c r="K150" i="1"/>
  <c r="K55" i="2"/>
  <c r="L75" i="2"/>
  <c r="F75" i="15"/>
  <c r="I75" i="15" s="1"/>
  <c r="L75" i="15" s="1"/>
  <c r="K191" i="15"/>
  <c r="K193" i="15"/>
  <c r="K42" i="15"/>
  <c r="K11" i="1"/>
  <c r="L34" i="1"/>
  <c r="D32" i="15" s="1"/>
  <c r="K34" i="1"/>
  <c r="L21" i="1"/>
  <c r="D19" i="15" s="1"/>
  <c r="I19" i="15" s="1"/>
  <c r="K21" i="1"/>
  <c r="L10" i="1"/>
  <c r="D8" i="15"/>
  <c r="I8" i="15"/>
  <c r="L8" i="15" s="1"/>
  <c r="K10" i="1"/>
  <c r="J29" i="1"/>
  <c r="R29" i="1"/>
  <c r="L32" i="1"/>
  <c r="D30" i="15" s="1"/>
  <c r="I30" i="15" s="1"/>
  <c r="L30" i="15" s="1"/>
  <c r="L25" i="1"/>
  <c r="D23" i="15"/>
  <c r="I23" i="15" s="1"/>
  <c r="K25" i="1"/>
  <c r="L9" i="1"/>
  <c r="D7" i="15" s="1"/>
  <c r="K9" i="1"/>
  <c r="J37" i="1"/>
  <c r="L37" i="1" s="1"/>
  <c r="D35" i="15" s="1"/>
  <c r="I35" i="15" s="1"/>
  <c r="R37" i="1"/>
  <c r="J19" i="1"/>
  <c r="K19" i="1" s="1"/>
  <c r="R19" i="1"/>
  <c r="K37" i="1"/>
  <c r="L29" i="1"/>
  <c r="D27" i="15" s="1"/>
  <c r="I27" i="15" s="1"/>
  <c r="L27" i="15" s="1"/>
  <c r="K29" i="1"/>
  <c r="R205" i="2"/>
  <c r="R159" i="2"/>
  <c r="K150" i="2"/>
  <c r="R131" i="2"/>
  <c r="K126" i="2"/>
  <c r="J80" i="2"/>
  <c r="K80" i="2"/>
  <c r="R69" i="2"/>
  <c r="K27" i="2"/>
  <c r="R38" i="2"/>
  <c r="G147" i="2"/>
  <c r="G194" i="2" s="1"/>
  <c r="D147" i="2"/>
  <c r="D194" i="2" s="1"/>
  <c r="F147" i="1"/>
  <c r="E147" i="1"/>
  <c r="I100" i="1"/>
  <c r="F194" i="1"/>
  <c r="G241" i="2"/>
  <c r="D241" i="2"/>
  <c r="J173" i="2"/>
  <c r="K173" i="2" s="1"/>
  <c r="J157" i="2"/>
  <c r="L157" i="2" s="1"/>
  <c r="F161" i="15" s="1"/>
  <c r="K157" i="2"/>
  <c r="J179" i="2"/>
  <c r="K179" i="2"/>
  <c r="K120" i="2"/>
  <c r="J132" i="2"/>
  <c r="K132" i="2"/>
  <c r="J114" i="2"/>
  <c r="J116" i="2"/>
  <c r="L116" i="2"/>
  <c r="F118" i="15"/>
  <c r="R84" i="2"/>
  <c r="J78" i="2"/>
  <c r="K78" i="2"/>
  <c r="J69" i="2"/>
  <c r="L69" i="2" s="1"/>
  <c r="K69" i="2"/>
  <c r="J63" i="2"/>
  <c r="K63" i="2" s="1"/>
  <c r="R62" i="2"/>
  <c r="J212" i="2"/>
  <c r="J208" i="2"/>
  <c r="J199" i="2"/>
  <c r="L199" i="2"/>
  <c r="F205" i="15"/>
  <c r="I205" i="15" s="1"/>
  <c r="J215" i="2"/>
  <c r="L215" i="2"/>
  <c r="F221" i="15"/>
  <c r="I221" i="15" s="1"/>
  <c r="L221" i="15" s="1"/>
  <c r="J225" i="2"/>
  <c r="L225" i="2" s="1"/>
  <c r="F231" i="15" s="1"/>
  <c r="I231" i="15" s="1"/>
  <c r="L231" i="15" s="1"/>
  <c r="L132" i="2"/>
  <c r="F134" i="15"/>
  <c r="L78" i="2"/>
  <c r="F78" i="15" s="1"/>
  <c r="I78" i="15" s="1"/>
  <c r="L78" i="15" s="1"/>
  <c r="K206" i="6"/>
  <c r="K221" i="6"/>
  <c r="L214" i="6"/>
  <c r="L202" i="6"/>
  <c r="I232" i="2"/>
  <c r="N215" i="2"/>
  <c r="J198" i="2"/>
  <c r="L198" i="2" s="1"/>
  <c r="F204" i="15" s="1"/>
  <c r="J220" i="2"/>
  <c r="K220" i="2" s="1"/>
  <c r="L220" i="2"/>
  <c r="F226" i="15"/>
  <c r="I226" i="15" s="1"/>
  <c r="L226" i="15" s="1"/>
  <c r="J216" i="2"/>
  <c r="K216" i="2" s="1"/>
  <c r="J210" i="2"/>
  <c r="K210" i="2"/>
  <c r="J205" i="2"/>
  <c r="L205" i="2" s="1"/>
  <c r="F211" i="15" s="1"/>
  <c r="I211" i="15" s="1"/>
  <c r="L211" i="15" s="1"/>
  <c r="J197" i="2"/>
  <c r="S42" i="9"/>
  <c r="S41" i="9"/>
  <c r="S40" i="9"/>
  <c r="R217" i="1"/>
  <c r="R202" i="1"/>
  <c r="I232" i="1"/>
  <c r="N215" i="1"/>
  <c r="K173" i="6"/>
  <c r="K151" i="6"/>
  <c r="I185" i="6"/>
  <c r="N168" i="6" s="1"/>
  <c r="R171" i="6"/>
  <c r="R167" i="6"/>
  <c r="L176" i="6"/>
  <c r="K176" i="6"/>
  <c r="K175" i="6"/>
  <c r="L175" i="6"/>
  <c r="L174" i="6"/>
  <c r="K174" i="6"/>
  <c r="K166" i="6"/>
  <c r="K162" i="6"/>
  <c r="L162" i="6"/>
  <c r="K156" i="6"/>
  <c r="L156" i="6"/>
  <c r="R156" i="6"/>
  <c r="L155" i="6"/>
  <c r="K155" i="6"/>
  <c r="L154" i="6"/>
  <c r="K154" i="6"/>
  <c r="R154" i="6"/>
  <c r="J177" i="2"/>
  <c r="L177" i="2"/>
  <c r="F181" i="15" s="1"/>
  <c r="I181" i="15" s="1"/>
  <c r="L181" i="15" s="1"/>
  <c r="R177" i="2"/>
  <c r="R153" i="2"/>
  <c r="K149" i="2"/>
  <c r="J175" i="2"/>
  <c r="L175" i="2" s="1"/>
  <c r="F179" i="15" s="1"/>
  <c r="J171" i="2"/>
  <c r="L171" i="2"/>
  <c r="F175" i="15"/>
  <c r="J167" i="2"/>
  <c r="K167" i="2" s="1"/>
  <c r="J163" i="2"/>
  <c r="K163" i="2" s="1"/>
  <c r="R154" i="2"/>
  <c r="J153" i="2"/>
  <c r="L153" i="2"/>
  <c r="F157" i="15" s="1"/>
  <c r="I157" i="15" s="1"/>
  <c r="L157" i="15" s="1"/>
  <c r="O42" i="9"/>
  <c r="O39" i="9"/>
  <c r="O40" i="9"/>
  <c r="R157" i="1"/>
  <c r="K156" i="1"/>
  <c r="I184" i="1"/>
  <c r="L117" i="6"/>
  <c r="R111" i="6"/>
  <c r="L129" i="6"/>
  <c r="J131" i="2"/>
  <c r="L131" i="2" s="1"/>
  <c r="F133" i="15" s="1"/>
  <c r="R128" i="2"/>
  <c r="J118" i="2"/>
  <c r="L118" i="2"/>
  <c r="F120" i="15" s="1"/>
  <c r="K40" i="9"/>
  <c r="K41" i="9"/>
  <c r="K126" i="1"/>
  <c r="L68" i="6"/>
  <c r="K68" i="6"/>
  <c r="R68" i="6"/>
  <c r="K79" i="6"/>
  <c r="I91" i="6"/>
  <c r="N74" i="6" s="1"/>
  <c r="K65" i="6"/>
  <c r="K58" i="6"/>
  <c r="R79" i="2"/>
  <c r="R72" i="2"/>
  <c r="J72" i="2"/>
  <c r="K72" i="2" s="1"/>
  <c r="R70" i="2"/>
  <c r="K58" i="2"/>
  <c r="J64" i="2"/>
  <c r="K64" i="2" s="1"/>
  <c r="L64" i="2"/>
  <c r="F64" i="15" s="1"/>
  <c r="I91" i="2"/>
  <c r="N74" i="2" s="1"/>
  <c r="J86" i="2"/>
  <c r="K86" i="2" s="1"/>
  <c r="L86" i="2"/>
  <c r="F86" i="15" s="1"/>
  <c r="I86" i="15" s="1"/>
  <c r="L86" i="15" s="1"/>
  <c r="R80" i="2"/>
  <c r="J76" i="2"/>
  <c r="L76" i="2"/>
  <c r="F76" i="15" s="1"/>
  <c r="J73" i="2"/>
  <c r="K73" i="2"/>
  <c r="J65" i="2"/>
  <c r="K65" i="2" s="1"/>
  <c r="J61" i="2"/>
  <c r="K61" i="2" s="1"/>
  <c r="L61" i="2"/>
  <c r="F61" i="15" s="1"/>
  <c r="G42" i="9"/>
  <c r="G41" i="9"/>
  <c r="R61" i="1"/>
  <c r="K65" i="1"/>
  <c r="K73" i="1"/>
  <c r="K55" i="1"/>
  <c r="K59" i="1"/>
  <c r="K67" i="1"/>
  <c r="K57" i="1"/>
  <c r="I90" i="1"/>
  <c r="K37" i="6"/>
  <c r="R11" i="6"/>
  <c r="L32" i="6"/>
  <c r="K32" i="6"/>
  <c r="R32" i="6"/>
  <c r="L31" i="6"/>
  <c r="K31" i="6"/>
  <c r="I44" i="6"/>
  <c r="N27" i="6"/>
  <c r="K35" i="6"/>
  <c r="L35" i="6"/>
  <c r="L27" i="6"/>
  <c r="K27" i="6"/>
  <c r="K15" i="6"/>
  <c r="L15" i="6"/>
  <c r="K8" i="6"/>
  <c r="G147" i="6"/>
  <c r="F194" i="6"/>
  <c r="E147" i="6"/>
  <c r="E194" i="6" s="1"/>
  <c r="D147" i="6"/>
  <c r="K32" i="2"/>
  <c r="R31" i="2"/>
  <c r="J24" i="2"/>
  <c r="L24" i="2" s="1"/>
  <c r="F22" i="15" s="1"/>
  <c r="I22" i="15" s="1"/>
  <c r="J20" i="2"/>
  <c r="J12" i="2"/>
  <c r="L12" i="2" s="1"/>
  <c r="F10" i="15" s="1"/>
  <c r="C41" i="9"/>
  <c r="C40" i="9"/>
  <c r="F147" i="2"/>
  <c r="F194" i="2" s="1"/>
  <c r="F241" i="2" s="1"/>
  <c r="E147" i="2"/>
  <c r="E194" i="2" s="1"/>
  <c r="E241" i="2" s="1"/>
  <c r="I100" i="2"/>
  <c r="I44" i="1"/>
  <c r="N27" i="1" s="1"/>
  <c r="K205" i="2"/>
  <c r="L163" i="2"/>
  <c r="F167" i="15" s="1"/>
  <c r="L159" i="2"/>
  <c r="F163" i="15" s="1"/>
  <c r="K153" i="2"/>
  <c r="K131" i="2"/>
  <c r="K118" i="2"/>
  <c r="L72" i="2"/>
  <c r="F72" i="15"/>
  <c r="L73" i="2"/>
  <c r="F73" i="15"/>
  <c r="L65" i="2"/>
  <c r="F65" i="15" s="1"/>
  <c r="I65" i="15" s="1"/>
  <c r="L65" i="15" s="1"/>
  <c r="G194" i="6"/>
  <c r="F241" i="6"/>
  <c r="K20" i="2"/>
  <c r="L20" i="2"/>
  <c r="F18" i="15" s="1"/>
  <c r="I147" i="2"/>
  <c r="G241" i="6"/>
  <c r="E241" i="6"/>
  <c r="R67" i="1"/>
  <c r="R66" i="1"/>
  <c r="R59" i="1"/>
  <c r="R15" i="1"/>
  <c r="R20" i="1"/>
  <c r="R24" i="1"/>
  <c r="R32" i="1"/>
  <c r="R55" i="1"/>
  <c r="R11" i="1"/>
  <c r="R197" i="1"/>
  <c r="R71" i="1"/>
  <c r="R27" i="1"/>
  <c r="T132" i="2"/>
  <c r="T273" i="2"/>
  <c r="R18" i="6"/>
  <c r="R22" i="6"/>
  <c r="R26" i="6"/>
  <c r="R28" i="6"/>
  <c r="R114" i="6"/>
  <c r="R130" i="6"/>
  <c r="R177" i="6"/>
  <c r="R207" i="6"/>
  <c r="R221" i="6"/>
  <c r="T170" i="2"/>
  <c r="T264" i="2"/>
  <c r="N245" i="1"/>
  <c r="N276" i="1" s="1"/>
  <c r="K34" i="5"/>
  <c r="K37" i="5"/>
  <c r="K41" i="5"/>
  <c r="K57" i="5"/>
  <c r="K64" i="5"/>
  <c r="K68" i="5"/>
  <c r="K87" i="5"/>
  <c r="L289" i="15"/>
  <c r="L287" i="15"/>
  <c r="L106" i="6"/>
  <c r="K106" i="6"/>
  <c r="L107" i="6"/>
  <c r="K107" i="6"/>
  <c r="K109" i="6"/>
  <c r="K122" i="6"/>
  <c r="J131" i="6"/>
  <c r="L131" i="6" s="1"/>
  <c r="R131" i="6"/>
  <c r="R113" i="6"/>
  <c r="L124" i="6"/>
  <c r="K124" i="6"/>
  <c r="L105" i="6"/>
  <c r="K105" i="6"/>
  <c r="L108" i="6"/>
  <c r="K108" i="6"/>
  <c r="L118" i="6"/>
  <c r="K118" i="6"/>
  <c r="L123" i="6"/>
  <c r="K123" i="6"/>
  <c r="L126" i="6"/>
  <c r="K126" i="6"/>
  <c r="L128" i="6"/>
  <c r="K128" i="6"/>
  <c r="K132" i="6"/>
  <c r="I138" i="6"/>
  <c r="J119" i="6"/>
  <c r="L119" i="6" s="1"/>
  <c r="R119" i="6"/>
  <c r="R104" i="6"/>
  <c r="I137" i="6"/>
  <c r="K116" i="2"/>
  <c r="C39" i="9"/>
  <c r="C42" i="9"/>
  <c r="G39" i="9"/>
  <c r="G40" i="9"/>
  <c r="K39" i="9"/>
  <c r="O41" i="9"/>
  <c r="K119" i="6"/>
  <c r="K131" i="6"/>
  <c r="J224" i="6"/>
  <c r="R224" i="6"/>
  <c r="J220" i="6"/>
  <c r="R220" i="6"/>
  <c r="J213" i="6"/>
  <c r="R213" i="6"/>
  <c r="J204" i="6"/>
  <c r="K204" i="6" s="1"/>
  <c r="R204" i="6"/>
  <c r="L211" i="6"/>
  <c r="L198" i="6"/>
  <c r="R198" i="6"/>
  <c r="K217" i="6"/>
  <c r="K222" i="6"/>
  <c r="I232" i="6"/>
  <c r="J225" i="6"/>
  <c r="R225" i="6"/>
  <c r="J216" i="6"/>
  <c r="R216" i="6"/>
  <c r="J205" i="6"/>
  <c r="R205" i="6"/>
  <c r="J201" i="6"/>
  <c r="K201" i="6" s="1"/>
  <c r="R201" i="6"/>
  <c r="J197" i="6"/>
  <c r="R197" i="6"/>
  <c r="L178" i="6"/>
  <c r="K178" i="6"/>
  <c r="K171" i="6"/>
  <c r="L171" i="6"/>
  <c r="L169" i="6"/>
  <c r="K169" i="6"/>
  <c r="K167" i="6"/>
  <c r="L167" i="6"/>
  <c r="K160" i="6"/>
  <c r="L160" i="6"/>
  <c r="K149" i="6"/>
  <c r="L149" i="6"/>
  <c r="L172" i="6"/>
  <c r="K172" i="6"/>
  <c r="K170" i="6"/>
  <c r="L170" i="6"/>
  <c r="K168" i="6"/>
  <c r="L168" i="6"/>
  <c r="K150" i="6"/>
  <c r="L150" i="6"/>
  <c r="K179" i="6"/>
  <c r="L179" i="6"/>
  <c r="L115" i="6"/>
  <c r="K115" i="6"/>
  <c r="K113" i="6"/>
  <c r="L113" i="6"/>
  <c r="L111" i="6"/>
  <c r="K111" i="6"/>
  <c r="L104" i="6"/>
  <c r="K104" i="6"/>
  <c r="L116" i="6"/>
  <c r="K116" i="6"/>
  <c r="K114" i="6"/>
  <c r="L114" i="6"/>
  <c r="K112" i="6"/>
  <c r="L112" i="6"/>
  <c r="K110" i="6"/>
  <c r="L110" i="6"/>
  <c r="L103" i="6"/>
  <c r="K103" i="6"/>
  <c r="K82" i="6"/>
  <c r="L82" i="6"/>
  <c r="K64" i="6"/>
  <c r="L64" i="6"/>
  <c r="K78" i="6"/>
  <c r="L78" i="6"/>
  <c r="L72" i="6"/>
  <c r="K72" i="6"/>
  <c r="L29" i="6"/>
  <c r="K29" i="6"/>
  <c r="L17" i="6"/>
  <c r="K17" i="6"/>
  <c r="K39" i="6"/>
  <c r="L39" i="6"/>
  <c r="L37" i="15"/>
  <c r="L13" i="6"/>
  <c r="K13" i="6"/>
  <c r="K11" i="6"/>
  <c r="L11" i="6"/>
  <c r="L212" i="2"/>
  <c r="F218" i="15" s="1"/>
  <c r="K212" i="2"/>
  <c r="K196" i="2"/>
  <c r="L196" i="2"/>
  <c r="F202" i="15" s="1"/>
  <c r="I202" i="15" s="1"/>
  <c r="L202" i="15" s="1"/>
  <c r="L213" i="2"/>
  <c r="F219" i="15"/>
  <c r="K213" i="2"/>
  <c r="L222" i="2"/>
  <c r="F228" i="15"/>
  <c r="I228" i="15" s="1"/>
  <c r="K222" i="2"/>
  <c r="K198" i="2"/>
  <c r="K199" i="2"/>
  <c r="L208" i="2"/>
  <c r="F214" i="15" s="1"/>
  <c r="K208" i="2"/>
  <c r="K219" i="2"/>
  <c r="L200" i="2"/>
  <c r="F206" i="15"/>
  <c r="L203" i="2"/>
  <c r="F209" i="15" s="1"/>
  <c r="K203" i="2"/>
  <c r="L211" i="2"/>
  <c r="F217" i="15" s="1"/>
  <c r="I217" i="15" s="1"/>
  <c r="L217" i="15" s="1"/>
  <c r="R218" i="2"/>
  <c r="J218" i="2"/>
  <c r="R214" i="2"/>
  <c r="J214" i="2"/>
  <c r="R206" i="2"/>
  <c r="J206" i="2"/>
  <c r="L206" i="2" s="1"/>
  <c r="L80" i="2"/>
  <c r="F80" i="15" s="1"/>
  <c r="I80" i="15" s="1"/>
  <c r="L80" i="15" s="1"/>
  <c r="J8" i="2"/>
  <c r="L8" i="2"/>
  <c r="F6" i="15"/>
  <c r="I6" i="15" s="1"/>
  <c r="L6" i="15" s="1"/>
  <c r="R29" i="2"/>
  <c r="N215" i="6"/>
  <c r="L197" i="6"/>
  <c r="K197" i="6"/>
  <c r="K205" i="6"/>
  <c r="L205" i="6"/>
  <c r="L204" i="6"/>
  <c r="L213" i="6"/>
  <c r="K213" i="6"/>
  <c r="K220" i="6"/>
  <c r="L220" i="6"/>
  <c r="K224" i="6"/>
  <c r="L224" i="6"/>
  <c r="F212" i="15"/>
  <c r="I212" i="15" s="1"/>
  <c r="L212" i="15" s="1"/>
  <c r="K206" i="2"/>
  <c r="K214" i="2"/>
  <c r="L214" i="2"/>
  <c r="F220" i="15" s="1"/>
  <c r="K8" i="2"/>
  <c r="L225" i="1"/>
  <c r="D231" i="15"/>
  <c r="K225" i="1"/>
  <c r="L222" i="1"/>
  <c r="D228" i="15"/>
  <c r="K222" i="1"/>
  <c r="K217" i="1"/>
  <c r="L217" i="1"/>
  <c r="D223" i="15" s="1"/>
  <c r="I231" i="1"/>
  <c r="L212" i="1"/>
  <c r="D218" i="15"/>
  <c r="K212" i="1"/>
  <c r="L205" i="1"/>
  <c r="D211" i="15"/>
  <c r="K205" i="1"/>
  <c r="K203" i="1"/>
  <c r="L202" i="1"/>
  <c r="D208" i="15"/>
  <c r="K202" i="1"/>
  <c r="L168" i="1"/>
  <c r="D172" i="15" s="1"/>
  <c r="K168" i="1"/>
  <c r="L155" i="1"/>
  <c r="D159" i="15"/>
  <c r="K155" i="1"/>
  <c r="K152" i="1"/>
  <c r="L152" i="1"/>
  <c r="D156" i="15" s="1"/>
  <c r="I156" i="15" s="1"/>
  <c r="L156" i="15" s="1"/>
  <c r="L129" i="1"/>
  <c r="D131" i="15" s="1"/>
  <c r="K129" i="1"/>
  <c r="L119" i="1"/>
  <c r="D121" i="15" s="1"/>
  <c r="I121" i="15" s="1"/>
  <c r="L121" i="15" s="1"/>
  <c r="K119" i="1"/>
  <c r="K109" i="1"/>
  <c r="L109" i="1"/>
  <c r="D111" i="15"/>
  <c r="I111" i="15" s="1"/>
  <c r="L111" i="15" s="1"/>
  <c r="L115" i="1"/>
  <c r="D117" i="15"/>
  <c r="I117" i="15"/>
  <c r="L117" i="15" s="1"/>
  <c r="K115" i="1"/>
  <c r="L114" i="1"/>
  <c r="D116" i="15"/>
  <c r="K114" i="1"/>
  <c r="L113" i="1"/>
  <c r="D115" i="15"/>
  <c r="K113" i="1"/>
  <c r="L112" i="1"/>
  <c r="D114" i="15" s="1"/>
  <c r="K112" i="1"/>
  <c r="L111" i="1"/>
  <c r="D113" i="15"/>
  <c r="I113" i="15" s="1"/>
  <c r="L113" i="15" s="1"/>
  <c r="K111" i="1"/>
  <c r="L110" i="1"/>
  <c r="D112" i="15"/>
  <c r="K110" i="1"/>
  <c r="I137" i="1"/>
  <c r="R110" i="1"/>
  <c r="L108" i="1"/>
  <c r="D110" i="15"/>
  <c r="K108" i="1"/>
  <c r="L107" i="1"/>
  <c r="D109" i="15"/>
  <c r="I109" i="15" s="1"/>
  <c r="L109" i="15" s="1"/>
  <c r="K107" i="1"/>
  <c r="L106" i="1"/>
  <c r="D108" i="15"/>
  <c r="K106" i="1"/>
  <c r="L105" i="1"/>
  <c r="D107" i="15" s="1"/>
  <c r="K105" i="1"/>
  <c r="K104" i="1"/>
  <c r="L104" i="1"/>
  <c r="D106" i="15" s="1"/>
  <c r="L103" i="1"/>
  <c r="D105" i="15"/>
  <c r="I105" i="15" s="1"/>
  <c r="L105" i="15" s="1"/>
  <c r="K103" i="1"/>
  <c r="L81" i="1"/>
  <c r="D81" i="15" s="1"/>
  <c r="I81" i="15" s="1"/>
  <c r="L81" i="15" s="1"/>
  <c r="K81" i="1"/>
  <c r="R81" i="1"/>
  <c r="L82" i="1"/>
  <c r="D82" i="15" s="1"/>
  <c r="I82" i="15" s="1"/>
  <c r="K82" i="1"/>
  <c r="K76" i="1"/>
  <c r="K75" i="1"/>
  <c r="K69" i="1"/>
  <c r="L63" i="1"/>
  <c r="D63" i="15" s="1"/>
  <c r="I63" i="15" s="1"/>
  <c r="L63" i="15" s="1"/>
  <c r="K63" i="1"/>
  <c r="L61" i="1"/>
  <c r="D61" i="15" s="1"/>
  <c r="K61" i="1"/>
  <c r="L39" i="1"/>
  <c r="K39" i="1"/>
  <c r="L38" i="1"/>
  <c r="D36" i="15"/>
  <c r="I36" i="15"/>
  <c r="L36" i="15" s="1"/>
  <c r="K38" i="1"/>
  <c r="L35" i="1"/>
  <c r="D33" i="15"/>
  <c r="I33" i="15" s="1"/>
  <c r="L33" i="15" s="1"/>
  <c r="K35" i="1"/>
  <c r="L31" i="1"/>
  <c r="D29" i="15" s="1"/>
  <c r="K31" i="1"/>
  <c r="L26" i="1"/>
  <c r="D24" i="15"/>
  <c r="K26" i="1"/>
  <c r="K22" i="1"/>
  <c r="L22" i="1"/>
  <c r="D20" i="15"/>
  <c r="K14" i="1"/>
  <c r="L14" i="1"/>
  <c r="D12" i="15" s="1"/>
  <c r="I12" i="15" s="1"/>
  <c r="L12" i="15" s="1"/>
  <c r="L8" i="1"/>
  <c r="D6" i="15"/>
  <c r="K8" i="1"/>
  <c r="K215" i="2"/>
  <c r="L210" i="2"/>
  <c r="F216" i="15"/>
  <c r="L179" i="2"/>
  <c r="F183" i="15" s="1"/>
  <c r="I183" i="15" s="1"/>
  <c r="L183" i="15" s="1"/>
  <c r="K171" i="2"/>
  <c r="J165" i="2"/>
  <c r="R13" i="2"/>
  <c r="K23" i="2"/>
  <c r="D40" i="9"/>
  <c r="H39" i="9"/>
  <c r="H41" i="9"/>
  <c r="D43" i="9" s="1"/>
  <c r="H43" i="9" s="1"/>
  <c r="L43" i="9" s="1"/>
  <c r="P43" i="9" s="1"/>
  <c r="T43" i="9" s="1"/>
  <c r="X43" i="9" s="1"/>
  <c r="L40" i="9"/>
  <c r="P39" i="9"/>
  <c r="P41" i="9"/>
  <c r="T40" i="9"/>
  <c r="X39" i="9"/>
  <c r="X41" i="9"/>
  <c r="D39" i="9"/>
  <c r="L39" i="9"/>
  <c r="T39" i="9"/>
  <c r="I167" i="15"/>
  <c r="L167" i="15" s="1"/>
  <c r="L228" i="15"/>
  <c r="L9" i="15"/>
  <c r="L35" i="15"/>
  <c r="I18" i="15"/>
  <c r="L18" i="15" s="1"/>
  <c r="I213" i="15"/>
  <c r="L213" i="15" s="1"/>
  <c r="I207" i="15"/>
  <c r="L207" i="15" s="1"/>
  <c r="L205" i="15"/>
  <c r="I176" i="15"/>
  <c r="L176" i="15" s="1"/>
  <c r="I153" i="15"/>
  <c r="L153" i="15" s="1"/>
  <c r="I134" i="15"/>
  <c r="L134" i="15" s="1"/>
  <c r="I129" i="15"/>
  <c r="L129" i="15" s="1"/>
  <c r="I127" i="15"/>
  <c r="L127" i="15"/>
  <c r="I85" i="15"/>
  <c r="L85" i="15" s="1"/>
  <c r="I83" i="15"/>
  <c r="L83" i="15" s="1"/>
  <c r="L59" i="15"/>
  <c r="I55" i="15"/>
  <c r="L55" i="15"/>
  <c r="L34" i="15"/>
  <c r="L82" i="15"/>
  <c r="L219" i="15"/>
  <c r="I216" i="15"/>
  <c r="L216" i="15"/>
  <c r="I178" i="15"/>
  <c r="L178" i="15" s="1"/>
  <c r="I166" i="15"/>
  <c r="L166" i="15" s="1"/>
  <c r="I128" i="15"/>
  <c r="L128" i="15"/>
  <c r="I126" i="15"/>
  <c r="L126" i="15"/>
  <c r="L125" i="15"/>
  <c r="I84" i="15"/>
  <c r="L84" i="15" s="1"/>
  <c r="I79" i="15"/>
  <c r="L79" i="15"/>
  <c r="I76" i="15"/>
  <c r="L76" i="15"/>
  <c r="I74" i="15"/>
  <c r="L74" i="15" s="1"/>
  <c r="I70" i="15"/>
  <c r="L70" i="15" s="1"/>
  <c r="L58" i="15"/>
  <c r="I25" i="15"/>
  <c r="L25" i="15"/>
  <c r="L22" i="15"/>
  <c r="L130" i="15"/>
  <c r="K141" i="15"/>
  <c r="K45" i="15"/>
  <c r="K44" i="15"/>
  <c r="L19" i="15"/>
  <c r="L23" i="15"/>
  <c r="K177" i="2"/>
  <c r="L63" i="2"/>
  <c r="F63" i="15"/>
  <c r="K74" i="2"/>
  <c r="L26" i="2"/>
  <c r="F24" i="15"/>
  <c r="K26" i="2"/>
  <c r="K158" i="1"/>
  <c r="L158" i="1"/>
  <c r="D162" i="15" s="1"/>
  <c r="I162" i="15" s="1"/>
  <c r="L162" i="15" s="1"/>
  <c r="L164" i="1"/>
  <c r="D168" i="15"/>
  <c r="K164" i="1"/>
  <c r="L157" i="1"/>
  <c r="D161" i="15"/>
  <c r="I161" i="15" s="1"/>
  <c r="L161" i="15" s="1"/>
  <c r="K157" i="1"/>
  <c r="L159" i="1"/>
  <c r="D163" i="15"/>
  <c r="I163" i="15" s="1"/>
  <c r="L163" i="15" s="1"/>
  <c r="K159" i="1"/>
  <c r="L179" i="1"/>
  <c r="D183" i="15"/>
  <c r="K179" i="1"/>
  <c r="L158" i="15"/>
  <c r="L164" i="15"/>
  <c r="K201" i="2"/>
  <c r="L119" i="2"/>
  <c r="F121" i="15"/>
  <c r="K119" i="2"/>
  <c r="L113" i="2"/>
  <c r="F115" i="15"/>
  <c r="K113" i="2"/>
  <c r="L112" i="2"/>
  <c r="F114" i="15" s="1"/>
  <c r="K112" i="2"/>
  <c r="L111" i="2"/>
  <c r="F113" i="15" s="1"/>
  <c r="K111" i="2"/>
  <c r="L110" i="2"/>
  <c r="F112" i="15"/>
  <c r="K110" i="2"/>
  <c r="L109" i="2"/>
  <c r="F111" i="15"/>
  <c r="K109" i="2"/>
  <c r="L108" i="2"/>
  <c r="F110" i="15" s="1"/>
  <c r="K108" i="2"/>
  <c r="L107" i="2"/>
  <c r="F109" i="15" s="1"/>
  <c r="K107" i="2"/>
  <c r="K106" i="2"/>
  <c r="L106" i="2"/>
  <c r="F108" i="15"/>
  <c r="I108" i="15"/>
  <c r="L108" i="15" s="1"/>
  <c r="L105" i="2"/>
  <c r="F107" i="15" s="1"/>
  <c r="I107" i="15" s="1"/>
  <c r="L107" i="15" s="1"/>
  <c r="K105" i="2"/>
  <c r="L104" i="2"/>
  <c r="F106" i="15" s="1"/>
  <c r="I106" i="15" s="1"/>
  <c r="L106" i="15" s="1"/>
  <c r="K104" i="2"/>
  <c r="K103" i="2"/>
  <c r="L103" i="2"/>
  <c r="F105" i="15" s="1"/>
  <c r="L102" i="2"/>
  <c r="F104" i="15"/>
  <c r="K102" i="2"/>
  <c r="K76" i="2"/>
  <c r="F69" i="15"/>
  <c r="I69" i="15" s="1"/>
  <c r="L69" i="15" s="1"/>
  <c r="L67" i="2"/>
  <c r="F67" i="15"/>
  <c r="I67" i="15" s="1"/>
  <c r="L67" i="15" s="1"/>
  <c r="K67" i="2"/>
  <c r="K38" i="2"/>
  <c r="K31" i="2"/>
  <c r="L17" i="2"/>
  <c r="F15" i="15"/>
  <c r="K17" i="2"/>
  <c r="R17" i="2"/>
  <c r="K39" i="2"/>
  <c r="L39" i="2"/>
  <c r="L29" i="2"/>
  <c r="F27" i="15"/>
  <c r="K29" i="2"/>
  <c r="K28" i="2"/>
  <c r="L28" i="2"/>
  <c r="F26" i="15"/>
  <c r="K24" i="2"/>
  <c r="L22" i="2"/>
  <c r="F20" i="15"/>
  <c r="K22" i="2"/>
  <c r="L18" i="2"/>
  <c r="F16" i="15" s="1"/>
  <c r="K18" i="2"/>
  <c r="L14" i="2"/>
  <c r="F12" i="15"/>
  <c r="K14" i="2"/>
  <c r="L13" i="2"/>
  <c r="F11" i="15"/>
  <c r="K13" i="2"/>
  <c r="I112" i="15"/>
  <c r="L112" i="15"/>
  <c r="I20" i="15"/>
  <c r="L20" i="15"/>
  <c r="J209" i="6" l="1"/>
  <c r="I231" i="6"/>
  <c r="R209" i="6"/>
  <c r="K88" i="5"/>
  <c r="L88" i="5"/>
  <c r="N27" i="5"/>
  <c r="J152" i="6"/>
  <c r="R152" i="6"/>
  <c r="I218" i="15"/>
  <c r="L218" i="15" s="1"/>
  <c r="J204" i="2"/>
  <c r="R204" i="2"/>
  <c r="I231" i="2"/>
  <c r="L156" i="2"/>
  <c r="F160" i="15" s="1"/>
  <c r="I160" i="15" s="1"/>
  <c r="L160" i="15" s="1"/>
  <c r="K156" i="2"/>
  <c r="I114" i="15"/>
  <c r="L114" i="15" s="1"/>
  <c r="I172" i="15"/>
  <c r="L172" i="15" s="1"/>
  <c r="L66" i="2"/>
  <c r="F66" i="15" s="1"/>
  <c r="I66" i="15" s="1"/>
  <c r="L66" i="15" s="1"/>
  <c r="K66" i="2"/>
  <c r="L110" i="5"/>
  <c r="K110" i="5"/>
  <c r="L179" i="5"/>
  <c r="K179" i="5"/>
  <c r="J262" i="2"/>
  <c r="R262" i="2"/>
  <c r="I61" i="15"/>
  <c r="L61" i="15" s="1"/>
  <c r="L114" i="2"/>
  <c r="F116" i="15" s="1"/>
  <c r="K114" i="2"/>
  <c r="L122" i="2"/>
  <c r="F124" i="15" s="1"/>
  <c r="K122" i="2"/>
  <c r="I110" i="15"/>
  <c r="L110" i="15" s="1"/>
  <c r="K62" i="6"/>
  <c r="L62" i="6"/>
  <c r="I64" i="15"/>
  <c r="L64" i="15" s="1"/>
  <c r="K202" i="2"/>
  <c r="L202" i="2"/>
  <c r="F208" i="15" s="1"/>
  <c r="I208" i="15" s="1"/>
  <c r="L208" i="15" s="1"/>
  <c r="J178" i="2"/>
  <c r="R178" i="2"/>
  <c r="K209" i="2"/>
  <c r="L209" i="2"/>
  <c r="F215" i="15" s="1"/>
  <c r="R77" i="2"/>
  <c r="J77" i="2"/>
  <c r="L63" i="6"/>
  <c r="K63" i="6"/>
  <c r="K177" i="6"/>
  <c r="L177" i="6"/>
  <c r="I169" i="15"/>
  <c r="L169" i="15" s="1"/>
  <c r="L214" i="1"/>
  <c r="D220" i="15" s="1"/>
  <c r="I220" i="15" s="1"/>
  <c r="L220" i="15" s="1"/>
  <c r="K214" i="1"/>
  <c r="J267" i="2"/>
  <c r="R267" i="2"/>
  <c r="L259" i="6"/>
  <c r="K259" i="6"/>
  <c r="F241" i="1"/>
  <c r="K225" i="6"/>
  <c r="L225" i="6"/>
  <c r="L36" i="6"/>
  <c r="K36" i="6"/>
  <c r="K60" i="6"/>
  <c r="L60" i="6"/>
  <c r="K200" i="6"/>
  <c r="L200" i="6"/>
  <c r="K44" i="6"/>
  <c r="K166" i="2"/>
  <c r="L166" i="2"/>
  <c r="F170" i="15" s="1"/>
  <c r="I170" i="15" s="1"/>
  <c r="L170" i="15" s="1"/>
  <c r="I203" i="15"/>
  <c r="L203" i="15" s="1"/>
  <c r="L258" i="2"/>
  <c r="K258" i="2"/>
  <c r="K165" i="2"/>
  <c r="L165" i="2"/>
  <c r="F169" i="15" s="1"/>
  <c r="I184" i="6"/>
  <c r="C43" i="9"/>
  <c r="G43" i="9" s="1"/>
  <c r="K43" i="9" s="1"/>
  <c r="O43" i="9" s="1"/>
  <c r="S43" i="9" s="1"/>
  <c r="W43" i="9" s="1"/>
  <c r="I241" i="2"/>
  <c r="I175" i="15"/>
  <c r="L175" i="15" s="1"/>
  <c r="L257" i="2"/>
  <c r="K257" i="2"/>
  <c r="J255" i="5"/>
  <c r="I278" i="5"/>
  <c r="R255" i="5"/>
  <c r="I116" i="15"/>
  <c r="L116" i="15" s="1"/>
  <c r="I131" i="15"/>
  <c r="L131" i="15" s="1"/>
  <c r="N121" i="6"/>
  <c r="L167" i="2"/>
  <c r="F171" i="15" s="1"/>
  <c r="I171" i="15" s="1"/>
  <c r="L171" i="15" s="1"/>
  <c r="L19" i="1"/>
  <c r="D17" i="15" s="1"/>
  <c r="I17" i="15" s="1"/>
  <c r="L17" i="15" s="1"/>
  <c r="J215" i="6"/>
  <c r="R215" i="6"/>
  <c r="K198" i="5"/>
  <c r="L198" i="5"/>
  <c r="I13" i="15"/>
  <c r="L13" i="15" s="1"/>
  <c r="L67" i="6"/>
  <c r="K67" i="6"/>
  <c r="A142" i="6"/>
  <c r="A142" i="5"/>
  <c r="A142" i="2"/>
  <c r="A189" i="1"/>
  <c r="I115" i="15"/>
  <c r="L115" i="15" s="1"/>
  <c r="I7" i="15"/>
  <c r="L7" i="15" s="1"/>
  <c r="I278" i="2"/>
  <c r="J73" i="6"/>
  <c r="R73" i="6"/>
  <c r="K59" i="6"/>
  <c r="L59" i="6"/>
  <c r="K44" i="1"/>
  <c r="K45" i="1"/>
  <c r="D194" i="6"/>
  <c r="K151" i="2"/>
  <c r="K17" i="1"/>
  <c r="L17" i="1"/>
  <c r="D15" i="15" s="1"/>
  <c r="I15" i="15" s="1"/>
  <c r="L15" i="15" s="1"/>
  <c r="L201" i="6"/>
  <c r="I90" i="6"/>
  <c r="R74" i="2"/>
  <c r="R59" i="6"/>
  <c r="K196" i="6"/>
  <c r="L196" i="6"/>
  <c r="K127" i="6"/>
  <c r="K45" i="6"/>
  <c r="J117" i="2"/>
  <c r="I137" i="2"/>
  <c r="J16" i="2"/>
  <c r="R16" i="2"/>
  <c r="I43" i="6"/>
  <c r="R36" i="6"/>
  <c r="L71" i="1"/>
  <c r="D71" i="15" s="1"/>
  <c r="I71" i="15" s="1"/>
  <c r="L71" i="15" s="1"/>
  <c r="K71" i="1"/>
  <c r="I147" i="1"/>
  <c r="E194" i="1"/>
  <c r="L247" i="2"/>
  <c r="K247" i="2"/>
  <c r="K102" i="6"/>
  <c r="L16" i="6"/>
  <c r="K16" i="6"/>
  <c r="L255" i="1"/>
  <c r="K255" i="1"/>
  <c r="L151" i="1"/>
  <c r="D155" i="15" s="1"/>
  <c r="I155" i="15" s="1"/>
  <c r="L155" i="15" s="1"/>
  <c r="K151" i="1"/>
  <c r="L102" i="1"/>
  <c r="D104" i="15" s="1"/>
  <c r="I104" i="15" s="1"/>
  <c r="L104" i="15" s="1"/>
  <c r="K102" i="1"/>
  <c r="J161" i="2"/>
  <c r="R161" i="2"/>
  <c r="J218" i="6"/>
  <c r="R218" i="6"/>
  <c r="L266" i="5"/>
  <c r="K266" i="5"/>
  <c r="K258" i="5"/>
  <c r="L258" i="5"/>
  <c r="R263" i="5"/>
  <c r="I72" i="15"/>
  <c r="L72" i="15" s="1"/>
  <c r="J265" i="2"/>
  <c r="R265" i="2"/>
  <c r="I24" i="15"/>
  <c r="L24" i="15" s="1"/>
  <c r="K197" i="2"/>
  <c r="L197" i="2"/>
  <c r="F203" i="15" s="1"/>
  <c r="K218" i="2"/>
  <c r="L218" i="2"/>
  <c r="F224" i="15" s="1"/>
  <c r="I224" i="15" s="1"/>
  <c r="L224" i="15" s="1"/>
  <c r="J56" i="2"/>
  <c r="T131" i="1"/>
  <c r="R266" i="5"/>
  <c r="K266" i="6"/>
  <c r="L164" i="2"/>
  <c r="F168" i="15" s="1"/>
  <c r="I168" i="15" s="1"/>
  <c r="L168" i="15" s="1"/>
  <c r="I29" i="15"/>
  <c r="L29" i="15" s="1"/>
  <c r="K216" i="6"/>
  <c r="L216" i="6"/>
  <c r="K121" i="6"/>
  <c r="K157" i="5"/>
  <c r="T225" i="1"/>
  <c r="K33" i="1"/>
  <c r="L33" i="1"/>
  <c r="D31" i="15" s="1"/>
  <c r="I31" i="15" s="1"/>
  <c r="L31" i="15" s="1"/>
  <c r="L163" i="6"/>
  <c r="K163" i="6"/>
  <c r="L246" i="2"/>
  <c r="K246" i="2"/>
  <c r="K76" i="6"/>
  <c r="L76" i="6"/>
  <c r="T84" i="1"/>
  <c r="T178" i="1"/>
  <c r="I16" i="15"/>
  <c r="L16" i="15" s="1"/>
  <c r="I90" i="2"/>
  <c r="L263" i="5"/>
  <c r="K263" i="5"/>
  <c r="I43" i="2"/>
  <c r="K26" i="6"/>
  <c r="L26" i="6"/>
  <c r="K164" i="6"/>
  <c r="L164" i="6"/>
  <c r="I184" i="2"/>
  <c r="K225" i="2"/>
  <c r="K175" i="2"/>
  <c r="J30" i="2"/>
  <c r="K33" i="6"/>
  <c r="K121" i="2"/>
  <c r="L121" i="2"/>
  <c r="F123" i="15" s="1"/>
  <c r="I123" i="15" s="1"/>
  <c r="L123" i="15" s="1"/>
  <c r="K212" i="6"/>
  <c r="L212" i="6"/>
  <c r="L250" i="6"/>
  <c r="K250" i="6"/>
  <c r="L256" i="1"/>
  <c r="K256" i="1"/>
  <c r="L223" i="1"/>
  <c r="D229" i="15" s="1"/>
  <c r="I229" i="15" s="1"/>
  <c r="L229" i="15" s="1"/>
  <c r="K223" i="1"/>
  <c r="L176" i="1"/>
  <c r="D180" i="15" s="1"/>
  <c r="I180" i="15" s="1"/>
  <c r="L180" i="15" s="1"/>
  <c r="K176" i="1"/>
  <c r="K217" i="2"/>
  <c r="L217" i="2"/>
  <c r="F223" i="15" s="1"/>
  <c r="I223" i="15" s="1"/>
  <c r="L223" i="15" s="1"/>
  <c r="L155" i="2"/>
  <c r="F159" i="15" s="1"/>
  <c r="I159" i="15" s="1"/>
  <c r="L159" i="15" s="1"/>
  <c r="K155" i="2"/>
  <c r="L271" i="6"/>
  <c r="K271" i="6"/>
  <c r="L251" i="1"/>
  <c r="K251" i="1"/>
  <c r="I279" i="2"/>
  <c r="L291" i="15"/>
  <c r="L290" i="15"/>
  <c r="L243" i="2"/>
  <c r="K243" i="2"/>
  <c r="K203" i="6"/>
  <c r="L203" i="6"/>
  <c r="K56" i="1"/>
  <c r="L56" i="1"/>
  <c r="D56" i="15" s="1"/>
  <c r="K269" i="2"/>
  <c r="L269" i="2"/>
  <c r="L269" i="5"/>
  <c r="K269" i="5"/>
  <c r="L222" i="5"/>
  <c r="K222" i="5"/>
  <c r="I32" i="15"/>
  <c r="L32" i="15" s="1"/>
  <c r="L224" i="2"/>
  <c r="F230" i="15" s="1"/>
  <c r="I230" i="15" s="1"/>
  <c r="L230" i="15" s="1"/>
  <c r="K224" i="2"/>
  <c r="K12" i="2"/>
  <c r="I194" i="2"/>
  <c r="K159" i="6"/>
  <c r="L159" i="6"/>
  <c r="K223" i="2"/>
  <c r="L131" i="1"/>
  <c r="D133" i="15" s="1"/>
  <c r="I133" i="15" s="1"/>
  <c r="L133" i="15" s="1"/>
  <c r="K244" i="6"/>
  <c r="L84" i="6"/>
  <c r="K84" i="6"/>
  <c r="L57" i="2"/>
  <c r="F57" i="15" s="1"/>
  <c r="I57" i="15" s="1"/>
  <c r="L57" i="15" s="1"/>
  <c r="K57" i="2"/>
  <c r="K208" i="1"/>
  <c r="L208" i="1"/>
  <c r="D214" i="15" s="1"/>
  <c r="I214" i="15" s="1"/>
  <c r="L214" i="15" s="1"/>
  <c r="K118" i="1"/>
  <c r="L118" i="1"/>
  <c r="D120" i="15" s="1"/>
  <c r="I120" i="15" s="1"/>
  <c r="L120" i="15" s="1"/>
  <c r="L171" i="5"/>
  <c r="K171" i="5"/>
  <c r="L122" i="1"/>
  <c r="D124" i="15" s="1"/>
  <c r="K122" i="1"/>
  <c r="L272" i="5"/>
  <c r="K272" i="5"/>
  <c r="L268" i="2"/>
  <c r="K268" i="2"/>
  <c r="L198" i="1"/>
  <c r="D204" i="15" s="1"/>
  <c r="I204" i="15" s="1"/>
  <c r="L204" i="15" s="1"/>
  <c r="L175" i="1"/>
  <c r="D179" i="15" s="1"/>
  <c r="I179" i="15" s="1"/>
  <c r="L179" i="15" s="1"/>
  <c r="J175" i="5"/>
  <c r="R33" i="2"/>
  <c r="R8" i="2"/>
  <c r="N104" i="2"/>
  <c r="N198" i="2"/>
  <c r="R64" i="2"/>
  <c r="K169" i="2"/>
  <c r="K62" i="2"/>
  <c r="R202" i="2"/>
  <c r="R210" i="2"/>
  <c r="K217" i="5"/>
  <c r="L217" i="5"/>
  <c r="K213" i="5"/>
  <c r="L213" i="5"/>
  <c r="L209" i="5"/>
  <c r="K209" i="5"/>
  <c r="R174" i="2"/>
  <c r="R85" i="5"/>
  <c r="K270" i="6"/>
  <c r="K125" i="2"/>
  <c r="K176" i="2"/>
  <c r="K261" i="2"/>
  <c r="L245" i="2"/>
  <c r="K245" i="2"/>
  <c r="T76" i="1"/>
  <c r="T264" i="1"/>
  <c r="H100" i="6"/>
  <c r="I53" i="6"/>
  <c r="L258" i="6"/>
  <c r="L154" i="5"/>
  <c r="K154" i="5"/>
  <c r="K81" i="5"/>
  <c r="L77" i="5"/>
  <c r="K77" i="5"/>
  <c r="L275" i="5"/>
  <c r="K275" i="5"/>
  <c r="K262" i="5"/>
  <c r="L262" i="5"/>
  <c r="L102" i="5"/>
  <c r="K102" i="5"/>
  <c r="L38" i="5"/>
  <c r="K38" i="5"/>
  <c r="L158" i="5"/>
  <c r="K158" i="5"/>
  <c r="L106" i="5"/>
  <c r="K106" i="5"/>
  <c r="I53" i="5"/>
  <c r="D100" i="5"/>
  <c r="I43" i="5"/>
  <c r="L272" i="1"/>
  <c r="K272" i="1"/>
  <c r="L263" i="1"/>
  <c r="K263" i="1"/>
  <c r="I185" i="1"/>
  <c r="K196" i="1"/>
  <c r="K28" i="1"/>
  <c r="K30" i="1"/>
  <c r="K204" i="1"/>
  <c r="R203" i="1"/>
  <c r="K62" i="1"/>
  <c r="K257" i="1"/>
  <c r="K280" i="1" s="1"/>
  <c r="K269" i="1"/>
  <c r="K166" i="1"/>
  <c r="R221" i="2"/>
  <c r="J221" i="2"/>
  <c r="J27" i="5"/>
  <c r="R27" i="5"/>
  <c r="J12" i="5"/>
  <c r="R12" i="5"/>
  <c r="T85" i="1"/>
  <c r="T273" i="1"/>
  <c r="T132" i="1"/>
  <c r="L211" i="5"/>
  <c r="K211" i="5"/>
  <c r="L180" i="5"/>
  <c r="K180" i="5"/>
  <c r="L60" i="5"/>
  <c r="K60" i="5"/>
  <c r="R171" i="5"/>
  <c r="K178" i="1"/>
  <c r="L252" i="6"/>
  <c r="K252" i="6"/>
  <c r="K82" i="2"/>
  <c r="K162" i="2"/>
  <c r="K250" i="2"/>
  <c r="K133" i="1"/>
  <c r="I137" i="5"/>
  <c r="T123" i="1"/>
  <c r="L271" i="5"/>
  <c r="K271" i="5"/>
  <c r="L260" i="5"/>
  <c r="K260" i="5"/>
  <c r="J199" i="5"/>
  <c r="R199" i="5"/>
  <c r="L169" i="5"/>
  <c r="K169" i="5"/>
  <c r="K131" i="5"/>
  <c r="L131" i="5"/>
  <c r="L109" i="5"/>
  <c r="K109" i="5"/>
  <c r="L216" i="2"/>
  <c r="F222" i="15" s="1"/>
  <c r="I222" i="15" s="1"/>
  <c r="L222" i="15" s="1"/>
  <c r="R61" i="2"/>
  <c r="K9" i="2"/>
  <c r="R263" i="6"/>
  <c r="R20" i="2"/>
  <c r="R68" i="2"/>
  <c r="R120" i="2"/>
  <c r="R219" i="2"/>
  <c r="R261" i="2"/>
  <c r="R119" i="2"/>
  <c r="R164" i="2"/>
  <c r="R212" i="2"/>
  <c r="R256" i="2"/>
  <c r="K268" i="1"/>
  <c r="K218" i="1"/>
  <c r="K36" i="1"/>
  <c r="L75" i="6"/>
  <c r="I278" i="6"/>
  <c r="K251" i="2"/>
  <c r="K115" i="2"/>
  <c r="K160" i="2"/>
  <c r="K160" i="1"/>
  <c r="K85" i="5"/>
  <c r="K205" i="5"/>
  <c r="L266" i="1"/>
  <c r="K266" i="1"/>
  <c r="K154" i="1"/>
  <c r="K58" i="1"/>
  <c r="I279" i="5"/>
  <c r="L173" i="2"/>
  <c r="F177" i="15" s="1"/>
  <c r="I177" i="15" s="1"/>
  <c r="L177" i="15" s="1"/>
  <c r="R27" i="2"/>
  <c r="K128" i="2"/>
  <c r="R55" i="2"/>
  <c r="R9" i="2"/>
  <c r="R11" i="2"/>
  <c r="R22" i="2"/>
  <c r="R78" i="2"/>
  <c r="R122" i="2"/>
  <c r="R173" i="2"/>
  <c r="R263" i="2"/>
  <c r="R81" i="2"/>
  <c r="R121" i="2"/>
  <c r="R166" i="2"/>
  <c r="R216" i="2"/>
  <c r="K271" i="2"/>
  <c r="K249" i="6"/>
  <c r="K86" i="6"/>
  <c r="K244" i="2"/>
  <c r="K252" i="1"/>
  <c r="L34" i="6"/>
  <c r="K252" i="2"/>
  <c r="K33" i="2"/>
  <c r="L266" i="2"/>
  <c r="K266" i="2"/>
  <c r="I184" i="5"/>
  <c r="L209" i="1"/>
  <c r="D215" i="15" s="1"/>
  <c r="I215" i="15" s="1"/>
  <c r="L215" i="15" s="1"/>
  <c r="K209" i="1"/>
  <c r="K206" i="1"/>
  <c r="I138" i="1"/>
  <c r="N104" i="1"/>
  <c r="N135" i="1" s="1"/>
  <c r="K85" i="1"/>
  <c r="L214" i="5"/>
  <c r="K214" i="5"/>
  <c r="L55" i="5"/>
  <c r="K55" i="5"/>
  <c r="L227" i="5"/>
  <c r="K227" i="5"/>
  <c r="I90" i="5"/>
  <c r="R57" i="6"/>
  <c r="K164" i="5"/>
  <c r="L164" i="5"/>
  <c r="K210" i="6"/>
  <c r="K221" i="5"/>
  <c r="I185" i="5"/>
  <c r="L150" i="5"/>
  <c r="K232" i="2" l="1"/>
  <c r="L191" i="15"/>
  <c r="L141" i="15"/>
  <c r="L144" i="15"/>
  <c r="L143" i="15"/>
  <c r="K56" i="2"/>
  <c r="L56" i="2"/>
  <c r="F56" i="15" s="1"/>
  <c r="K186" i="1"/>
  <c r="K185" i="1"/>
  <c r="K92" i="6"/>
  <c r="K91" i="6"/>
  <c r="I56" i="15"/>
  <c r="L56" i="15" s="1"/>
  <c r="L161" i="2"/>
  <c r="K161" i="2"/>
  <c r="K185" i="2" s="1"/>
  <c r="K92" i="5"/>
  <c r="K91" i="5"/>
  <c r="K152" i="6"/>
  <c r="L152" i="6"/>
  <c r="L265" i="2"/>
  <c r="K265" i="2"/>
  <c r="K279" i="2" s="1"/>
  <c r="K46" i="6"/>
  <c r="N20" i="6"/>
  <c r="L262" i="2"/>
  <c r="K262" i="2"/>
  <c r="L199" i="5"/>
  <c r="K199" i="5"/>
  <c r="L12" i="5"/>
  <c r="K12" i="5"/>
  <c r="K73" i="6"/>
  <c r="L73" i="6"/>
  <c r="L267" i="2"/>
  <c r="K267" i="2"/>
  <c r="L239" i="15"/>
  <c r="L189" i="15"/>
  <c r="K138" i="1"/>
  <c r="K139" i="1"/>
  <c r="L178" i="2"/>
  <c r="F182" i="15" s="1"/>
  <c r="I182" i="15" s="1"/>
  <c r="L182" i="15" s="1"/>
  <c r="L193" i="15" s="1"/>
  <c r="K178" i="2"/>
  <c r="K232" i="1"/>
  <c r="K233" i="1"/>
  <c r="L30" i="2"/>
  <c r="F28" i="15" s="1"/>
  <c r="I28" i="15" s="1"/>
  <c r="L28" i="15" s="1"/>
  <c r="K30" i="2"/>
  <c r="K232" i="5"/>
  <c r="K233" i="5"/>
  <c r="K209" i="6"/>
  <c r="K232" i="6" s="1"/>
  <c r="L209" i="6"/>
  <c r="N168" i="5"/>
  <c r="L27" i="5"/>
  <c r="K27" i="5"/>
  <c r="N168" i="1"/>
  <c r="K279" i="6"/>
  <c r="K280" i="6"/>
  <c r="L255" i="5"/>
  <c r="K255" i="5"/>
  <c r="L190" i="15"/>
  <c r="L175" i="5"/>
  <c r="K175" i="5"/>
  <c r="K186" i="5" s="1"/>
  <c r="K91" i="1"/>
  <c r="K92" i="1"/>
  <c r="E241" i="1"/>
  <c r="N262" i="5"/>
  <c r="L221" i="2"/>
  <c r="F227" i="15" s="1"/>
  <c r="I227" i="15" s="1"/>
  <c r="L227" i="15" s="1"/>
  <c r="K221" i="2"/>
  <c r="I124" i="15"/>
  <c r="L124" i="15" s="1"/>
  <c r="N262" i="2"/>
  <c r="K16" i="2"/>
  <c r="K44" i="2" s="1"/>
  <c r="L16" i="2"/>
  <c r="F14" i="15" s="1"/>
  <c r="I14" i="15" s="1"/>
  <c r="L14" i="15" s="1"/>
  <c r="L45" i="15" s="1"/>
  <c r="L215" i="6"/>
  <c r="K215" i="6"/>
  <c r="L77" i="2"/>
  <c r="F77" i="15" s="1"/>
  <c r="I77" i="15" s="1"/>
  <c r="L77" i="15" s="1"/>
  <c r="K77" i="2"/>
  <c r="L192" i="15"/>
  <c r="K204" i="2"/>
  <c r="K233" i="2" s="1"/>
  <c r="L204" i="2"/>
  <c r="F210" i="15" s="1"/>
  <c r="I210" i="15" s="1"/>
  <c r="L210" i="15" s="1"/>
  <c r="L242" i="15" s="1"/>
  <c r="I100" i="5"/>
  <c r="D147" i="5"/>
  <c r="N20" i="1"/>
  <c r="K46" i="1"/>
  <c r="K138" i="5"/>
  <c r="K139" i="5"/>
  <c r="K279" i="1"/>
  <c r="I194" i="1"/>
  <c r="K139" i="6"/>
  <c r="K138" i="6"/>
  <c r="L240" i="15"/>
  <c r="L238" i="15"/>
  <c r="L241" i="15"/>
  <c r="D241" i="6"/>
  <c r="N121" i="1"/>
  <c r="H147" i="6"/>
  <c r="I100" i="6"/>
  <c r="K218" i="6"/>
  <c r="L218" i="6"/>
  <c r="L117" i="2"/>
  <c r="F119" i="15" s="1"/>
  <c r="I119" i="15" s="1"/>
  <c r="L119" i="15" s="1"/>
  <c r="L142" i="15" s="1"/>
  <c r="K117" i="2"/>
  <c r="K138" i="2" s="1"/>
  <c r="A189" i="2"/>
  <c r="A189" i="6"/>
  <c r="A189" i="5"/>
  <c r="A236" i="1"/>
  <c r="N255" i="2" l="1"/>
  <c r="N208" i="6"/>
  <c r="N20" i="2"/>
  <c r="N114" i="2"/>
  <c r="K140" i="2"/>
  <c r="K187" i="2"/>
  <c r="N161" i="2"/>
  <c r="L91" i="15"/>
  <c r="L92" i="15"/>
  <c r="L94" i="15"/>
  <c r="L93" i="15"/>
  <c r="L95" i="15"/>
  <c r="N19" i="1"/>
  <c r="F45" i="1"/>
  <c r="F46" i="1" s="1"/>
  <c r="E45" i="1"/>
  <c r="E46" i="1" s="1"/>
  <c r="D45" i="1"/>
  <c r="G45" i="1"/>
  <c r="G46" i="1" s="1"/>
  <c r="K93" i="6"/>
  <c r="N67" i="6"/>
  <c r="D194" i="5"/>
  <c r="I147" i="5"/>
  <c r="K280" i="2"/>
  <c r="K281" i="2" s="1"/>
  <c r="K279" i="5"/>
  <c r="K280" i="5"/>
  <c r="K139" i="2"/>
  <c r="N208" i="1"/>
  <c r="K234" i="1"/>
  <c r="K45" i="2"/>
  <c r="K46" i="2" s="1"/>
  <c r="L43" i="15"/>
  <c r="L44" i="15"/>
  <c r="N114" i="5"/>
  <c r="K140" i="5"/>
  <c r="N21" i="1"/>
  <c r="K185" i="5"/>
  <c r="K44" i="5"/>
  <c r="K45" i="5"/>
  <c r="K92" i="2"/>
  <c r="K91" i="2"/>
  <c r="N67" i="5"/>
  <c r="K93" i="5"/>
  <c r="K233" i="6"/>
  <c r="K234" i="6" s="1"/>
  <c r="L46" i="15"/>
  <c r="N208" i="5"/>
  <c r="K234" i="5"/>
  <c r="K187" i="1"/>
  <c r="N161" i="1"/>
  <c r="K140" i="6"/>
  <c r="N114" i="6"/>
  <c r="K186" i="6"/>
  <c r="K185" i="6"/>
  <c r="H194" i="6"/>
  <c r="I147" i="6"/>
  <c r="N255" i="6"/>
  <c r="K281" i="6"/>
  <c r="N67" i="1"/>
  <c r="K93" i="1"/>
  <c r="N208" i="2"/>
  <c r="K234" i="2"/>
  <c r="K140" i="1"/>
  <c r="N114" i="1"/>
  <c r="L140" i="15"/>
  <c r="D280" i="6"/>
  <c r="H45" i="6"/>
  <c r="H46" i="6" s="1"/>
  <c r="E45" i="6"/>
  <c r="E46" i="6" s="1"/>
  <c r="N19" i="6"/>
  <c r="N21" i="6" s="1"/>
  <c r="G45" i="6"/>
  <c r="G46" i="6" s="1"/>
  <c r="D45" i="6"/>
  <c r="F45" i="6"/>
  <c r="F46" i="6" s="1"/>
  <c r="N255" i="1"/>
  <c r="K281" i="1"/>
  <c r="E280" i="1" s="1"/>
  <c r="E281" i="1" s="1"/>
  <c r="L42" i="15"/>
  <c r="A236" i="5"/>
  <c r="A236" i="2"/>
  <c r="A236" i="6"/>
  <c r="I241" i="1"/>
  <c r="K186" i="2"/>
  <c r="H280" i="2" l="1"/>
  <c r="H281" i="2" s="1"/>
  <c r="N254" i="2"/>
  <c r="F280" i="2"/>
  <c r="F281" i="2" s="1"/>
  <c r="G280" i="2"/>
  <c r="G281" i="2" s="1"/>
  <c r="D280" i="2"/>
  <c r="E280" i="2"/>
  <c r="E281" i="2" s="1"/>
  <c r="F233" i="6"/>
  <c r="F234" i="6" s="1"/>
  <c r="N207" i="6"/>
  <c r="G233" i="6"/>
  <c r="G234" i="6" s="1"/>
  <c r="E233" i="6"/>
  <c r="E234" i="6" s="1"/>
  <c r="D233" i="6"/>
  <c r="D45" i="2"/>
  <c r="E45" i="2"/>
  <c r="E46" i="2" s="1"/>
  <c r="N19" i="2"/>
  <c r="F45" i="2"/>
  <c r="F46" i="2" s="1"/>
  <c r="H45" i="2"/>
  <c r="H46" i="2" s="1"/>
  <c r="G45" i="2"/>
  <c r="G46" i="2" s="1"/>
  <c r="N66" i="6"/>
  <c r="N68" i="6" s="1"/>
  <c r="H92" i="6"/>
  <c r="H93" i="6" s="1"/>
  <c r="G92" i="6"/>
  <c r="G93" i="6" s="1"/>
  <c r="F92" i="6"/>
  <c r="F93" i="6" s="1"/>
  <c r="E92" i="6"/>
  <c r="E93" i="6" s="1"/>
  <c r="D92" i="6"/>
  <c r="G233" i="1"/>
  <c r="G234" i="1" s="1"/>
  <c r="N207" i="1"/>
  <c r="D233" i="1"/>
  <c r="F233" i="1"/>
  <c r="F234" i="1" s="1"/>
  <c r="E233" i="1"/>
  <c r="E234" i="1" s="1"/>
  <c r="N207" i="2"/>
  <c r="D233" i="2"/>
  <c r="H233" i="2"/>
  <c r="H234" i="2" s="1"/>
  <c r="G233" i="2"/>
  <c r="G234" i="2" s="1"/>
  <c r="F233" i="2"/>
  <c r="F234" i="2" s="1"/>
  <c r="E233" i="2"/>
  <c r="E234" i="2" s="1"/>
  <c r="N21" i="2"/>
  <c r="D139" i="1"/>
  <c r="E139" i="1"/>
  <c r="E140" i="1" s="1"/>
  <c r="F139" i="1"/>
  <c r="F140" i="1" s="1"/>
  <c r="N113" i="1"/>
  <c r="G139" i="1"/>
  <c r="G140" i="1" s="1"/>
  <c r="E92" i="5"/>
  <c r="E93" i="5" s="1"/>
  <c r="D92" i="5"/>
  <c r="F92" i="5"/>
  <c r="F93" i="5" s="1"/>
  <c r="H92" i="5"/>
  <c r="H93" i="5" s="1"/>
  <c r="N66" i="5"/>
  <c r="N68" i="5" s="1"/>
  <c r="G92" i="5"/>
  <c r="G93" i="5" s="1"/>
  <c r="N256" i="1"/>
  <c r="K93" i="2"/>
  <c r="N67" i="2"/>
  <c r="N209" i="1"/>
  <c r="I45" i="1"/>
  <c r="D46" i="1"/>
  <c r="I45" i="6"/>
  <c r="D46" i="6"/>
  <c r="N209" i="2"/>
  <c r="F139" i="6"/>
  <c r="F140" i="6" s="1"/>
  <c r="E139" i="6"/>
  <c r="E140" i="6" s="1"/>
  <c r="N113" i="6"/>
  <c r="N115" i="6" s="1"/>
  <c r="D139" i="6"/>
  <c r="G139" i="6"/>
  <c r="G140" i="6" s="1"/>
  <c r="H139" i="6"/>
  <c r="H140" i="6" s="1"/>
  <c r="N20" i="5"/>
  <c r="K46" i="5"/>
  <c r="N255" i="5"/>
  <c r="K281" i="5"/>
  <c r="N115" i="5"/>
  <c r="N161" i="5"/>
  <c r="K187" i="5"/>
  <c r="N209" i="6"/>
  <c r="N115" i="1"/>
  <c r="H241" i="6"/>
  <c r="H233" i="6"/>
  <c r="H234" i="6" s="1"/>
  <c r="I194" i="6"/>
  <c r="D139" i="2"/>
  <c r="H139" i="2"/>
  <c r="H140" i="2" s="1"/>
  <c r="G139" i="2"/>
  <c r="G140" i="2" s="1"/>
  <c r="E139" i="2"/>
  <c r="E140" i="2" s="1"/>
  <c r="N113" i="2"/>
  <c r="N115" i="2" s="1"/>
  <c r="F139" i="2"/>
  <c r="F140" i="2" s="1"/>
  <c r="N160" i="1"/>
  <c r="N162" i="1" s="1"/>
  <c r="F186" i="1"/>
  <c r="F187" i="1" s="1"/>
  <c r="G186" i="1"/>
  <c r="G187" i="1" s="1"/>
  <c r="D186" i="1"/>
  <c r="E186" i="1"/>
  <c r="E187" i="1" s="1"/>
  <c r="N256" i="2"/>
  <c r="D241" i="5"/>
  <c r="I194" i="5"/>
  <c r="D233" i="5"/>
  <c r="N254" i="1"/>
  <c r="G280" i="1"/>
  <c r="G281" i="1" s="1"/>
  <c r="D280" i="1"/>
  <c r="F280" i="1"/>
  <c r="F281" i="1" s="1"/>
  <c r="N160" i="2"/>
  <c r="N162" i="2" s="1"/>
  <c r="G186" i="2"/>
  <c r="G187" i="2" s="1"/>
  <c r="H186" i="2"/>
  <c r="H187" i="2" s="1"/>
  <c r="D186" i="2"/>
  <c r="F186" i="2"/>
  <c r="F187" i="2" s="1"/>
  <c r="E186" i="2"/>
  <c r="E187" i="2" s="1"/>
  <c r="K187" i="6"/>
  <c r="N161" i="6"/>
  <c r="G92" i="1"/>
  <c r="G93" i="1" s="1"/>
  <c r="D92" i="1"/>
  <c r="F92" i="1"/>
  <c r="F93" i="1" s="1"/>
  <c r="E92" i="1"/>
  <c r="E93" i="1" s="1"/>
  <c r="N66" i="1"/>
  <c r="N68" i="1"/>
  <c r="D281" i="6"/>
  <c r="N254" i="6"/>
  <c r="N256" i="6" s="1"/>
  <c r="E280" i="6"/>
  <c r="E281" i="6" s="1"/>
  <c r="F280" i="6"/>
  <c r="F281" i="6" s="1"/>
  <c r="G280" i="6"/>
  <c r="G281" i="6" s="1"/>
  <c r="N207" i="5"/>
  <c r="N209" i="5" s="1"/>
  <c r="G233" i="5"/>
  <c r="G234" i="5" s="1"/>
  <c r="H233" i="5"/>
  <c r="H234" i="5" s="1"/>
  <c r="E233" i="5"/>
  <c r="E234" i="5" s="1"/>
  <c r="F233" i="5"/>
  <c r="F234" i="5" s="1"/>
  <c r="N113" i="5"/>
  <c r="H139" i="5"/>
  <c r="H140" i="5" s="1"/>
  <c r="E139" i="5"/>
  <c r="E140" i="5" s="1"/>
  <c r="F139" i="5"/>
  <c r="F140" i="5" s="1"/>
  <c r="G139" i="5"/>
  <c r="G140" i="5" s="1"/>
  <c r="D139" i="5"/>
  <c r="I186" i="2" l="1"/>
  <c r="D187" i="2"/>
  <c r="D140" i="2"/>
  <c r="I139" i="2"/>
  <c r="H45" i="5"/>
  <c r="H46" i="5" s="1"/>
  <c r="E45" i="5"/>
  <c r="E46" i="5" s="1"/>
  <c r="G45" i="5"/>
  <c r="G46" i="5" s="1"/>
  <c r="N19" i="5"/>
  <c r="N21" i="5" s="1"/>
  <c r="D45" i="5"/>
  <c r="F45" i="5"/>
  <c r="F46" i="5" s="1"/>
  <c r="D46" i="2"/>
  <c r="I45" i="2"/>
  <c r="N162" i="6"/>
  <c r="N28" i="6"/>
  <c r="N29" i="6" s="1"/>
  <c r="I46" i="6"/>
  <c r="N256" i="5"/>
  <c r="I46" i="1"/>
  <c r="N28" i="1"/>
  <c r="N29" i="1" s="1"/>
  <c r="I280" i="2"/>
  <c r="D281" i="2"/>
  <c r="D93" i="6"/>
  <c r="I92" i="6"/>
  <c r="I139" i="5"/>
  <c r="D140" i="5"/>
  <c r="N160" i="5"/>
  <c r="G186" i="5"/>
  <c r="G187" i="5" s="1"/>
  <c r="F186" i="5"/>
  <c r="F187" i="5" s="1"/>
  <c r="H186" i="5"/>
  <c r="H187" i="5" s="1"/>
  <c r="E186" i="5"/>
  <c r="E187" i="5" s="1"/>
  <c r="D186" i="5"/>
  <c r="D234" i="2"/>
  <c r="I233" i="2"/>
  <c r="I92" i="1"/>
  <c r="D93" i="1"/>
  <c r="I233" i="6"/>
  <c r="D234" i="6"/>
  <c r="N160" i="6"/>
  <c r="F186" i="6"/>
  <c r="F187" i="6" s="1"/>
  <c r="G186" i="6"/>
  <c r="G187" i="6" s="1"/>
  <c r="E186" i="6"/>
  <c r="E187" i="6" s="1"/>
  <c r="D186" i="6"/>
  <c r="H186" i="6"/>
  <c r="H187" i="6" s="1"/>
  <c r="D234" i="5"/>
  <c r="I233" i="5"/>
  <c r="N162" i="5"/>
  <c r="I241" i="5"/>
  <c r="D280" i="5"/>
  <c r="E280" i="5"/>
  <c r="E281" i="5" s="1"/>
  <c r="N254" i="5"/>
  <c r="F280" i="5"/>
  <c r="F281" i="5" s="1"/>
  <c r="G280" i="5"/>
  <c r="G281" i="5" s="1"/>
  <c r="H280" i="5"/>
  <c r="H281" i="5" s="1"/>
  <c r="I92" i="5"/>
  <c r="D93" i="5"/>
  <c r="I186" i="1"/>
  <c r="D187" i="1"/>
  <c r="H280" i="6"/>
  <c r="H281" i="6" s="1"/>
  <c r="I241" i="6"/>
  <c r="I233" i="1"/>
  <c r="D234" i="1"/>
  <c r="I280" i="1"/>
  <c r="D281" i="1"/>
  <c r="D140" i="6"/>
  <c r="I139" i="6"/>
  <c r="D92" i="2"/>
  <c r="H92" i="2"/>
  <c r="H93" i="2" s="1"/>
  <c r="F92" i="2"/>
  <c r="F93" i="2" s="1"/>
  <c r="E92" i="2"/>
  <c r="E93" i="2" s="1"/>
  <c r="N66" i="2"/>
  <c r="N68" i="2" s="1"/>
  <c r="G92" i="2"/>
  <c r="G93" i="2" s="1"/>
  <c r="I139" i="1"/>
  <c r="D140" i="1"/>
  <c r="N169" i="1" l="1"/>
  <c r="N170" i="1" s="1"/>
  <c r="I187" i="1"/>
  <c r="D187" i="6"/>
  <c r="I186" i="6"/>
  <c r="I93" i="1"/>
  <c r="N75" i="1"/>
  <c r="N76" i="1" s="1"/>
  <c r="N216" i="5"/>
  <c r="N217" i="5" s="1"/>
  <c r="I234" i="5"/>
  <c r="N263" i="2"/>
  <c r="N264" i="2" s="1"/>
  <c r="I281" i="2"/>
  <c r="N122" i="6"/>
  <c r="N123" i="6" s="1"/>
  <c r="I140" i="6"/>
  <c r="D281" i="5"/>
  <c r="I280" i="5"/>
  <c r="N122" i="5"/>
  <c r="N123" i="5" s="1"/>
  <c r="I140" i="5"/>
  <c r="I93" i="6"/>
  <c r="N75" i="6"/>
  <c r="N76" i="6" s="1"/>
  <c r="I45" i="5"/>
  <c r="D46" i="5"/>
  <c r="I93" i="5"/>
  <c r="N75" i="5"/>
  <c r="N76" i="5" s="1"/>
  <c r="N263" i="1"/>
  <c r="N264" i="1" s="1"/>
  <c r="I281" i="1"/>
  <c r="I280" i="6"/>
  <c r="N122" i="2"/>
  <c r="N123" i="2" s="1"/>
  <c r="I140" i="2"/>
  <c r="I234" i="6"/>
  <c r="N216" i="6"/>
  <c r="N217" i="6" s="1"/>
  <c r="I187" i="2"/>
  <c r="N169" i="2"/>
  <c r="N170" i="2" s="1"/>
  <c r="N28" i="2"/>
  <c r="N29" i="2" s="1"/>
  <c r="I46" i="2"/>
  <c r="I92" i="2"/>
  <c r="D93" i="2"/>
  <c r="N216" i="2"/>
  <c r="N217" i="2" s="1"/>
  <c r="I234" i="2"/>
  <c r="I186" i="5"/>
  <c r="D187" i="5"/>
  <c r="N122" i="1"/>
  <c r="N123" i="1" s="1"/>
  <c r="I140" i="1"/>
  <c r="N216" i="1"/>
  <c r="N217" i="1" s="1"/>
  <c r="I234" i="1"/>
  <c r="I93" i="2" l="1"/>
  <c r="N75" i="2"/>
  <c r="N76" i="2" s="1"/>
  <c r="N169" i="6"/>
  <c r="N170" i="6" s="1"/>
  <c r="I187" i="6"/>
  <c r="N28" i="5"/>
  <c r="N29" i="5" s="1"/>
  <c r="I46" i="5"/>
  <c r="N169" i="5"/>
  <c r="N170" i="5" s="1"/>
  <c r="I187" i="5"/>
  <c r="N263" i="5"/>
  <c r="N264" i="5" s="1"/>
  <c r="I281" i="5"/>
  <c r="N263" i="6"/>
  <c r="N264" i="6" s="1"/>
  <c r="I281" i="6"/>
</calcChain>
</file>

<file path=xl/sharedStrings.xml><?xml version="1.0" encoding="utf-8"?>
<sst xmlns="http://schemas.openxmlformats.org/spreadsheetml/2006/main" count="3172" uniqueCount="500">
  <si>
    <t>NO</t>
  </si>
  <si>
    <t>NIS</t>
  </si>
  <si>
    <t>NAMA</t>
  </si>
  <si>
    <t>JUM</t>
  </si>
  <si>
    <t>%</t>
  </si>
  <si>
    <t>Keter</t>
  </si>
  <si>
    <t>capaian</t>
  </si>
  <si>
    <t>No Soal</t>
  </si>
  <si>
    <t>Scor</t>
  </si>
  <si>
    <t>KETERANGAN</t>
  </si>
  <si>
    <t>Hasil Analisa</t>
  </si>
  <si>
    <t>Banyak siswa seluruhnya</t>
  </si>
  <si>
    <t>Banyak siswa yg tuntas</t>
  </si>
  <si>
    <t>Prosentase ketuntasan</t>
  </si>
  <si>
    <t>Daya serap klasikal :</t>
  </si>
  <si>
    <t>Suatu kls dinytkn tuntas</t>
  </si>
  <si>
    <t xml:space="preserve">Perlu perbaikan siswa-siswa </t>
  </si>
  <si>
    <t>Jumlah scor</t>
  </si>
  <si>
    <t>Scor  maksimum</t>
  </si>
  <si>
    <t>Prosentase Pencapaian</t>
  </si>
  <si>
    <t>Tanggal :</t>
  </si>
  <si>
    <t>UH ke  :</t>
  </si>
  <si>
    <t>TASAN</t>
  </si>
  <si>
    <t>atau yang tidak tuntas</t>
  </si>
  <si>
    <t>HASIL</t>
  </si>
  <si>
    <t>PERBK</t>
  </si>
  <si>
    <t>PGYAAN</t>
  </si>
  <si>
    <t>URAIAN PROGRAM</t>
  </si>
  <si>
    <t>Waktu pelaksanaan :</t>
  </si>
  <si>
    <t>PERBAIKAN</t>
  </si>
  <si>
    <t>PENGAYAAN</t>
  </si>
  <si>
    <t xml:space="preserve">Menyelesaikan soal soal </t>
  </si>
  <si>
    <t>pengayaan</t>
  </si>
  <si>
    <t xml:space="preserve">Mempelajari materi / KD </t>
  </si>
  <si>
    <t>berikutnya</t>
  </si>
  <si>
    <t>Membuat rangkuman</t>
  </si>
  <si>
    <t xml:space="preserve"> Mengerjakan soal </t>
  </si>
  <si>
    <t>dengan bobot sama</t>
  </si>
  <si>
    <t xml:space="preserve"> Menbuat soal </t>
  </si>
  <si>
    <t>dan penyelesaiannya</t>
  </si>
  <si>
    <t xml:space="preserve">PROGRAM  DAN  PELAKSANAAN </t>
  </si>
  <si>
    <t>Guru Mata Pelajaran</t>
  </si>
  <si>
    <t>Kepala Sekolah</t>
  </si>
  <si>
    <t>NILAI</t>
  </si>
  <si>
    <t>SETLH</t>
  </si>
  <si>
    <t>PERBKN</t>
  </si>
  <si>
    <t>V</t>
  </si>
  <si>
    <t>Perlu perbkn klasikal</t>
  </si>
  <si>
    <t>soal nomor</t>
  </si>
  <si>
    <t>tuntas</t>
  </si>
  <si>
    <t>tdk tuntas</t>
  </si>
  <si>
    <t>a. Tuntas Klasikal</t>
  </si>
  <si>
    <t>b. Tuntas Individu</t>
  </si>
  <si>
    <t>Juml nilai perolehan sw</t>
  </si>
  <si>
    <t>Juml nili seluruhnya</t>
  </si>
  <si>
    <t>NIP :19960914 199003 1 007</t>
  </si>
  <si>
    <t>Kesimpulan :</t>
  </si>
  <si>
    <t>Juml</t>
  </si>
  <si>
    <t>KASMIN, S.Pd</t>
  </si>
  <si>
    <t>yang nilainya &lt; KKM.</t>
  </si>
  <si>
    <t>SK   no :</t>
  </si>
  <si>
    <t>PERBAIKAN  /  PENGAYAAN</t>
  </si>
  <si>
    <t>KKM</t>
  </si>
  <si>
    <t xml:space="preserve"> </t>
  </si>
  <si>
    <t>Rataan</t>
  </si>
  <si>
    <t>KLS</t>
  </si>
  <si>
    <t xml:space="preserve">KLS </t>
  </si>
  <si>
    <t>Guru Mapel</t>
  </si>
  <si>
    <t>NIP : 196609141990031007</t>
  </si>
  <si>
    <t>DAFTAR NAMA SISWA</t>
  </si>
  <si>
    <t>RT</t>
  </si>
  <si>
    <t>L</t>
  </si>
  <si>
    <t>TL</t>
  </si>
  <si>
    <t>NILAI TERENDAH</t>
  </si>
  <si>
    <t>NILAI TERTINGGI</t>
  </si>
  <si>
    <t>NILAI RATA-RATA</t>
  </si>
  <si>
    <t>TERENDAH</t>
  </si>
  <si>
    <t>TERTINGGI</t>
  </si>
  <si>
    <t>RATA-RATA</t>
  </si>
  <si>
    <t>SESUAIKAN NAMA GURU NIP, KEP SEK NIP,SISWA DAN KKM</t>
  </si>
  <si>
    <r>
      <t xml:space="preserve">banyak siswa tts </t>
    </r>
    <r>
      <rPr>
        <sz val="10"/>
        <rFont val="Calibri"/>
        <family val="2"/>
      </rPr>
      <t>≥</t>
    </r>
    <r>
      <rPr>
        <sz val="10"/>
        <rFont val="Arial"/>
        <family val="2"/>
      </rPr>
      <t xml:space="preserve"> 85%</t>
    </r>
  </si>
  <si>
    <t>v</t>
  </si>
  <si>
    <t>yang nilainya kurang dari</t>
  </si>
  <si>
    <t>KETUN</t>
  </si>
  <si>
    <t>TUNTAS</t>
  </si>
  <si>
    <t>PH</t>
  </si>
  <si>
    <t>RATAAN 6 KL</t>
  </si>
  <si>
    <t>RPT</t>
  </si>
  <si>
    <t xml:space="preserve">NILAI   ULANGAN  HARIAN  DAN  TUGAS  </t>
  </si>
  <si>
    <t>PRODUK/…..</t>
  </si>
  <si>
    <t>9A</t>
  </si>
  <si>
    <t>9B</t>
  </si>
  <si>
    <t>9C</t>
  </si>
  <si>
    <t>9D</t>
  </si>
  <si>
    <t>9E</t>
  </si>
  <si>
    <t>9F</t>
  </si>
  <si>
    <t xml:space="preserve">TUGAS </t>
  </si>
  <si>
    <t>P1</t>
  </si>
  <si>
    <t>P2</t>
  </si>
  <si>
    <t>P3</t>
  </si>
  <si>
    <t>asli</t>
  </si>
  <si>
    <t>konvr</t>
  </si>
  <si>
    <t>ARINA ROEIHATUL JINAN</t>
  </si>
  <si>
    <t>BIAS IFFAH AMALIYAH PUTRI</t>
  </si>
  <si>
    <t>DAFA ARIEF SAPUTRA</t>
  </si>
  <si>
    <t>DANTIKIANI LU'LU'UL JANNAH</t>
  </si>
  <si>
    <t>DESTHA ALVAZYA</t>
  </si>
  <si>
    <t>FADHIL PUTRA LESMANA</t>
  </si>
  <si>
    <t>Farid Azhar Kurniawan</t>
  </si>
  <si>
    <t>FATIMATUZ ZAHRO</t>
  </si>
  <si>
    <t>FIRMAN ZAKARIYA</t>
  </si>
  <si>
    <t>FRISKA PRADITA FEBRIYANI</t>
  </si>
  <si>
    <t>GANANG PAMUNGKAS</t>
  </si>
  <si>
    <t>GANESWARA LINTANG DHAMARJATI</t>
  </si>
  <si>
    <t>HANIDA SALSABILLA</t>
  </si>
  <si>
    <t>HAYA 'ABIDATUNAJWA</t>
  </si>
  <si>
    <t>KAYFAN SABIG AJI WARDANA</t>
  </si>
  <si>
    <t>MARGA ANDI SYAHPUTRA</t>
  </si>
  <si>
    <t>MAULANA AMIRUDIN YUSUF</t>
  </si>
  <si>
    <t>MUHAMAD RAIHAN FIRDAUSI</t>
  </si>
  <si>
    <t>MUHAMMAD RIFQI MAULANA</t>
  </si>
  <si>
    <t>NAMIRA KEYLA SAF'FA</t>
  </si>
  <si>
    <t>NAYA OKTAVIANI</t>
  </si>
  <si>
    <t>NINDA AYU NURMALA</t>
  </si>
  <si>
    <t>NUR ZAHRA ULVIA YANTI</t>
  </si>
  <si>
    <t>PRADANA ABDEE DHIA FIRDAUZ</t>
  </si>
  <si>
    <t>RECHILIA MEDICA WATI</t>
  </si>
  <si>
    <t>Restu Naufal Faatin</t>
  </si>
  <si>
    <t>RIMA VELY SANGGARI</t>
  </si>
  <si>
    <t>RIZKI PUTRA ANANDA</t>
  </si>
  <si>
    <t>SIVA ADYA NARASTI</t>
  </si>
  <si>
    <t>SYAFIQ KHOIRUL AZZAM</t>
  </si>
  <si>
    <t>VANESIA NADILA PRAMESTI</t>
  </si>
  <si>
    <t>VE NAFISAH AZZAHRA</t>
  </si>
  <si>
    <t>ADELIA KURNIA AJENG</t>
  </si>
  <si>
    <t>AISYAH NURUL KHASANAH</t>
  </si>
  <si>
    <t>ALYA NAJZMA AFI RAMADHANI</t>
  </si>
  <si>
    <t>ANANDA MEYLINA</t>
  </si>
  <si>
    <t>ANGGIT PUJI HERNITHA</t>
  </si>
  <si>
    <t>ARISFA NAYSILA</t>
  </si>
  <si>
    <t>ARIYA DHANI SAPUTRA</t>
  </si>
  <si>
    <t>Azzera Hafiza Sachnas</t>
  </si>
  <si>
    <t>BAGAS ALGIAN NATA</t>
  </si>
  <si>
    <t>Damar Alviansyah</t>
  </si>
  <si>
    <t>DEWA AYU KETUT SAFIAH SALMA</t>
  </si>
  <si>
    <t>Dwi Arum Melati</t>
  </si>
  <si>
    <t>Elisa Setyana</t>
  </si>
  <si>
    <t>FAHEEM FAIZUL ANWAR</t>
  </si>
  <si>
    <t>GEISYA INDI HALIMAH PRATIWI</t>
  </si>
  <si>
    <t>IMADUDDIN</t>
  </si>
  <si>
    <t>JIHAN HUSNA DINA</t>
  </si>
  <si>
    <t>KEVIN ADITYA IRAWAN</t>
  </si>
  <si>
    <t>Luthfiyah Dewi Maulida</t>
  </si>
  <si>
    <t>M EVAN RAHMADIAN SAPUTRA</t>
  </si>
  <si>
    <t>MOHAMMAD FAIZ AMINUDDIN</t>
  </si>
  <si>
    <t>NARENDRA ARSHAVIN SEPTIAWAN</t>
  </si>
  <si>
    <t>NATRA PRAHESTAMA NUGRAHA</t>
  </si>
  <si>
    <t>NAURA DEWI ATTIFANAYA EFENDI</t>
  </si>
  <si>
    <t>NAYLA AYU SYARIFA</t>
  </si>
  <si>
    <t>NOVA DWI PRASETYO</t>
  </si>
  <si>
    <t>RAFID HAFIZ ISLAHUDDIN</t>
  </si>
  <si>
    <t>RAFKA RIDHO RAMADHAN</t>
  </si>
  <si>
    <t>VINO JULIO PRATAMA</t>
  </si>
  <si>
    <t>WILDAN NAILUN NIAM</t>
  </si>
  <si>
    <t>YOVAN PUTRA ANANDA</t>
  </si>
  <si>
    <t>ZUNIA ARTHA SILVANA</t>
  </si>
  <si>
    <t>AHMAD NASRULLAH</t>
  </si>
  <si>
    <t>ALDIKA ADITYA PRASTYO</t>
  </si>
  <si>
    <t>ALDY NUHGROHO</t>
  </si>
  <si>
    <t>APRIAN WISNU ADITYAWAN</t>
  </si>
  <si>
    <t>AVIV WIDI PRATAMA</t>
  </si>
  <si>
    <t>DAVA ISRA RIAWAN</t>
  </si>
  <si>
    <t>DEVITA RIZKY NATASYA</t>
  </si>
  <si>
    <t>DEWISTA AYU TIARA CAHAYANI</t>
  </si>
  <si>
    <t>DIKA RAHMAT DANI</t>
  </si>
  <si>
    <t>Dita Sekarwati</t>
  </si>
  <si>
    <t>ELIDA SAZKIA APRIANY</t>
  </si>
  <si>
    <t>Elsa Setyo Mangesthi</t>
  </si>
  <si>
    <t>Farid Hari Prastyo</t>
  </si>
  <si>
    <t>Frans Frisca Kusuma Pradja</t>
  </si>
  <si>
    <t>ILAINE RISMAWATI</t>
  </si>
  <si>
    <t>KAYLA SHAFA NALANETAR</t>
  </si>
  <si>
    <t>KENZA AZAHRA</t>
  </si>
  <si>
    <t>MAULUDTFI DWI RAHMAWATI</t>
  </si>
  <si>
    <t>MIRZA AINUN SADDAD</t>
  </si>
  <si>
    <t>MUHAMMAD JAUHARUN NAJAD</t>
  </si>
  <si>
    <t>Nurul Aini</t>
  </si>
  <si>
    <t>PUTUT REZQIA AZNA</t>
  </si>
  <si>
    <t>Raihan Gunawan</t>
  </si>
  <si>
    <t>RENITA AYU PRAWESTI</t>
  </si>
  <si>
    <t>Rizka Luthfiatul Arifah</t>
  </si>
  <si>
    <t>RIZKY SATRIO GUMILANG</t>
  </si>
  <si>
    <t>SAFIIRA SAYYIDATINAA AISYAH</t>
  </si>
  <si>
    <t>Sinatria Brilliant</t>
  </si>
  <si>
    <t>TEGAR PRAMUDYA</t>
  </si>
  <si>
    <t>VIEVIEANE PUJI ASTUTI</t>
  </si>
  <si>
    <t>YOVIE AGMAR PRASETYA</t>
  </si>
  <si>
    <t>ZEFANA EFELYN AVENA</t>
  </si>
  <si>
    <t>-</t>
  </si>
  <si>
    <t>Adinaya Nurma Isfarahanum</t>
  </si>
  <si>
    <t>AGENG CAHYA PERMADI</t>
  </si>
  <si>
    <t>ANDRIAN HANUNG SAPUTRA</t>
  </si>
  <si>
    <t>AULYA NUR ISTIQOMAH</t>
  </si>
  <si>
    <t>CHATERIN DEBORA HANA IVANOVIC</t>
  </si>
  <si>
    <t>Daiva Ezar Ardiyanta Hastama</t>
  </si>
  <si>
    <t>Dhayen Satya Raka Dikta</t>
  </si>
  <si>
    <t>DINDA MEISYA AYU PUTRI</t>
  </si>
  <si>
    <t>DWI LESTARI</t>
  </si>
  <si>
    <t>FADHLI RIJAL</t>
  </si>
  <si>
    <t>Feni Fefi Apriliya</t>
  </si>
  <si>
    <t>HABIB LUTFI MUFTILATIF</t>
  </si>
  <si>
    <t>IDELIA INDAH WIDYADHANA</t>
  </si>
  <si>
    <t>LANGGENG DIAS NUGROHO</t>
  </si>
  <si>
    <t>LISTYA CAHYA NINGTYAS</t>
  </si>
  <si>
    <t>MUHAMAD MAULANA IRFAN</t>
  </si>
  <si>
    <t>MUHAMAD NAUFAL FAJAR PRATAMA</t>
  </si>
  <si>
    <t>Muhammad Al'izzam</t>
  </si>
  <si>
    <t>NAUFAL ALIFFIAN</t>
  </si>
  <si>
    <t>OKTAVIRANI MALICHATUL AFIFAH</t>
  </si>
  <si>
    <t>PANJI DWI PRASETYO</t>
  </si>
  <si>
    <t>RADIAN SIDIQ FADHILAH</t>
  </si>
  <si>
    <t>RIO SAIFUL FALAH</t>
  </si>
  <si>
    <t>SENO TIRTO KAMANDANU</t>
  </si>
  <si>
    <t>SHINTA OCTAVIA ANGGREANI</t>
  </si>
  <si>
    <t>Surya Ardhiani Eka Suci</t>
  </si>
  <si>
    <t>Syifa Sandraningtyas</t>
  </si>
  <si>
    <t>TEGAR AD'HA SHAPUTRA</t>
  </si>
  <si>
    <t>TYA NUR AISYAH</t>
  </si>
  <si>
    <t>VANESSA ANGELINA LOOGIKA PUTRI</t>
  </si>
  <si>
    <t>VHENDO NOVRIENI SAKTI GUMILANG</t>
  </si>
  <si>
    <t>ACHMAD YUDISTIRA ADI NUGROHO</t>
  </si>
  <si>
    <t>Alfianti Agustin</t>
  </si>
  <si>
    <t>AMANDA RISFI AYU FEBRIYANTI</t>
  </si>
  <si>
    <t>ANDREAN RESTU SUGIONO</t>
  </si>
  <si>
    <t>ASRORIYADI</t>
  </si>
  <si>
    <t>DANANG ARIS SANJAYA</t>
  </si>
  <si>
    <t>DHIFA RIZQI FEBRIAN</t>
  </si>
  <si>
    <t>DIKI CANDRA STIAWAN</t>
  </si>
  <si>
    <t>ERLANGGA SETIAWAN</t>
  </si>
  <si>
    <t>FADIL ALI UMAR</t>
  </si>
  <si>
    <t>FANO ANDRIYANTO</t>
  </si>
  <si>
    <t>GENDIS WORO PRAMESTI</t>
  </si>
  <si>
    <t>HIDAYAT NUR WAKHID</t>
  </si>
  <si>
    <t>IMAN SHOBIRIN</t>
  </si>
  <si>
    <t>Jela Lidia Putri</t>
  </si>
  <si>
    <t>LUTFI AINUN ISTIFADHAH</t>
  </si>
  <si>
    <t>MEISYA DIAS HANANIA</t>
  </si>
  <si>
    <t>MUHAMMAD ADILA RIFQI ATHAILLAH</t>
  </si>
  <si>
    <t>MUHAMMAD RAJEZ SONDRA</t>
  </si>
  <si>
    <t>MUHAMMAD ZAYYAN</t>
  </si>
  <si>
    <t>NAUFA EKA WAHYUNI</t>
  </si>
  <si>
    <t>RAFA FIRLANA SAPUTRA</t>
  </si>
  <si>
    <t>RAFA NIKA PRADITYA</t>
  </si>
  <si>
    <t>RASTA PUTRA BUDI PRATAMA</t>
  </si>
  <si>
    <t>REVANA INTAN MAHARANI</t>
  </si>
  <si>
    <t>Revani Risma</t>
  </si>
  <si>
    <t>SAKILA ARSYA ZADANASITA</t>
  </si>
  <si>
    <t>Salsa Billa Eka Fitri</t>
  </si>
  <si>
    <t>SATRIA FINZA PRATAMA</t>
  </si>
  <si>
    <t>SHERLY EMILIANA PUTRI</t>
  </si>
  <si>
    <t>SISKA RAMADHANI</t>
  </si>
  <si>
    <t>UMI SHABRINA RAHMAWATI</t>
  </si>
  <si>
    <t>AKHMAD SIDIQ MUBAROK</t>
  </si>
  <si>
    <t>ANANTA GITA SAPUTRA</t>
  </si>
  <si>
    <t>Angelica Gracea Putri</t>
  </si>
  <si>
    <t>ARSHAVIN PUTERA PRASETYO</t>
  </si>
  <si>
    <t>ARVINA ANGELIA ANATASYA</t>
  </si>
  <si>
    <t>AYUDYA NURUL IVA</t>
  </si>
  <si>
    <t>AZZAHRA PRASETYANINGSIH</t>
  </si>
  <si>
    <t>CHIKA MEILA KINANTI</t>
  </si>
  <si>
    <t>CHUSNYNDA INDAH PRATIWI</t>
  </si>
  <si>
    <t>DIMAS ARVIAN SAPUTRA</t>
  </si>
  <si>
    <t>DONA AURELLIA HARYANI</t>
  </si>
  <si>
    <t>FIRGA DWI RAMADHAN</t>
  </si>
  <si>
    <t>Jati Kusuma</t>
  </si>
  <si>
    <t>JUWAN KRISHNA RAMADHAN</t>
  </si>
  <si>
    <t>M H Kevinansyah Putra</t>
  </si>
  <si>
    <t>MAULANA REZA FIRDANAZIZ</t>
  </si>
  <si>
    <t>Maulida Oriensabrina Kurniawan</t>
  </si>
  <si>
    <t>MEILA KHABIBAH</t>
  </si>
  <si>
    <t>MITA FEBRIYANTI</t>
  </si>
  <si>
    <t>MOHAMAD AFGAN HAMID KARZAI MAWARDI</t>
  </si>
  <si>
    <t>MUHAMMAD DIMAS AFRIZAL</t>
  </si>
  <si>
    <t>NABILA IKA KHAIRUNNISA</t>
  </si>
  <si>
    <t>Nadira Zada Shakila</t>
  </si>
  <si>
    <t>Naufa Imran Angkasa</t>
  </si>
  <si>
    <t>NUR APRILIA PUTRI PANGGIH</t>
  </si>
  <si>
    <t>RIADI FITRIANTO</t>
  </si>
  <si>
    <t>SAFA ZELIKA YUSUF</t>
  </si>
  <si>
    <t>SYIFA AMALIA GHANYTA</t>
  </si>
  <si>
    <t>Tata Pradibta</t>
  </si>
  <si>
    <t>ULIN NUHA AWALUDIN</t>
  </si>
  <si>
    <t>Dra. BAROKAH GUNIARTI</t>
  </si>
  <si>
    <t>NIP : 196901081996122004</t>
  </si>
  <si>
    <t>URUT DAPODIK</t>
  </si>
  <si>
    <t>ZAKI KELUAR</t>
  </si>
  <si>
    <t>PTS &amp; ASAS</t>
  </si>
  <si>
    <t>PH ke  :</t>
  </si>
  <si>
    <t>ANALISA HASIL PH MATEMATIKA KLS IX  SMT GENAP</t>
  </si>
  <si>
    <t>Affan Bagus Ramadhani</t>
  </si>
  <si>
    <t>Affansa Rayya Assalafi</t>
  </si>
  <si>
    <t>Agel Fransiska</t>
  </si>
  <si>
    <t>Alfin Putra Firmansyah</t>
  </si>
  <si>
    <t>Almira Sadia Qonitah</t>
  </si>
  <si>
    <t>Arif Perdana Putra</t>
  </si>
  <si>
    <t>Asifa Nariyati</t>
  </si>
  <si>
    <t>Calvin Mandala Putra</t>
  </si>
  <si>
    <t>Decha Rifqoh Alma Dhini</t>
  </si>
  <si>
    <t>Fathir Hibatullah Harahap</t>
  </si>
  <si>
    <t>Gendhis Putri Ayreanti</t>
  </si>
  <si>
    <t>Habibi Lazuardi</t>
  </si>
  <si>
    <t>Herina Sasha Rasati</t>
  </si>
  <si>
    <t>Ivan Adi Saputra</t>
  </si>
  <si>
    <t>Ivander Veda Ardyanta</t>
  </si>
  <si>
    <t>Keysa Lutfi Yana Putri</t>
  </si>
  <si>
    <t>Khanaya Putri Emeyliana</t>
  </si>
  <si>
    <t>Khoirul Rodzikin</t>
  </si>
  <si>
    <t>Livia Mozavina</t>
  </si>
  <si>
    <t>Milatul Ulya Azzahra</t>
  </si>
  <si>
    <t>Muhammad Arif Pratama</t>
  </si>
  <si>
    <t>Muhammad Fahri Khoirudin</t>
  </si>
  <si>
    <t>Muhammad Rakha Razansyah</t>
  </si>
  <si>
    <t>Mutiara Dewi Khusna</t>
  </si>
  <si>
    <t>Qeysya Nabila Maharani</t>
  </si>
  <si>
    <t>Raihan Akbar Ramadhan</t>
  </si>
  <si>
    <t>Ramadhani</t>
  </si>
  <si>
    <t>Rangga Putra Raditya</t>
  </si>
  <si>
    <t>Safa Nasila Anajwa</t>
  </si>
  <si>
    <t>Sila Ayu Kurnia</t>
  </si>
  <si>
    <t>Sindhi Nandha Lusia</t>
  </si>
  <si>
    <t>Siti Alfiani</t>
  </si>
  <si>
    <t>Abid Lionel Abdillah</t>
  </si>
  <si>
    <t>Aditria Bintang Mustofa</t>
  </si>
  <si>
    <t>Agni Wulan Pramesti</t>
  </si>
  <si>
    <t>Ahmad Irfan Annadif</t>
  </si>
  <si>
    <t>Alesha Najwa Adelia</t>
  </si>
  <si>
    <t>Ana Kharisma Wardani</t>
  </si>
  <si>
    <t>Angga Rizki Satriya Utama</t>
  </si>
  <si>
    <t>Ardiyan Vebri Pratama</t>
  </si>
  <si>
    <t>Aurel Azza Adellia Putri</t>
  </si>
  <si>
    <t>Darasti Keyshafa Azumi</t>
  </si>
  <si>
    <t>Dea Resti Lian Dana Sari</t>
  </si>
  <si>
    <t>Desta Dwi Lestari</t>
  </si>
  <si>
    <t>Faaz Nizzar Ardiansyah</t>
  </si>
  <si>
    <t>Hazel Javier Ozora</t>
  </si>
  <si>
    <t>Indika Dwi Laksono</t>
  </si>
  <si>
    <t>Indra Rahma Azzahra</t>
  </si>
  <si>
    <t>Lutfia Asri Wahyuni</t>
  </si>
  <si>
    <t>Muhamad Fadil Khoiri</t>
  </si>
  <si>
    <t>Muhammad Aqil Mufid</t>
  </si>
  <si>
    <t>Muhammad Danish Alzydan</t>
  </si>
  <si>
    <t>Muhammad Nurul Huda</t>
  </si>
  <si>
    <t>Nada Aprillia Zulfa Fairuz</t>
  </si>
  <si>
    <t>Nadaa Fadiyah Salsabila</t>
  </si>
  <si>
    <t>Nayla Oriza Shatifa</t>
  </si>
  <si>
    <t>Raditya Eka Putra Yudha</t>
  </si>
  <si>
    <t>Ragil Harlangga</t>
  </si>
  <si>
    <t>Rasya Hidayatullah Putra Zatmiko</t>
  </si>
  <si>
    <t>Septiyana Trihapsari</t>
  </si>
  <si>
    <t>Syarifa Fatma</t>
  </si>
  <si>
    <t>Syauqi Lazuardi</t>
  </si>
  <si>
    <t>Zakya Ninu Azzahra</t>
  </si>
  <si>
    <t>Zivara Layly Amaratungga</t>
  </si>
  <si>
    <t>Ahmad Husain</t>
  </si>
  <si>
    <t>Alfino Kurniawan</t>
  </si>
  <si>
    <t>Alif Jalu Adil</t>
  </si>
  <si>
    <t>Almira Tian Az Zahra</t>
  </si>
  <si>
    <t>Alvino Dafa Radhwa Aqilah</t>
  </si>
  <si>
    <t>Ananda Dhanis Syarifudien</t>
  </si>
  <si>
    <t>Andra Putra Wahyu Baskara</t>
  </si>
  <si>
    <t>Ardhan Restu Pratama</t>
  </si>
  <si>
    <t>Ardi Setyo Nugroho</t>
  </si>
  <si>
    <t>Az Zahra Aulia Rahma</t>
  </si>
  <si>
    <t>Albeth Christian F.</t>
  </si>
  <si>
    <t>Desti Dwi Wahyuni</t>
  </si>
  <si>
    <t>Dominikus Febri Andrean</t>
  </si>
  <si>
    <t>Evan Lingga Kurnia Zaen</t>
  </si>
  <si>
    <t>Fathan Syahrul Anan</t>
  </si>
  <si>
    <t>Fina Uzlifatil Jannah</t>
  </si>
  <si>
    <t>Hafidz Nugeroho</t>
  </si>
  <si>
    <t>Kevin Sahasika Abyan Abiyyi</t>
  </si>
  <si>
    <t>Laeni Shohibatul Maghfiroh</t>
  </si>
  <si>
    <t>Maelani Mulya Sari</t>
  </si>
  <si>
    <t>Mafasa Agung Dwi Putranti</t>
  </si>
  <si>
    <t>Marwa Dwi Hafsari</t>
  </si>
  <si>
    <t>Natasya Berly Intania</t>
  </si>
  <si>
    <t>Natasya Gisella Anindya Putri</t>
  </si>
  <si>
    <t>Prasetyo Nevan Al Fath</t>
  </si>
  <si>
    <t>Putri Cikara Dewi</t>
  </si>
  <si>
    <t>Radenta Ardina Putra</t>
  </si>
  <si>
    <t>Raditya Eka Yudhistira</t>
  </si>
  <si>
    <t>Rere Etrischa Zenobia</t>
  </si>
  <si>
    <t>Roxy Lantip Afpriba</t>
  </si>
  <si>
    <t>Syifa Maulida Zahra</t>
  </si>
  <si>
    <t>Virna Meisya Amelia</t>
  </si>
  <si>
    <t>Aditya Wahyu Putra Septiadi</t>
  </si>
  <si>
    <t>Al Fuzu Daya Satria</t>
  </si>
  <si>
    <t>Amanda Kirana Maharani</t>
  </si>
  <si>
    <t>Andra Prima Reza</t>
  </si>
  <si>
    <t>Ayu Safitri Intan Zahwa</t>
  </si>
  <si>
    <t>Azzahra Quinnsha Setyana</t>
  </si>
  <si>
    <t>Bryan Marcanda</t>
  </si>
  <si>
    <t>Chelsea Felita Matiune</t>
  </si>
  <si>
    <t>Dharma Tegar Sathrya</t>
  </si>
  <si>
    <t>Eza Septian Dinata</t>
  </si>
  <si>
    <t>Hadi Khoirul Anwar</t>
  </si>
  <si>
    <t>Ica Nur Setyo Anugrah</t>
  </si>
  <si>
    <t>Jihan Aliya Kamil Alfayari</t>
  </si>
  <si>
    <t>Keisya Bily Ferlista</t>
  </si>
  <si>
    <t>Muhammad Rafi Ma'Arif</t>
  </si>
  <si>
    <t>Nafis Aufan Ahsanulkarim</t>
  </si>
  <si>
    <t>Nayla Azalia Lathifah</t>
  </si>
  <si>
    <t>Radita Raharjo</t>
  </si>
  <si>
    <t>Rava Aditya Pratama</t>
  </si>
  <si>
    <t>Saffa Ayu Anastasya</t>
  </si>
  <si>
    <t>Saromadika</t>
  </si>
  <si>
    <t>Siti Fadilah Purmareta</t>
  </si>
  <si>
    <t>Surya Ardika Pratama</t>
  </si>
  <si>
    <t>Syafa Nutrima Andini</t>
  </si>
  <si>
    <t>Syifa Dwi Rahayu</t>
  </si>
  <si>
    <t>Trendy Pambayun</t>
  </si>
  <si>
    <t>Victar Alfiano</t>
  </si>
  <si>
    <t>Vika Adhania</t>
  </si>
  <si>
    <t>Yogi Restu Bintang Pamungkas</t>
  </si>
  <si>
    <t>Zahfa Zilvilya Putri</t>
  </si>
  <si>
    <t>Zaidan Rafa Prawidi</t>
  </si>
  <si>
    <t>Adyatma Danendra Abimanyu</t>
  </si>
  <si>
    <t>Ainaya Aprillia Azzahra</t>
  </si>
  <si>
    <t>Alvicko Aprellio Jordan</t>
  </si>
  <si>
    <t>Anastain</t>
  </si>
  <si>
    <t>Angginia Regina Putri</t>
  </si>
  <si>
    <t>Arfan Faqih Al Hikam</t>
  </si>
  <si>
    <t>Bilqis Aura Dayinta</t>
  </si>
  <si>
    <t>Chayril Arya Saputra</t>
  </si>
  <si>
    <t>Dinda Cahya Kirana</t>
  </si>
  <si>
    <t>Farhan Safiy Devangga</t>
  </si>
  <si>
    <t>Herlin Eka Noviana</t>
  </si>
  <si>
    <t>Irfan Al Khafidz</t>
  </si>
  <si>
    <t>Mafaza Ayatussyifa</t>
  </si>
  <si>
    <t>Mirzanatun Kuni Afifah</t>
  </si>
  <si>
    <t>Muhammad Adil Chizqi Azwan</t>
  </si>
  <si>
    <t>Muhammad Alif Aditya Hartafi</t>
  </si>
  <si>
    <t>Muhammad Azid Syaifurridho</t>
  </si>
  <si>
    <t>Muhammad Hayqal Al Farizzi</t>
  </si>
  <si>
    <t>Muhammad Shobar Shodiq</t>
  </si>
  <si>
    <t>Nabila Putri Noor Maulidhanti</t>
  </si>
  <si>
    <t>Naila Faizatis Syifa</t>
  </si>
  <si>
    <t>Nur Hijrah Maudhina</t>
  </si>
  <si>
    <t>Ozil Azzariat</t>
  </si>
  <si>
    <t>Pranata Diaz Saputra</t>
  </si>
  <si>
    <t>Rafki Bais Abimanyu</t>
  </si>
  <si>
    <t>Risma Liana Gita Pratiwi</t>
  </si>
  <si>
    <t>Rizky Bagoes Sasongko</t>
  </si>
  <si>
    <t>Thalita Nava Ailsanti</t>
  </si>
  <si>
    <t>Wahid Sulistiyo</t>
  </si>
  <si>
    <t>Yanuar Putra Akbar</t>
  </si>
  <si>
    <t>Ahmad Azam Muhanif</t>
  </si>
  <si>
    <t>Ananda Rafa Mahesa Putra</t>
  </si>
  <si>
    <t>Aprian Caysa Raditiansyah</t>
  </si>
  <si>
    <t>Attaya Nadine Vanessa</t>
  </si>
  <si>
    <t>Dimas Suryo Admodjo</t>
  </si>
  <si>
    <t>Dwi Erinadestari</t>
  </si>
  <si>
    <t>Eka Yuanita Safa</t>
  </si>
  <si>
    <t>Ellisa Adelia Putri</t>
  </si>
  <si>
    <t>Elsa Adinda Putri</t>
  </si>
  <si>
    <t>Erick Putra Wijaya</t>
  </si>
  <si>
    <t>Intan Qurrota A'Yun</t>
  </si>
  <si>
    <t>Johan Renaldi</t>
  </si>
  <si>
    <t>Lituhayu Sabrina</t>
  </si>
  <si>
    <t>Luthfi Az Zahra Aulyvia</t>
  </si>
  <si>
    <t>Maulana Rizki Kurniawan</t>
  </si>
  <si>
    <t>Meisya Anindita</t>
  </si>
  <si>
    <t>Melilea Azahra</t>
  </si>
  <si>
    <t>Muhammad Furqon Ashfary</t>
  </si>
  <si>
    <t>Muhammad Rizky Fahreza</t>
  </si>
  <si>
    <t>Mutiara Yuliyanti</t>
  </si>
  <si>
    <t>Nathasya Maharani Putri Agustina</t>
  </si>
  <si>
    <t>Naysilla Anindya Ramadhani Nayra</t>
  </si>
  <si>
    <t>Qaleesya Juliandhifa Putri Ajisia</t>
  </si>
  <si>
    <t>Rahesya Firmansah</t>
  </si>
  <si>
    <t>Revalino Adhyaqsa Pamungkas</t>
  </si>
  <si>
    <t>Rokhan Dwi Ma'Arif</t>
  </si>
  <si>
    <t>Sawung Lintang Kamandanu</t>
  </si>
  <si>
    <t>Taufik Hidayat</t>
  </si>
  <si>
    <t>Valentino Febrianzah</t>
  </si>
  <si>
    <t>Vega Olivia Ramandhani</t>
  </si>
  <si>
    <t xml:space="preserve"> KL IX SMT GASAL TP 2025/2026</t>
  </si>
  <si>
    <t>SMP I LIMBANGAN  TH 2025/2026</t>
  </si>
  <si>
    <t>konvrs</t>
  </si>
  <si>
    <t>DAFTAR  NILAI MATEMATIKA SMT 1 TP 2025/2026</t>
  </si>
  <si>
    <t>NILAI UJIAN MATMK</t>
  </si>
  <si>
    <t>NIL</t>
  </si>
  <si>
    <t>KONV</t>
  </si>
  <si>
    <t>UHB &amp;UJIAN</t>
  </si>
  <si>
    <t>SMT 2</t>
  </si>
  <si>
    <t>SMT 1</t>
  </si>
  <si>
    <t>E RAPORT</t>
  </si>
  <si>
    <t>copi  ke</t>
  </si>
  <si>
    <t>Limbangan, 15 Mei 2026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</si>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</sst>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9" formatCode="_(* #,##0_);_(* \(#,##0\);_(* &quot;-&quot;_);_(@_)"/>
    <numFmt numFmtId="171" formatCode="_(* #,##0.00_);_(* \(#,##0.00\);_(* &quot;-&quot;??_);_(@_)"/>
    <numFmt numFmtId="183" formatCode="_(* #,##0_);_(* \(#,##0\);_(* &quot;-&quot;??_);_(@_)"/>
    <numFmt numFmtId="184" formatCode="0.0"/>
    <numFmt numFmtId="193" formatCode="[$-409]d\-mmm\-yy;@"/>
  </numFmts>
  <fonts count="54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6"/>
      <name val="Arial"/>
      <family val="2"/>
    </font>
    <font>
      <sz val="6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26"/>
      <name val="Cambria"/>
      <family val="1"/>
    </font>
    <font>
      <b/>
      <sz val="16"/>
      <name val="Arial"/>
      <family val="2"/>
    </font>
    <font>
      <sz val="8"/>
      <name val="Arial Narrow"/>
      <family val="2"/>
    </font>
    <font>
      <b/>
      <sz val="14"/>
      <name val="Arial"/>
      <family val="2"/>
    </font>
    <font>
      <sz val="10"/>
      <name val="Calibri"/>
      <family val="2"/>
    </font>
    <font>
      <sz val="11"/>
      <name val="Arial"/>
      <family val="2"/>
    </font>
    <font>
      <b/>
      <sz val="6"/>
      <name val="Arial"/>
      <family val="2"/>
    </font>
    <font>
      <b/>
      <i/>
      <sz val="10"/>
      <name val="Arial"/>
      <family val="2"/>
    </font>
    <font>
      <sz val="11"/>
      <color indexed="8"/>
      <name val="Calibri"/>
      <family val="2"/>
    </font>
    <font>
      <b/>
      <sz val="36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2"/>
      <name val="Cambria"/>
      <family val="1"/>
    </font>
    <font>
      <sz val="11"/>
      <name val="Calibri"/>
      <family val="2"/>
    </font>
    <font>
      <sz val="11"/>
      <name val="Times New Roman"/>
      <family val="1"/>
    </font>
    <font>
      <sz val="10"/>
      <name val="Book Antiqua"/>
      <family val="1"/>
    </font>
    <font>
      <sz val="12"/>
      <name val="Arial"/>
      <family val="2"/>
    </font>
    <font>
      <sz val="22"/>
      <name val="Arial Black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14"/>
      <color theme="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 Narrow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i/>
      <sz val="10"/>
      <color theme="1"/>
      <name val="Arial"/>
      <family val="2"/>
    </font>
    <font>
      <sz val="8"/>
      <color rgb="FFFFFFFF"/>
      <name val="Arial"/>
      <family val="2"/>
    </font>
    <font>
      <sz val="8"/>
      <color rgb="FF000000"/>
      <name val="Cambria"/>
      <family val="1"/>
      <scheme val="major"/>
    </font>
    <font>
      <sz val="8"/>
      <color rgb="FF00B050"/>
      <name val="Arial"/>
      <family val="2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color rgb="FFFF0000"/>
      <name val="Book Antiqua"/>
      <family val="1"/>
    </font>
    <font>
      <sz val="10"/>
      <color rgb="FFFF0000"/>
      <name val="Times New Roman"/>
      <family val="1"/>
    </font>
    <font>
      <b/>
      <sz val="10"/>
      <color rgb="FF00B050"/>
      <name val="Arial"/>
      <family val="2"/>
    </font>
    <font>
      <b/>
      <sz val="12"/>
      <color theme="7" tint="-0.24997711111789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7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1" fillId="0" borderId="0" applyFont="0" applyFill="0" applyBorder="0" applyAlignment="0" applyProtection="0"/>
    <xf numFmtId="0" fontId="20" fillId="0" borderId="0"/>
    <xf numFmtId="0" fontId="30" fillId="0" borderId="0"/>
    <xf numFmtId="0" fontId="10" fillId="0" borderId="0"/>
    <xf numFmtId="0" fontId="23" fillId="0" borderId="0"/>
    <xf numFmtId="0" fontId="31" fillId="0" borderId="0"/>
    <xf numFmtId="0" fontId="22" fillId="0" borderId="0" applyFill="0" applyProtection="0"/>
    <xf numFmtId="0" fontId="20" fillId="0" borderId="0" applyFill="0" applyProtection="0"/>
  </cellStyleXfs>
  <cellXfs count="510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2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10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" xfId="0" applyFont="1" applyBorder="1"/>
    <xf numFmtId="0" fontId="3" fillId="0" borderId="14" xfId="0" applyFont="1" applyBorder="1"/>
    <xf numFmtId="0" fontId="3" fillId="0" borderId="42" xfId="0" applyFont="1" applyBorder="1"/>
    <xf numFmtId="0" fontId="4" fillId="0" borderId="9" xfId="0" applyFont="1" applyBorder="1"/>
    <xf numFmtId="0" fontId="4" fillId="0" borderId="41" xfId="0" applyFont="1" applyBorder="1" applyAlignment="1">
      <alignment horizontal="center"/>
    </xf>
    <xf numFmtId="15" fontId="2" fillId="0" borderId="0" xfId="0" applyNumberFormat="1" applyFont="1"/>
    <xf numFmtId="0" fontId="4" fillId="0" borderId="10" xfId="0" applyFont="1" applyBorder="1"/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2" borderId="17" xfId="0" applyFont="1" applyFill="1" applyBorder="1"/>
    <xf numFmtId="0" fontId="3" fillId="0" borderId="9" xfId="0" applyFont="1" applyBorder="1"/>
    <xf numFmtId="0" fontId="8" fillId="0" borderId="17" xfId="0" applyFont="1" applyBorder="1"/>
    <xf numFmtId="0" fontId="2" fillId="0" borderId="10" xfId="0" applyFont="1" applyBorder="1"/>
    <xf numFmtId="183" fontId="5" fillId="0" borderId="9" xfId="1" applyNumberFormat="1" applyFont="1" applyBorder="1" applyAlignment="1">
      <alignment horizontal="center"/>
    </xf>
    <xf numFmtId="0" fontId="7" fillId="0" borderId="13" xfId="0" applyFont="1" applyBorder="1"/>
    <xf numFmtId="0" fontId="7" fillId="0" borderId="14" xfId="0" applyFont="1" applyBorder="1"/>
    <xf numFmtId="0" fontId="2" fillId="0" borderId="10" xfId="0" applyFont="1" applyBorder="1" applyAlignment="1">
      <alignment horizontal="center"/>
    </xf>
    <xf numFmtId="0" fontId="5" fillId="0" borderId="17" xfId="0" applyFont="1" applyBorder="1"/>
    <xf numFmtId="0" fontId="7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0" fillId="3" borderId="0" xfId="0" applyFill="1" applyAlignment="1">
      <alignment horizontal="left"/>
    </xf>
    <xf numFmtId="15" fontId="2" fillId="0" borderId="70" xfId="0" applyNumberFormat="1" applyFont="1" applyBorder="1"/>
    <xf numFmtId="0" fontId="0" fillId="3" borderId="71" xfId="0" applyFill="1" applyBorder="1" applyAlignment="1">
      <alignment horizontal="left"/>
    </xf>
    <xf numFmtId="0" fontId="0" fillId="0" borderId="71" xfId="0" applyBorder="1"/>
    <xf numFmtId="0" fontId="11" fillId="3" borderId="0" xfId="0" applyFont="1" applyFill="1" applyAlignment="1">
      <alignment horizontal="left"/>
    </xf>
    <xf numFmtId="0" fontId="4" fillId="0" borderId="0" xfId="0" applyFont="1"/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16" xfId="0" applyFont="1" applyBorder="1"/>
    <xf numFmtId="0" fontId="7" fillId="0" borderId="8" xfId="0" applyFont="1" applyBorder="1"/>
    <xf numFmtId="0" fontId="7" fillId="0" borderId="7" xfId="0" applyFont="1" applyBorder="1" applyAlignment="1">
      <alignment horizontal="center"/>
    </xf>
    <xf numFmtId="0" fontId="10" fillId="0" borderId="0" xfId="0" applyFont="1"/>
    <xf numFmtId="0" fontId="2" fillId="0" borderId="17" xfId="0" applyFont="1" applyBorder="1"/>
    <xf numFmtId="0" fontId="2" fillId="0" borderId="7" xfId="0" applyFont="1" applyBorder="1"/>
    <xf numFmtId="0" fontId="10" fillId="0" borderId="0" xfId="0" applyFont="1" applyAlignment="1">
      <alignment horizontal="left"/>
    </xf>
    <xf numFmtId="0" fontId="10" fillId="0" borderId="1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10" fillId="0" borderId="45" xfId="0" applyFont="1" applyBorder="1"/>
    <xf numFmtId="0" fontId="10" fillId="0" borderId="44" xfId="0" applyFont="1" applyBorder="1" applyAlignment="1">
      <alignment horizontal="left"/>
    </xf>
    <xf numFmtId="0" fontId="10" fillId="0" borderId="13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6" xfId="0" applyFont="1" applyBorder="1"/>
    <xf numFmtId="0" fontId="10" fillId="0" borderId="6" xfId="0" applyFont="1" applyBorder="1" applyAlignment="1">
      <alignment horizontal="center"/>
    </xf>
    <xf numFmtId="0" fontId="10" fillId="0" borderId="0" xfId="0" applyFont="1" applyBorder="1"/>
    <xf numFmtId="0" fontId="10" fillId="0" borderId="10" xfId="0" applyFont="1" applyBorder="1"/>
    <xf numFmtId="1" fontId="2" fillId="0" borderId="13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0" fontId="0" fillId="0" borderId="47" xfId="0" applyBorder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13" xfId="0" applyFont="1" applyBorder="1"/>
    <xf numFmtId="1" fontId="2" fillId="0" borderId="31" xfId="0" applyNumberFormat="1" applyFont="1" applyBorder="1" applyAlignment="1">
      <alignment horizontal="center"/>
    </xf>
    <xf numFmtId="1" fontId="14" fillId="0" borderId="4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4" xfId="0" applyFont="1" applyBorder="1"/>
    <xf numFmtId="1" fontId="2" fillId="0" borderId="34" xfId="0" applyNumberFormat="1" applyFont="1" applyBorder="1" applyAlignment="1">
      <alignment horizontal="center"/>
    </xf>
    <xf numFmtId="1" fontId="14" fillId="0" borderId="4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7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1" fontId="14" fillId="0" borderId="5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2" xfId="0" applyFont="1" applyBorder="1" applyAlignment="1">
      <alignment horizontal="center"/>
    </xf>
    <xf numFmtId="0" fontId="10" fillId="0" borderId="7" xfId="0" applyFont="1" applyBorder="1"/>
    <xf numFmtId="0" fontId="32" fillId="4" borderId="0" xfId="0" applyFont="1" applyFill="1"/>
    <xf numFmtId="0" fontId="32" fillId="4" borderId="6" xfId="0" applyFont="1" applyFill="1" applyBorder="1" applyAlignment="1">
      <alignment horizontal="center"/>
    </xf>
    <xf numFmtId="0" fontId="32" fillId="4" borderId="40" xfId="0" applyFont="1" applyFill="1" applyBorder="1"/>
    <xf numFmtId="0" fontId="33" fillId="4" borderId="0" xfId="0" applyFont="1" applyFill="1" applyAlignment="1">
      <alignment horizontal="center"/>
    </xf>
    <xf numFmtId="0" fontId="32" fillId="0" borderId="6" xfId="0" applyFont="1" applyFill="1" applyBorder="1" applyAlignment="1">
      <alignment horizontal="center"/>
    </xf>
    <xf numFmtId="0" fontId="32" fillId="0" borderId="39" xfId="0" applyFont="1" applyFill="1" applyBorder="1"/>
    <xf numFmtId="1" fontId="4" fillId="0" borderId="13" xfId="0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4" fillId="0" borderId="55" xfId="0" applyFont="1" applyBorder="1" applyAlignment="1">
      <alignment horizontal="center"/>
    </xf>
    <xf numFmtId="0" fontId="10" fillId="0" borderId="38" xfId="0" applyFont="1" applyBorder="1"/>
    <xf numFmtId="0" fontId="10" fillId="0" borderId="9" xfId="0" applyFont="1" applyBorder="1"/>
    <xf numFmtId="0" fontId="15" fillId="4" borderId="0" xfId="0" applyFont="1" applyFill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10" fillId="0" borderId="41" xfId="0" applyFont="1" applyBorder="1" applyAlignment="1">
      <alignment horizontal="center"/>
    </xf>
    <xf numFmtId="0" fontId="10" fillId="0" borderId="17" xfId="0" applyFont="1" applyBorder="1"/>
    <xf numFmtId="0" fontId="34" fillId="4" borderId="0" xfId="0" applyFont="1" applyFill="1" applyAlignment="1">
      <alignment horizontal="center" vertical="center"/>
    </xf>
    <xf numFmtId="0" fontId="2" fillId="5" borderId="14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42" xfId="0" applyFont="1" applyFill="1" applyBorder="1" applyAlignment="1">
      <alignment horizontal="center"/>
    </xf>
    <xf numFmtId="0" fontId="2" fillId="0" borderId="56" xfId="0" applyFont="1" applyBorder="1"/>
    <xf numFmtId="0" fontId="7" fillId="0" borderId="57" xfId="0" applyFont="1" applyBorder="1"/>
    <xf numFmtId="0" fontId="7" fillId="0" borderId="58" xfId="0" applyFont="1" applyBorder="1"/>
    <xf numFmtId="0" fontId="7" fillId="0" borderId="56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0" fillId="0" borderId="42" xfId="0" applyBorder="1"/>
    <xf numFmtId="0" fontId="3" fillId="0" borderId="42" xfId="0" applyFont="1" applyBorder="1" applyAlignment="1">
      <alignment horizontal="center"/>
    </xf>
    <xf numFmtId="0" fontId="35" fillId="0" borderId="0" xfId="0" applyFont="1"/>
    <xf numFmtId="1" fontId="36" fillId="0" borderId="14" xfId="0" applyNumberFormat="1" applyFont="1" applyBorder="1" applyAlignment="1">
      <alignment horizontal="center"/>
    </xf>
    <xf numFmtId="0" fontId="0" fillId="6" borderId="14" xfId="0" applyFill="1" applyBorder="1"/>
    <xf numFmtId="0" fontId="13" fillId="7" borderId="0" xfId="0" applyFont="1" applyFill="1" applyBorder="1" applyAlignment="1">
      <alignment horizontal="center" vertical="center"/>
    </xf>
    <xf numFmtId="0" fontId="0" fillId="7" borderId="23" xfId="0" applyFill="1" applyBorder="1"/>
    <xf numFmtId="0" fontId="0" fillId="3" borderId="71" xfId="0" applyFill="1" applyBorder="1" applyAlignment="1">
      <alignment horizontal="center"/>
    </xf>
    <xf numFmtId="0" fontId="0" fillId="3" borderId="0" xfId="0" applyFill="1" applyAlignment="1">
      <alignment horizontal="center"/>
    </xf>
    <xf numFmtId="1" fontId="35" fillId="0" borderId="13" xfId="0" applyNumberFormat="1" applyFont="1" applyBorder="1" applyAlignment="1">
      <alignment horizontal="center"/>
    </xf>
    <xf numFmtId="1" fontId="35" fillId="0" borderId="14" xfId="0" applyNumberFormat="1" applyFont="1" applyBorder="1" applyAlignment="1">
      <alignment horizontal="center"/>
    </xf>
    <xf numFmtId="0" fontId="37" fillId="0" borderId="0" xfId="0" applyFont="1" applyFill="1" applyBorder="1"/>
    <xf numFmtId="0" fontId="33" fillId="4" borderId="0" xfId="0" applyFont="1" applyFill="1" applyBorder="1" applyAlignment="1">
      <alignment horizontal="center"/>
    </xf>
    <xf numFmtId="0" fontId="2" fillId="6" borderId="14" xfId="0" applyFont="1" applyFill="1" applyBorder="1"/>
    <xf numFmtId="0" fontId="2" fillId="6" borderId="14" xfId="0" applyFont="1" applyFill="1" applyBorder="1" applyAlignment="1">
      <alignment horizontal="center"/>
    </xf>
    <xf numFmtId="0" fontId="17" fillId="6" borderId="9" xfId="0" applyFont="1" applyFill="1" applyBorder="1"/>
    <xf numFmtId="0" fontId="17" fillId="6" borderId="17" xfId="0" applyFont="1" applyFill="1" applyBorder="1"/>
    <xf numFmtId="0" fontId="17" fillId="6" borderId="10" xfId="0" applyFont="1" applyFill="1" applyBorder="1"/>
    <xf numFmtId="0" fontId="0" fillId="0" borderId="14" xfId="0" applyFill="1" applyBorder="1"/>
    <xf numFmtId="1" fontId="2" fillId="0" borderId="14" xfId="0" applyNumberFormat="1" applyFont="1" applyFill="1" applyBorder="1" applyAlignment="1">
      <alignment horizontal="center"/>
    </xf>
    <xf numFmtId="1" fontId="3" fillId="0" borderId="14" xfId="0" applyNumberFormat="1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14" xfId="0" applyFont="1" applyFill="1" applyBorder="1"/>
    <xf numFmtId="0" fontId="7" fillId="0" borderId="14" xfId="0" applyFont="1" applyFill="1" applyBorder="1"/>
    <xf numFmtId="0" fontId="0" fillId="0" borderId="10" xfId="0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183" fontId="18" fillId="0" borderId="9" xfId="1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14" fillId="0" borderId="13" xfId="0" applyNumberFormat="1" applyFont="1" applyFill="1" applyBorder="1" applyAlignment="1" applyProtection="1">
      <alignment horizontal="center" vertical="center" wrapText="1"/>
      <protection locked="0"/>
    </xf>
    <xf numFmtId="1" fontId="14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8" borderId="14" xfId="0" applyFont="1" applyFill="1" applyBorder="1" applyAlignment="1">
      <alignment horizontal="center"/>
    </xf>
    <xf numFmtId="0" fontId="38" fillId="0" borderId="0" xfId="0" applyFont="1" applyAlignment="1"/>
    <xf numFmtId="0" fontId="39" fillId="0" borderId="0" xfId="0" applyFont="1"/>
    <xf numFmtId="0" fontId="40" fillId="0" borderId="0" xfId="0" applyFont="1" applyAlignment="1">
      <alignment horizontal="center" vertical="center"/>
    </xf>
    <xf numFmtId="0" fontId="41" fillId="0" borderId="55" xfId="0" applyFont="1" applyBorder="1" applyAlignment="1">
      <alignment horizontal="center"/>
    </xf>
    <xf numFmtId="0" fontId="39" fillId="0" borderId="30" xfId="0" applyFont="1" applyBorder="1" applyAlignment="1">
      <alignment horizontal="center"/>
    </xf>
    <xf numFmtId="0" fontId="39" fillId="0" borderId="59" xfId="0" applyFont="1" applyBorder="1"/>
    <xf numFmtId="1" fontId="41" fillId="0" borderId="13" xfId="0" applyNumberFormat="1" applyFont="1" applyBorder="1" applyAlignment="1">
      <alignment horizontal="center"/>
    </xf>
    <xf numFmtId="1" fontId="39" fillId="0" borderId="0" xfId="0" applyNumberFormat="1" applyFont="1"/>
    <xf numFmtId="0" fontId="39" fillId="0" borderId="33" xfId="0" applyFont="1" applyBorder="1" applyAlignment="1">
      <alignment horizontal="center"/>
    </xf>
    <xf numFmtId="0" fontId="39" fillId="0" borderId="38" xfId="0" applyFont="1" applyBorder="1"/>
    <xf numFmtId="1" fontId="41" fillId="0" borderId="14" xfId="0" applyNumberFormat="1" applyFont="1" applyBorder="1" applyAlignment="1">
      <alignment horizontal="center"/>
    </xf>
    <xf numFmtId="1" fontId="41" fillId="0" borderId="42" xfId="0" applyNumberFormat="1" applyFont="1" applyBorder="1" applyAlignment="1">
      <alignment horizontal="center"/>
    </xf>
    <xf numFmtId="0" fontId="39" fillId="0" borderId="0" xfId="0" applyFont="1" applyFill="1" applyBorder="1"/>
    <xf numFmtId="0" fontId="38" fillId="0" borderId="6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1" fillId="0" borderId="0" xfId="0" applyFont="1" applyAlignment="1">
      <alignment horizontal="left"/>
    </xf>
    <xf numFmtId="1" fontId="41" fillId="0" borderId="0" xfId="0" applyNumberFormat="1" applyFont="1" applyBorder="1" applyAlignment="1">
      <alignment horizontal="center"/>
    </xf>
    <xf numFmtId="1" fontId="41" fillId="0" borderId="0" xfId="0" applyNumberFormat="1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1" fontId="43" fillId="0" borderId="14" xfId="0" applyNumberFormat="1" applyFont="1" applyBorder="1" applyAlignment="1">
      <alignment horizontal="center"/>
    </xf>
    <xf numFmtId="0" fontId="2" fillId="0" borderId="0" xfId="0" applyFont="1"/>
    <xf numFmtId="193" fontId="2" fillId="0" borderId="0" xfId="0" applyNumberFormat="1" applyFont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0" xfId="0" applyBorder="1" applyAlignment="1">
      <alignment horizontal="center"/>
    </xf>
    <xf numFmtId="0" fontId="32" fillId="6" borderId="0" xfId="0" applyFont="1" applyFill="1" applyAlignment="1">
      <alignment horizontal="center" vertical="center"/>
    </xf>
    <xf numFmtId="0" fontId="10" fillId="0" borderId="38" xfId="0" applyFont="1" applyBorder="1" applyAlignment="1">
      <alignment horizontal="center"/>
    </xf>
    <xf numFmtId="0" fontId="10" fillId="0" borderId="61" xfId="0" applyFont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62" xfId="0" applyFont="1" applyBorder="1" applyAlignment="1">
      <alignment horizontal="center"/>
    </xf>
    <xf numFmtId="0" fontId="10" fillId="0" borderId="63" xfId="0" applyFont="1" applyBorder="1" applyAlignment="1">
      <alignment horizontal="center"/>
    </xf>
    <xf numFmtId="0" fontId="10" fillId="0" borderId="6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5" fillId="0" borderId="9" xfId="0" applyFont="1" applyBorder="1" applyAlignment="1">
      <alignment horizontal="center"/>
    </xf>
    <xf numFmtId="1" fontId="14" fillId="0" borderId="42" xfId="0" applyNumberFormat="1" applyFont="1" applyFill="1" applyBorder="1" applyAlignment="1" applyProtection="1">
      <alignment horizontal="center" vertical="center" wrapText="1"/>
      <protection locked="0"/>
    </xf>
    <xf numFmtId="1" fontId="2" fillId="0" borderId="33" xfId="0" applyNumberFormat="1" applyFont="1" applyBorder="1" applyAlignment="1">
      <alignment horizontal="center"/>
    </xf>
    <xf numFmtId="0" fontId="10" fillId="0" borderId="63" xfId="0" applyFont="1" applyFill="1" applyBorder="1" applyAlignment="1">
      <alignment horizontal="center"/>
    </xf>
    <xf numFmtId="0" fontId="0" fillId="0" borderId="45" xfId="0" applyBorder="1"/>
    <xf numFmtId="0" fontId="0" fillId="3" borderId="72" xfId="0" applyFill="1" applyBorder="1" applyAlignment="1">
      <alignment horizontal="left"/>
    </xf>
    <xf numFmtId="0" fontId="2" fillId="0" borderId="65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4" fillId="0" borderId="38" xfId="0" applyFont="1" applyBorder="1"/>
    <xf numFmtId="0" fontId="19" fillId="0" borderId="38" xfId="0" applyFont="1" applyBorder="1"/>
    <xf numFmtId="0" fontId="2" fillId="0" borderId="0" xfId="0" applyFont="1" applyAlignment="1">
      <alignment horizontal="center"/>
    </xf>
    <xf numFmtId="0" fontId="2" fillId="0" borderId="66" xfId="0" applyFont="1" applyBorder="1" applyAlignment="1">
      <alignment horizontal="center"/>
    </xf>
    <xf numFmtId="0" fontId="5" fillId="0" borderId="63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45" fillId="4" borderId="0" xfId="0" applyFont="1" applyFill="1" applyBorder="1" applyAlignment="1">
      <alignment horizontal="center"/>
    </xf>
    <xf numFmtId="0" fontId="45" fillId="4" borderId="0" xfId="0" applyFont="1" applyFill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0" fillId="9" borderId="9" xfId="0" applyFill="1" applyBorder="1"/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169" fontId="2" fillId="0" borderId="13" xfId="2" applyFont="1" applyBorder="1" applyAlignment="1">
      <alignment horizontal="left" vertical="center"/>
    </xf>
    <xf numFmtId="169" fontId="2" fillId="0" borderId="14" xfId="2" applyFont="1" applyBorder="1" applyAlignment="1">
      <alignment horizontal="left" vertical="center"/>
    </xf>
    <xf numFmtId="169" fontId="2" fillId="0" borderId="13" xfId="2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0" fontId="2" fillId="0" borderId="42" xfId="0" applyFont="1" applyBorder="1"/>
    <xf numFmtId="0" fontId="2" fillId="0" borderId="42" xfId="0" applyFont="1" applyBorder="1" applyAlignment="1">
      <alignment horizontal="center" vertical="center"/>
    </xf>
    <xf numFmtId="169" fontId="2" fillId="0" borderId="31" xfId="2" applyFont="1" applyBorder="1" applyAlignment="1">
      <alignment horizontal="center"/>
    </xf>
    <xf numFmtId="0" fontId="0" fillId="0" borderId="14" xfId="0" applyBorder="1" applyAlignment="1"/>
    <xf numFmtId="0" fontId="5" fillId="0" borderId="55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33" xfId="0" applyBorder="1"/>
    <xf numFmtId="0" fontId="0" fillId="0" borderId="37" xfId="0" applyBorder="1"/>
    <xf numFmtId="0" fontId="43" fillId="0" borderId="14" xfId="0" applyFont="1" applyBorder="1" applyAlignment="1">
      <alignment horizontal="center" vertical="center"/>
    </xf>
    <xf numFmtId="0" fontId="43" fillId="0" borderId="4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" fillId="0" borderId="47" xfId="0" applyFont="1" applyBorder="1"/>
    <xf numFmtId="0" fontId="10" fillId="0" borderId="47" xfId="0" applyFont="1" applyBorder="1"/>
    <xf numFmtId="0" fontId="43" fillId="0" borderId="9" xfId="0" applyFont="1" applyBorder="1" applyAlignment="1">
      <alignment horizontal="center"/>
    </xf>
    <xf numFmtId="0" fontId="43" fillId="0" borderId="11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43" fillId="0" borderId="56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3" xfId="0" applyFont="1" applyBorder="1"/>
    <xf numFmtId="0" fontId="2" fillId="0" borderId="43" xfId="0" applyFont="1" applyBorder="1" applyAlignment="1">
      <alignment horizontal="center" vertical="center"/>
    </xf>
    <xf numFmtId="0" fontId="43" fillId="0" borderId="43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/>
    </xf>
    <xf numFmtId="0" fontId="0" fillId="0" borderId="0" xfId="0" applyAlignment="1">
      <alignment horizontal="left"/>
    </xf>
    <xf numFmtId="1" fontId="35" fillId="0" borderId="42" xfId="0" applyNumberFormat="1" applyFont="1" applyBorder="1"/>
    <xf numFmtId="1" fontId="43" fillId="0" borderId="13" xfId="0" applyNumberFormat="1" applyFont="1" applyBorder="1" applyAlignment="1">
      <alignment horizontal="center"/>
    </xf>
    <xf numFmtId="1" fontId="43" fillId="0" borderId="14" xfId="0" applyNumberFormat="1" applyFont="1" applyBorder="1"/>
    <xf numFmtId="0" fontId="2" fillId="0" borderId="6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0" fillId="0" borderId="64" xfId="0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0" fillId="0" borderId="61" xfId="0" applyBorder="1" applyAlignment="1">
      <alignment horizontal="center"/>
    </xf>
    <xf numFmtId="0" fontId="46" fillId="6" borderId="55" xfId="0" applyFont="1" applyFill="1" applyBorder="1" applyAlignment="1">
      <alignment vertical="center"/>
    </xf>
    <xf numFmtId="0" fontId="10" fillId="0" borderId="33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0" fillId="0" borderId="0" xfId="0" applyFill="1"/>
    <xf numFmtId="0" fontId="4" fillId="0" borderId="45" xfId="0" applyFont="1" applyFill="1" applyBorder="1" applyAlignment="1"/>
    <xf numFmtId="0" fontId="4" fillId="0" borderId="44" xfId="0" applyFont="1" applyFill="1" applyBorder="1" applyAlignment="1"/>
    <xf numFmtId="0" fontId="8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left"/>
    </xf>
    <xf numFmtId="0" fontId="8" fillId="0" borderId="42" xfId="0" applyFont="1" applyBorder="1" applyAlignment="1">
      <alignment horizontal="center"/>
    </xf>
    <xf numFmtId="0" fontId="8" fillId="0" borderId="42" xfId="0" applyFont="1" applyBorder="1" applyAlignment="1">
      <alignment horizontal="left"/>
    </xf>
    <xf numFmtId="0" fontId="7" fillId="6" borderId="14" xfId="0" applyFont="1" applyFill="1" applyBorder="1"/>
    <xf numFmtId="1" fontId="35" fillId="6" borderId="14" xfId="0" applyNumberFormat="1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1" fontId="2" fillId="6" borderId="14" xfId="0" applyNumberFormat="1" applyFont="1" applyFill="1" applyBorder="1" applyAlignment="1">
      <alignment horizontal="center"/>
    </xf>
    <xf numFmtId="1" fontId="3" fillId="6" borderId="14" xfId="0" applyNumberFormat="1" applyFont="1" applyFill="1" applyBorder="1" applyAlignment="1">
      <alignment horizontal="center"/>
    </xf>
    <xf numFmtId="0" fontId="4" fillId="0" borderId="17" xfId="0" applyFont="1" applyBorder="1"/>
    <xf numFmtId="0" fontId="3" fillId="0" borderId="17" xfId="0" applyFont="1" applyBorder="1"/>
    <xf numFmtId="1" fontId="2" fillId="0" borderId="30" xfId="0" applyNumberFormat="1" applyFont="1" applyBorder="1" applyAlignment="1">
      <alignment horizontal="center"/>
    </xf>
    <xf numFmtId="169" fontId="2" fillId="0" borderId="14" xfId="2" applyNumberFormat="1" applyFont="1" applyBorder="1" applyAlignment="1">
      <alignment horizontal="left" vertical="center"/>
    </xf>
    <xf numFmtId="169" fontId="2" fillId="0" borderId="34" xfId="2" applyFont="1" applyBorder="1" applyAlignment="1">
      <alignment horizontal="center"/>
    </xf>
    <xf numFmtId="0" fontId="2" fillId="0" borderId="63" xfId="0" applyFont="1" applyFill="1" applyBorder="1" applyAlignment="1">
      <alignment horizontal="center"/>
    </xf>
    <xf numFmtId="0" fontId="2" fillId="0" borderId="38" xfId="0" applyFont="1" applyFill="1" applyBorder="1" applyAlignment="1">
      <alignment horizontal="center"/>
    </xf>
    <xf numFmtId="0" fontId="2" fillId="0" borderId="34" xfId="0" applyFont="1" applyFill="1" applyBorder="1" applyAlignment="1">
      <alignment horizontal="center"/>
    </xf>
    <xf numFmtId="0" fontId="2" fillId="0" borderId="35" xfId="0" applyFont="1" applyFill="1" applyBorder="1" applyAlignment="1">
      <alignment horizontal="center"/>
    </xf>
    <xf numFmtId="0" fontId="2" fillId="0" borderId="33" xfId="0" applyFont="1" applyFill="1" applyBorder="1" applyAlignment="1">
      <alignment horizontal="center"/>
    </xf>
    <xf numFmtId="1" fontId="47" fillId="0" borderId="13" xfId="0" applyNumberFormat="1" applyFont="1" applyBorder="1" applyAlignment="1">
      <alignment horizontal="center"/>
    </xf>
    <xf numFmtId="1" fontId="47" fillId="0" borderId="14" xfId="0" applyNumberFormat="1" applyFont="1" applyBorder="1" applyAlignment="1">
      <alignment horizont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4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84" fontId="4" fillId="0" borderId="9" xfId="0" applyNumberFormat="1" applyFont="1" applyBorder="1" applyAlignment="1">
      <alignment horizontal="center"/>
    </xf>
    <xf numFmtId="184" fontId="4" fillId="0" borderId="11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1" fontId="4" fillId="0" borderId="14" xfId="0" applyNumberFormat="1" applyFont="1" applyBorder="1"/>
    <xf numFmtId="1" fontId="4" fillId="0" borderId="42" xfId="0" applyNumberFormat="1" applyFont="1" applyBorder="1"/>
    <xf numFmtId="0" fontId="5" fillId="0" borderId="55" xfId="0" applyFont="1" applyBorder="1" applyAlignment="1">
      <alignment vertical="center"/>
    </xf>
    <xf numFmtId="0" fontId="4" fillId="0" borderId="7" xfId="0" applyFont="1" applyBorder="1" applyAlignment="1">
      <alignment horizontal="center"/>
    </xf>
    <xf numFmtId="169" fontId="2" fillId="0" borderId="32" xfId="2" applyFont="1" applyBorder="1" applyAlignment="1">
      <alignment horizontal="right"/>
    </xf>
    <xf numFmtId="169" fontId="2" fillId="0" borderId="35" xfId="2" applyFont="1" applyBorder="1" applyAlignment="1">
      <alignment horizontal="right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8" fillId="10" borderId="55" xfId="8" applyFont="1" applyFill="1" applyBorder="1" applyAlignment="1"/>
    <xf numFmtId="0" fontId="48" fillId="10" borderId="55" xfId="8" applyFont="1" applyFill="1" applyBorder="1" applyAlignment="1"/>
    <xf numFmtId="0" fontId="49" fillId="10" borderId="55" xfId="8" applyFont="1" applyFill="1" applyBorder="1"/>
    <xf numFmtId="0" fontId="3" fillId="6" borderId="14" xfId="0" applyFont="1" applyFill="1" applyBorder="1"/>
    <xf numFmtId="0" fontId="11" fillId="3" borderId="0" xfId="0" applyFont="1" applyFill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27" fillId="0" borderId="55" xfId="0" applyNumberFormat="1" applyFont="1" applyFill="1" applyBorder="1" applyAlignment="1" applyProtection="1">
      <alignment horizontal="left" vertical="top"/>
    </xf>
    <xf numFmtId="0" fontId="0" fillId="0" borderId="0" xfId="0" applyFont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50" fillId="0" borderId="55" xfId="0" applyNumberFormat="1" applyFont="1" applyFill="1" applyBorder="1" applyAlignment="1" applyProtection="1">
      <alignment horizontal="left" vertical="top"/>
    </xf>
    <xf numFmtId="1" fontId="51" fillId="0" borderId="13" xfId="0" applyNumberFormat="1" applyFont="1" applyBorder="1" applyAlignment="1">
      <alignment horizontal="center"/>
    </xf>
    <xf numFmtId="1" fontId="51" fillId="0" borderId="14" xfId="0" applyNumberFormat="1" applyFont="1" applyBorder="1" applyAlignment="1">
      <alignment horizontal="center"/>
    </xf>
    <xf numFmtId="1" fontId="4" fillId="0" borderId="14" xfId="0" applyNumberFormat="1" applyFont="1" applyFill="1" applyBorder="1" applyAlignment="1">
      <alignment horizontal="center"/>
    </xf>
    <xf numFmtId="0" fontId="0" fillId="0" borderId="0" xfId="0" applyFill="1" applyAlignment="1">
      <alignment horizontal="left"/>
    </xf>
    <xf numFmtId="0" fontId="28" fillId="0" borderId="0" xfId="0" applyFont="1" applyAlignment="1">
      <alignment horizontal="center"/>
    </xf>
    <xf numFmtId="0" fontId="28" fillId="6" borderId="0" xfId="0" applyFont="1" applyFill="1"/>
    <xf numFmtId="0" fontId="28" fillId="6" borderId="0" xfId="0" applyFont="1" applyFill="1" applyAlignment="1">
      <alignment horizontal="center"/>
    </xf>
    <xf numFmtId="0" fontId="28" fillId="11" borderId="0" xfId="0" applyFont="1" applyFill="1"/>
    <xf numFmtId="0" fontId="28" fillId="11" borderId="0" xfId="0" applyFont="1" applyFill="1" applyAlignment="1">
      <alignment horizontal="center"/>
    </xf>
    <xf numFmtId="1" fontId="2" fillId="0" borderId="42" xfId="0" applyNumberFormat="1" applyFont="1" applyBorder="1" applyAlignment="1">
      <alignment horizontal="center"/>
    </xf>
    <xf numFmtId="1" fontId="43" fillId="0" borderId="33" xfId="0" applyNumberFormat="1" applyFont="1" applyBorder="1" applyAlignment="1">
      <alignment horizontal="center"/>
    </xf>
    <xf numFmtId="0" fontId="24" fillId="10" borderId="3" xfId="8" applyFont="1" applyFill="1" applyBorder="1" applyAlignment="1">
      <alignment horizontal="left"/>
    </xf>
    <xf numFmtId="0" fontId="48" fillId="10" borderId="55" xfId="8" applyFont="1" applyFill="1" applyBorder="1" applyAlignment="1"/>
    <xf numFmtId="0" fontId="49" fillId="10" borderId="55" xfId="8" applyFont="1" applyFill="1" applyBorder="1"/>
    <xf numFmtId="0" fontId="24" fillId="10" borderId="3" xfId="8" applyFont="1" applyFill="1" applyBorder="1" applyAlignment="1">
      <alignment horizontal="left"/>
    </xf>
    <xf numFmtId="0" fontId="48" fillId="10" borderId="55" xfId="8" applyFont="1" applyFill="1" applyBorder="1" applyAlignment="1"/>
    <xf numFmtId="0" fontId="49" fillId="10" borderId="55" xfId="8" applyFont="1" applyFill="1" applyBorder="1"/>
    <xf numFmtId="0" fontId="48" fillId="10" borderId="55" xfId="8" applyFont="1" applyFill="1" applyBorder="1" applyAlignment="1"/>
    <xf numFmtId="0" fontId="49" fillId="10" borderId="55" xfId="8" applyFont="1" applyFill="1" applyBorder="1"/>
    <xf numFmtId="0" fontId="48" fillId="10" borderId="55" xfId="8" applyFont="1" applyFill="1" applyBorder="1" applyAlignment="1"/>
    <xf numFmtId="0" fontId="48" fillId="10" borderId="55" xfId="8" applyFont="1" applyFill="1" applyBorder="1" applyAlignment="1"/>
    <xf numFmtId="0" fontId="48" fillId="10" borderId="55" xfId="8" applyFont="1" applyFill="1" applyBorder="1" applyAlignment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84" fontId="5" fillId="0" borderId="9" xfId="0" applyNumberFormat="1" applyFont="1" applyBorder="1" applyAlignment="1">
      <alignment horizontal="center"/>
    </xf>
    <xf numFmtId="184" fontId="5" fillId="0" borderId="11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84" fontId="6" fillId="0" borderId="9" xfId="0" applyNumberFormat="1" applyFont="1" applyBorder="1" applyAlignment="1">
      <alignment horizontal="center"/>
    </xf>
    <xf numFmtId="184" fontId="6" fillId="0" borderId="11" xfId="0" applyNumberFormat="1" applyFont="1" applyBorder="1" applyAlignment="1">
      <alignment horizontal="center"/>
    </xf>
    <xf numFmtId="0" fontId="2" fillId="0" borderId="34" xfId="0" applyFont="1" applyBorder="1"/>
    <xf numFmtId="0" fontId="0" fillId="0" borderId="34" xfId="0" applyBorder="1"/>
    <xf numFmtId="0" fontId="0" fillId="0" borderId="46" xfId="0" applyBorder="1"/>
    <xf numFmtId="0" fontId="10" fillId="0" borderId="0" xfId="0" applyFont="1" applyAlignment="1">
      <alignment horizontal="right"/>
    </xf>
    <xf numFmtId="0" fontId="3" fillId="0" borderId="13" xfId="0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2" fillId="0" borderId="53" xfId="0" applyNumberFormat="1" applyFont="1" applyBorder="1" applyAlignment="1">
      <alignment horizontal="center"/>
    </xf>
    <xf numFmtId="1" fontId="2" fillId="0" borderId="68" xfId="0" applyNumberFormat="1" applyFont="1" applyFill="1" applyBorder="1" applyAlignment="1">
      <alignment horizontal="center"/>
    </xf>
    <xf numFmtId="1" fontId="39" fillId="0" borderId="0" xfId="0" applyNumberFormat="1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0" fillId="12" borderId="0" xfId="0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0" fillId="12" borderId="0" xfId="0" applyFill="1" applyAlignment="1">
      <alignment horizontal="left"/>
    </xf>
    <xf numFmtId="0" fontId="0" fillId="0" borderId="0" xfId="0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184" fontId="4" fillId="0" borderId="0" xfId="0" applyNumberFormat="1" applyFont="1" applyBorder="1" applyAlignment="1">
      <alignment horizontal="center"/>
    </xf>
    <xf numFmtId="0" fontId="8" fillId="0" borderId="37" xfId="0" applyFont="1" applyBorder="1" applyAlignment="1">
      <alignment horizontal="center" vertical="center"/>
    </xf>
    <xf numFmtId="0" fontId="8" fillId="0" borderId="50" xfId="0" applyFont="1" applyBorder="1"/>
    <xf numFmtId="0" fontId="0" fillId="0" borderId="30" xfId="0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0" fillId="0" borderId="33" xfId="0" applyBorder="1" applyAlignment="1">
      <alignment horizontal="left"/>
    </xf>
    <xf numFmtId="0" fontId="0" fillId="0" borderId="37" xfId="0" applyBorder="1" applyAlignment="1">
      <alignment horizontal="left"/>
    </xf>
    <xf numFmtId="1" fontId="14" fillId="0" borderId="30" xfId="0" applyNumberFormat="1" applyFont="1" applyFill="1" applyBorder="1" applyAlignment="1" applyProtection="1">
      <alignment horizontal="center" vertical="center" wrapText="1"/>
      <protection locked="0"/>
    </xf>
    <xf numFmtId="1" fontId="14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14" fillId="0" borderId="33" xfId="0" applyNumberFormat="1" applyFont="1" applyFill="1" applyBorder="1" applyAlignment="1" applyProtection="1">
      <alignment horizontal="center" vertical="center" wrapText="1"/>
      <protection locked="0"/>
    </xf>
    <xf numFmtId="1" fontId="14" fillId="0" borderId="35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5" xfId="0" applyBorder="1"/>
    <xf numFmtId="0" fontId="0" fillId="0" borderId="50" xfId="0" applyBorder="1"/>
    <xf numFmtId="1" fontId="14" fillId="0" borderId="37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3" xfId="0" applyFill="1" applyBorder="1" applyAlignment="1">
      <alignment horizontal="center"/>
    </xf>
    <xf numFmtId="1" fontId="14" fillId="0" borderId="5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/>
    </xf>
    <xf numFmtId="0" fontId="39" fillId="13" borderId="55" xfId="0" applyFont="1" applyFill="1" applyBorder="1"/>
    <xf numFmtId="0" fontId="53" fillId="14" borderId="47" xfId="0" applyFont="1" applyFill="1" applyBorder="1" applyAlignment="1">
      <alignment horizontal="center"/>
    </xf>
    <xf numFmtId="0" fontId="32" fillId="4" borderId="69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5" fontId="2" fillId="0" borderId="47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0" fillId="0" borderId="5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47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" fillId="0" borderId="5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" fillId="13" borderId="2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0" borderId="3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21" fillId="0" borderId="0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applyAlignment="1">
      <alignment horizontal="center"/>
    </xf>
  </cellXfs>
  <cellStyles count="11">
    <cellStyle name="Comma" xfId="1" builtinId="3"/>
    <cellStyle name="Comma [0]" xfId="2" builtinId="6"/>
    <cellStyle name="Comma [0] 2" xfId="3" xr:uid="{4F3B4396-A9EC-476D-A881-82ECA9FE927F}"/>
    <cellStyle name="Excel Built-in Normal" xfId="4" xr:uid="{34905D76-7257-46CF-AE9A-CE71C50693AC}"/>
    <cellStyle name="Normal" xfId="0" builtinId="0"/>
    <cellStyle name="Normal 2" xfId="5" xr:uid="{E3778903-AA89-481E-8589-C9AD3D95DE37}"/>
    <cellStyle name="Normal 2 2" xfId="6" xr:uid="{8DF9AA39-2728-4281-AABB-27D76E4B8E54}"/>
    <cellStyle name="Normal 22" xfId="7" xr:uid="{798C61AE-C90C-4B48-BD3D-1CD08DEA4DAE}"/>
    <cellStyle name="Normal 3" xfId="8" xr:uid="{45F46210-CB3F-4C74-A747-466A52C6B8BA}"/>
    <cellStyle name="Normal 4" xfId="9" xr:uid="{9EE10A49-0916-464F-A948-F38889FB6C49}"/>
    <cellStyle name="Normal 5" xfId="10" xr:uid="{2F626F4C-17EA-45D6-BF55-351B3656BF8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wmf"/><Relationship Id="rId1" Type="http://schemas.openxmlformats.org/officeDocument/2006/relationships/image" Target="../media/image3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w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wmf"/><Relationship Id="rId1" Type="http://schemas.openxmlformats.org/officeDocument/2006/relationships/image" Target="../media/image3.w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wmf"/><Relationship Id="rId1" Type="http://schemas.openxmlformats.org/officeDocument/2006/relationships/image" Target="../media/image4.w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361950</xdr:colOff>
      <xdr:row>71</xdr:row>
      <xdr:rowOff>31750</xdr:rowOff>
    </xdr:from>
    <xdr:to>
      <xdr:col>19</xdr:col>
      <xdr:colOff>1816100</xdr:colOff>
      <xdr:row>73</xdr:row>
      <xdr:rowOff>38100</xdr:rowOff>
    </xdr:to>
    <xdr:grpSp>
      <xdr:nvGrpSpPr>
        <xdr:cNvPr id="372793" name="Group 19">
          <a:extLst>
            <a:ext uri="{FF2B5EF4-FFF2-40B4-BE49-F238E27FC236}">
              <a16:creationId xmlns:a16="http://schemas.microsoft.com/office/drawing/2014/main" id="{30D1DA75-C2B2-5ACD-AFEE-FA5B2894D3AE}"/>
            </a:ext>
          </a:extLst>
        </xdr:cNvPr>
        <xdr:cNvGrpSpPr>
          <a:grpSpLocks/>
        </xdr:cNvGrpSpPr>
      </xdr:nvGrpSpPr>
      <xdr:grpSpPr bwMode="auto">
        <a:xfrm>
          <a:off x="9817100" y="10839450"/>
          <a:ext cx="1301750" cy="311150"/>
          <a:chOff x="3127" y="1104"/>
          <a:chExt cx="6450" cy="2006"/>
        </a:xfrm>
      </xdr:grpSpPr>
      <xdr:grpSp>
        <xdr:nvGrpSpPr>
          <xdr:cNvPr id="372828" name="Group 20">
            <a:extLst>
              <a:ext uri="{FF2B5EF4-FFF2-40B4-BE49-F238E27FC236}">
                <a16:creationId xmlns:a16="http://schemas.microsoft.com/office/drawing/2014/main" id="{D88AAA7D-41DC-E759-1AFC-87CB628280E7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2830" name="Freeform 21">
              <a:extLst>
                <a:ext uri="{FF2B5EF4-FFF2-40B4-BE49-F238E27FC236}">
                  <a16:creationId xmlns:a16="http://schemas.microsoft.com/office/drawing/2014/main" id="{78BCCBE7-A82D-A596-F9A9-A2B2549FBE2F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2831" name="Freeform 22">
              <a:extLst>
                <a:ext uri="{FF2B5EF4-FFF2-40B4-BE49-F238E27FC236}">
                  <a16:creationId xmlns:a16="http://schemas.microsoft.com/office/drawing/2014/main" id="{1D1AAE36-E4F1-E11C-FF2C-0606050A35F7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2832" name="Freeform 23">
              <a:extLst>
                <a:ext uri="{FF2B5EF4-FFF2-40B4-BE49-F238E27FC236}">
                  <a16:creationId xmlns:a16="http://schemas.microsoft.com/office/drawing/2014/main" id="{62AA7598-7870-FD2A-BA14-C50A3822003E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2829" name="Freeform 24">
            <a:extLst>
              <a:ext uri="{FF2B5EF4-FFF2-40B4-BE49-F238E27FC236}">
                <a16:creationId xmlns:a16="http://schemas.microsoft.com/office/drawing/2014/main" id="{452926AC-D1F7-8496-0C63-9651EF307953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19</xdr:col>
      <xdr:colOff>298450</xdr:colOff>
      <xdr:row>118</xdr:row>
      <xdr:rowOff>69850</xdr:rowOff>
    </xdr:from>
    <xdr:to>
      <xdr:col>19</xdr:col>
      <xdr:colOff>1905000</xdr:colOff>
      <xdr:row>120</xdr:row>
      <xdr:rowOff>76200</xdr:rowOff>
    </xdr:to>
    <xdr:grpSp>
      <xdr:nvGrpSpPr>
        <xdr:cNvPr id="372794" name="Group 25">
          <a:extLst>
            <a:ext uri="{FF2B5EF4-FFF2-40B4-BE49-F238E27FC236}">
              <a16:creationId xmlns:a16="http://schemas.microsoft.com/office/drawing/2014/main" id="{6330E070-305D-876D-41CF-8E63FB89DE56}"/>
            </a:ext>
          </a:extLst>
        </xdr:cNvPr>
        <xdr:cNvGrpSpPr>
          <a:grpSpLocks/>
        </xdr:cNvGrpSpPr>
      </xdr:nvGrpSpPr>
      <xdr:grpSpPr bwMode="auto">
        <a:xfrm>
          <a:off x="9753600" y="18040350"/>
          <a:ext cx="1365250" cy="311150"/>
          <a:chOff x="3127" y="1104"/>
          <a:chExt cx="6450" cy="2006"/>
        </a:xfrm>
      </xdr:grpSpPr>
      <xdr:grpSp>
        <xdr:nvGrpSpPr>
          <xdr:cNvPr id="372823" name="Group 26">
            <a:extLst>
              <a:ext uri="{FF2B5EF4-FFF2-40B4-BE49-F238E27FC236}">
                <a16:creationId xmlns:a16="http://schemas.microsoft.com/office/drawing/2014/main" id="{1BBE1687-0200-3775-24ED-0E03B8C9AE3C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2825" name="Freeform 27">
              <a:extLst>
                <a:ext uri="{FF2B5EF4-FFF2-40B4-BE49-F238E27FC236}">
                  <a16:creationId xmlns:a16="http://schemas.microsoft.com/office/drawing/2014/main" id="{9C88E9BC-8EDA-6BDF-BF22-DF10DA4E1AE1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2826" name="Freeform 28">
              <a:extLst>
                <a:ext uri="{FF2B5EF4-FFF2-40B4-BE49-F238E27FC236}">
                  <a16:creationId xmlns:a16="http://schemas.microsoft.com/office/drawing/2014/main" id="{443C97A9-1259-BC50-196D-10BC5C0113D1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2827" name="Freeform 29">
              <a:extLst>
                <a:ext uri="{FF2B5EF4-FFF2-40B4-BE49-F238E27FC236}">
                  <a16:creationId xmlns:a16="http://schemas.microsoft.com/office/drawing/2014/main" id="{05079D3A-DAF1-B39E-5613-C7AC869E53CD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2824" name="Freeform 30">
            <a:extLst>
              <a:ext uri="{FF2B5EF4-FFF2-40B4-BE49-F238E27FC236}">
                <a16:creationId xmlns:a16="http://schemas.microsoft.com/office/drawing/2014/main" id="{1C3C9751-2664-BB96-A546-D61B24878E57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19</xdr:col>
      <xdr:colOff>228600</xdr:colOff>
      <xdr:row>212</xdr:row>
      <xdr:rowOff>88900</xdr:rowOff>
    </xdr:from>
    <xdr:to>
      <xdr:col>19</xdr:col>
      <xdr:colOff>1733550</xdr:colOff>
      <xdr:row>214</xdr:row>
      <xdr:rowOff>95250</xdr:rowOff>
    </xdr:to>
    <xdr:grpSp>
      <xdr:nvGrpSpPr>
        <xdr:cNvPr id="372795" name="Group 64">
          <a:extLst>
            <a:ext uri="{FF2B5EF4-FFF2-40B4-BE49-F238E27FC236}">
              <a16:creationId xmlns:a16="http://schemas.microsoft.com/office/drawing/2014/main" id="{4BE6FA72-9095-21B9-74DE-D49B48CFF52A}"/>
            </a:ext>
          </a:extLst>
        </xdr:cNvPr>
        <xdr:cNvGrpSpPr>
          <a:grpSpLocks/>
        </xdr:cNvGrpSpPr>
      </xdr:nvGrpSpPr>
      <xdr:grpSpPr bwMode="auto">
        <a:xfrm>
          <a:off x="9683750" y="32385000"/>
          <a:ext cx="1435100" cy="311150"/>
          <a:chOff x="3127" y="1104"/>
          <a:chExt cx="6450" cy="2006"/>
        </a:xfrm>
      </xdr:grpSpPr>
      <xdr:grpSp>
        <xdr:nvGrpSpPr>
          <xdr:cNvPr id="372818" name="Group 65">
            <a:extLst>
              <a:ext uri="{FF2B5EF4-FFF2-40B4-BE49-F238E27FC236}">
                <a16:creationId xmlns:a16="http://schemas.microsoft.com/office/drawing/2014/main" id="{EA39E7EF-EFED-903F-579E-610B9C7ABFA6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2820" name="Freeform 66">
              <a:extLst>
                <a:ext uri="{FF2B5EF4-FFF2-40B4-BE49-F238E27FC236}">
                  <a16:creationId xmlns:a16="http://schemas.microsoft.com/office/drawing/2014/main" id="{E50F5255-FCA4-F0EB-EC5E-B965D26132E2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2821" name="Freeform 67">
              <a:extLst>
                <a:ext uri="{FF2B5EF4-FFF2-40B4-BE49-F238E27FC236}">
                  <a16:creationId xmlns:a16="http://schemas.microsoft.com/office/drawing/2014/main" id="{903BD563-7230-51ED-FB3E-DFFB5B940C7D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2822" name="Freeform 68">
              <a:extLst>
                <a:ext uri="{FF2B5EF4-FFF2-40B4-BE49-F238E27FC236}">
                  <a16:creationId xmlns:a16="http://schemas.microsoft.com/office/drawing/2014/main" id="{A0D2F531-6FBC-E2FC-D684-76362179CA10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2819" name="Freeform 69">
            <a:extLst>
              <a:ext uri="{FF2B5EF4-FFF2-40B4-BE49-F238E27FC236}">
                <a16:creationId xmlns:a16="http://schemas.microsoft.com/office/drawing/2014/main" id="{91BC049C-2679-072B-D084-74AE7346FA44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19</xdr:col>
      <xdr:colOff>406400</xdr:colOff>
      <xdr:row>165</xdr:row>
      <xdr:rowOff>57150</xdr:rowOff>
    </xdr:from>
    <xdr:to>
      <xdr:col>19</xdr:col>
      <xdr:colOff>1841500</xdr:colOff>
      <xdr:row>167</xdr:row>
      <xdr:rowOff>69850</xdr:rowOff>
    </xdr:to>
    <xdr:grpSp>
      <xdr:nvGrpSpPr>
        <xdr:cNvPr id="372796" name="Group 13">
          <a:extLst>
            <a:ext uri="{FF2B5EF4-FFF2-40B4-BE49-F238E27FC236}">
              <a16:creationId xmlns:a16="http://schemas.microsoft.com/office/drawing/2014/main" id="{F04C6106-FA0A-F427-4637-947D8F055203}"/>
            </a:ext>
          </a:extLst>
        </xdr:cNvPr>
        <xdr:cNvGrpSpPr>
          <a:grpSpLocks/>
        </xdr:cNvGrpSpPr>
      </xdr:nvGrpSpPr>
      <xdr:grpSpPr bwMode="auto">
        <a:xfrm>
          <a:off x="9861550" y="25190450"/>
          <a:ext cx="1257300" cy="317500"/>
          <a:chOff x="3127" y="1104"/>
          <a:chExt cx="6450" cy="2006"/>
        </a:xfrm>
      </xdr:grpSpPr>
      <xdr:grpSp>
        <xdr:nvGrpSpPr>
          <xdr:cNvPr id="372813" name="Group 14">
            <a:extLst>
              <a:ext uri="{FF2B5EF4-FFF2-40B4-BE49-F238E27FC236}">
                <a16:creationId xmlns:a16="http://schemas.microsoft.com/office/drawing/2014/main" id="{1D316D15-32E1-5FFC-BCCF-D6C7BAFF23A5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2815" name="Freeform 15">
              <a:extLst>
                <a:ext uri="{FF2B5EF4-FFF2-40B4-BE49-F238E27FC236}">
                  <a16:creationId xmlns:a16="http://schemas.microsoft.com/office/drawing/2014/main" id="{2776C9A9-2DFB-08CD-1AC4-8865E6EB03BC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2816" name="Freeform 16">
              <a:extLst>
                <a:ext uri="{FF2B5EF4-FFF2-40B4-BE49-F238E27FC236}">
                  <a16:creationId xmlns:a16="http://schemas.microsoft.com/office/drawing/2014/main" id="{6AF27553-5E9A-84C2-D39C-901035505088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2817" name="Freeform 17">
              <a:extLst>
                <a:ext uri="{FF2B5EF4-FFF2-40B4-BE49-F238E27FC236}">
                  <a16:creationId xmlns:a16="http://schemas.microsoft.com/office/drawing/2014/main" id="{9AD4B9E8-2A65-3532-8219-5259325E1A00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2814" name="Freeform 18">
            <a:extLst>
              <a:ext uri="{FF2B5EF4-FFF2-40B4-BE49-F238E27FC236}">
                <a16:creationId xmlns:a16="http://schemas.microsoft.com/office/drawing/2014/main" id="{8A582DA7-BEAB-F553-FB8C-B556A4ED6703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19</xdr:col>
      <xdr:colOff>292100</xdr:colOff>
      <xdr:row>259</xdr:row>
      <xdr:rowOff>69850</xdr:rowOff>
    </xdr:from>
    <xdr:to>
      <xdr:col>19</xdr:col>
      <xdr:colOff>1790700</xdr:colOff>
      <xdr:row>261</xdr:row>
      <xdr:rowOff>76200</xdr:rowOff>
    </xdr:to>
    <xdr:grpSp>
      <xdr:nvGrpSpPr>
        <xdr:cNvPr id="372797" name="Group 64">
          <a:extLst>
            <a:ext uri="{FF2B5EF4-FFF2-40B4-BE49-F238E27FC236}">
              <a16:creationId xmlns:a16="http://schemas.microsoft.com/office/drawing/2014/main" id="{4A85F048-5149-81AF-4666-3C308F840A94}"/>
            </a:ext>
          </a:extLst>
        </xdr:cNvPr>
        <xdr:cNvGrpSpPr>
          <a:grpSpLocks/>
        </xdr:cNvGrpSpPr>
      </xdr:nvGrpSpPr>
      <xdr:grpSpPr bwMode="auto">
        <a:xfrm>
          <a:off x="9747250" y="39528750"/>
          <a:ext cx="1371600" cy="311150"/>
          <a:chOff x="3127" y="1104"/>
          <a:chExt cx="6450" cy="2006"/>
        </a:xfrm>
      </xdr:grpSpPr>
      <xdr:grpSp>
        <xdr:nvGrpSpPr>
          <xdr:cNvPr id="372808" name="Group 65">
            <a:extLst>
              <a:ext uri="{FF2B5EF4-FFF2-40B4-BE49-F238E27FC236}">
                <a16:creationId xmlns:a16="http://schemas.microsoft.com/office/drawing/2014/main" id="{4F6486BF-C829-8F33-E9DD-EB8ACFD29131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2810" name="Freeform 66">
              <a:extLst>
                <a:ext uri="{FF2B5EF4-FFF2-40B4-BE49-F238E27FC236}">
                  <a16:creationId xmlns:a16="http://schemas.microsoft.com/office/drawing/2014/main" id="{5F392AF7-54BB-09CC-6C3D-32CB726B1919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2811" name="Freeform 67">
              <a:extLst>
                <a:ext uri="{FF2B5EF4-FFF2-40B4-BE49-F238E27FC236}">
                  <a16:creationId xmlns:a16="http://schemas.microsoft.com/office/drawing/2014/main" id="{1A053626-8A94-E1A8-6370-A75486108F7A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2812" name="Freeform 68">
              <a:extLst>
                <a:ext uri="{FF2B5EF4-FFF2-40B4-BE49-F238E27FC236}">
                  <a16:creationId xmlns:a16="http://schemas.microsoft.com/office/drawing/2014/main" id="{A8F12D41-B284-7CAF-73D3-AF535060DB03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2809" name="Freeform 69">
            <a:extLst>
              <a:ext uri="{FF2B5EF4-FFF2-40B4-BE49-F238E27FC236}">
                <a16:creationId xmlns:a16="http://schemas.microsoft.com/office/drawing/2014/main" id="{9440E5E4-FA6B-A778-134C-5AF854BB21F8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12700</xdr:colOff>
      <xdr:row>70</xdr:row>
      <xdr:rowOff>0</xdr:rowOff>
    </xdr:from>
    <xdr:to>
      <xdr:col>14</xdr:col>
      <xdr:colOff>146050</xdr:colOff>
      <xdr:row>72</xdr:row>
      <xdr:rowOff>12700</xdr:rowOff>
    </xdr:to>
    <xdr:pic>
      <xdr:nvPicPr>
        <xdr:cNvPr id="372798" name="Picture 8">
          <a:extLst>
            <a:ext uri="{FF2B5EF4-FFF2-40B4-BE49-F238E27FC236}">
              <a16:creationId xmlns:a16="http://schemas.microsoft.com/office/drawing/2014/main" id="{C41B0FE1-36E4-BBE5-AF01-A53FBAA5D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0800" y="10655300"/>
          <a:ext cx="216535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38100</xdr:colOff>
      <xdr:row>203</xdr:row>
      <xdr:rowOff>31750</xdr:rowOff>
    </xdr:from>
    <xdr:to>
      <xdr:col>14</xdr:col>
      <xdr:colOff>158750</xdr:colOff>
      <xdr:row>205</xdr:row>
      <xdr:rowOff>76200</xdr:rowOff>
    </xdr:to>
    <xdr:pic>
      <xdr:nvPicPr>
        <xdr:cNvPr id="372799" name="Picture 62">
          <a:extLst>
            <a:ext uri="{FF2B5EF4-FFF2-40B4-BE49-F238E27FC236}">
              <a16:creationId xmlns:a16="http://schemas.microsoft.com/office/drawing/2014/main" id="{87DD5AA8-8DBD-884A-8B50-F0CDCEAD6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30956250"/>
          <a:ext cx="2152650" cy="34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12700</xdr:colOff>
      <xdr:row>211</xdr:row>
      <xdr:rowOff>76200</xdr:rowOff>
    </xdr:from>
    <xdr:to>
      <xdr:col>14</xdr:col>
      <xdr:colOff>88900</xdr:colOff>
      <xdr:row>213</xdr:row>
      <xdr:rowOff>88900</xdr:rowOff>
    </xdr:to>
    <xdr:pic>
      <xdr:nvPicPr>
        <xdr:cNvPr id="372800" name="Picture 63">
          <a:extLst>
            <a:ext uri="{FF2B5EF4-FFF2-40B4-BE49-F238E27FC236}">
              <a16:creationId xmlns:a16="http://schemas.microsoft.com/office/drawing/2014/main" id="{10B35450-6932-78FB-B2B2-7E6FD31CA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0800" y="32219900"/>
          <a:ext cx="210820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31750</xdr:colOff>
      <xdr:row>250</xdr:row>
      <xdr:rowOff>133350</xdr:rowOff>
    </xdr:from>
    <xdr:to>
      <xdr:col>14</xdr:col>
      <xdr:colOff>107950</xdr:colOff>
      <xdr:row>252</xdr:row>
      <xdr:rowOff>133350</xdr:rowOff>
    </xdr:to>
    <xdr:pic>
      <xdr:nvPicPr>
        <xdr:cNvPr id="372801" name="Picture 1479">
          <a:extLst>
            <a:ext uri="{FF2B5EF4-FFF2-40B4-BE49-F238E27FC236}">
              <a16:creationId xmlns:a16="http://schemas.microsoft.com/office/drawing/2014/main" id="{5DF6FAD5-CE86-3F4C-E7F6-2E05F72EF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9850" y="38220650"/>
          <a:ext cx="21082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438150</xdr:colOff>
      <xdr:row>24</xdr:row>
      <xdr:rowOff>76200</xdr:rowOff>
    </xdr:from>
    <xdr:to>
      <xdr:col>19</xdr:col>
      <xdr:colOff>1625600</xdr:colOff>
      <xdr:row>26</xdr:row>
      <xdr:rowOff>12700</xdr:rowOff>
    </xdr:to>
    <xdr:grpSp>
      <xdr:nvGrpSpPr>
        <xdr:cNvPr id="372802" name="Group 13">
          <a:extLst>
            <a:ext uri="{FF2B5EF4-FFF2-40B4-BE49-F238E27FC236}">
              <a16:creationId xmlns:a16="http://schemas.microsoft.com/office/drawing/2014/main" id="{788D6513-71DE-E821-1838-9EB61BD54579}"/>
            </a:ext>
          </a:extLst>
        </xdr:cNvPr>
        <xdr:cNvGrpSpPr>
          <a:grpSpLocks/>
        </xdr:cNvGrpSpPr>
      </xdr:nvGrpSpPr>
      <xdr:grpSpPr bwMode="auto">
        <a:xfrm>
          <a:off x="9893300" y="3733800"/>
          <a:ext cx="1187450" cy="241300"/>
          <a:chOff x="3127" y="1104"/>
          <a:chExt cx="6450" cy="2006"/>
        </a:xfrm>
      </xdr:grpSpPr>
      <xdr:grpSp>
        <xdr:nvGrpSpPr>
          <xdr:cNvPr id="372803" name="Group 14">
            <a:extLst>
              <a:ext uri="{FF2B5EF4-FFF2-40B4-BE49-F238E27FC236}">
                <a16:creationId xmlns:a16="http://schemas.microsoft.com/office/drawing/2014/main" id="{B554B901-B720-ABFC-A069-B128B76774AE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2805" name="Freeform 15">
              <a:extLst>
                <a:ext uri="{FF2B5EF4-FFF2-40B4-BE49-F238E27FC236}">
                  <a16:creationId xmlns:a16="http://schemas.microsoft.com/office/drawing/2014/main" id="{5508E5D3-8CDC-7728-71CC-4E6837C21C75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2806" name="Freeform 16">
              <a:extLst>
                <a:ext uri="{FF2B5EF4-FFF2-40B4-BE49-F238E27FC236}">
                  <a16:creationId xmlns:a16="http://schemas.microsoft.com/office/drawing/2014/main" id="{18C211E2-CDAF-C4CE-0133-E7ABF121967B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2807" name="Freeform 17">
              <a:extLst>
                <a:ext uri="{FF2B5EF4-FFF2-40B4-BE49-F238E27FC236}">
                  <a16:creationId xmlns:a16="http://schemas.microsoft.com/office/drawing/2014/main" id="{FFE1E5F9-71C3-B87C-5D8F-7C67BC5D09F3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2804" name="Freeform 18">
            <a:extLst>
              <a:ext uri="{FF2B5EF4-FFF2-40B4-BE49-F238E27FC236}">
                <a16:creationId xmlns:a16="http://schemas.microsoft.com/office/drawing/2014/main" id="{8937EF88-CDC0-8F95-1F1C-AA0D981D0B73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12700</xdr:colOff>
          <xdr:row>15</xdr:row>
          <xdr:rowOff>38100</xdr:rowOff>
        </xdr:from>
        <xdr:to>
          <xdr:col>14</xdr:col>
          <xdr:colOff>127000</xdr:colOff>
          <xdr:row>17</xdr:row>
          <xdr:rowOff>88900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29833C9E-5DC0-0048-C02D-47A3A5226C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19050</xdr:colOff>
          <xdr:row>23</xdr:row>
          <xdr:rowOff>57150</xdr:rowOff>
        </xdr:from>
        <xdr:to>
          <xdr:col>14</xdr:col>
          <xdr:colOff>38100</xdr:colOff>
          <xdr:row>25</xdr:row>
          <xdr:rowOff>69850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492FE884-719B-1B13-D088-505A8FE55A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50800</xdr:colOff>
          <xdr:row>61</xdr:row>
          <xdr:rowOff>127000</xdr:rowOff>
        </xdr:from>
        <xdr:to>
          <xdr:col>14</xdr:col>
          <xdr:colOff>165100</xdr:colOff>
          <xdr:row>64</xdr:row>
          <xdr:rowOff>31750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E4D9A4A0-DEFF-C927-1953-068C264148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108</xdr:row>
          <xdr:rowOff>127000</xdr:rowOff>
        </xdr:from>
        <xdr:to>
          <xdr:col>14</xdr:col>
          <xdr:colOff>120650</xdr:colOff>
          <xdr:row>111</xdr:row>
          <xdr:rowOff>31750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6F5A533B-33D5-D5C2-C105-14ABCB7C40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117</xdr:row>
          <xdr:rowOff>0</xdr:rowOff>
        </xdr:from>
        <xdr:to>
          <xdr:col>14</xdr:col>
          <xdr:colOff>69850</xdr:colOff>
          <xdr:row>119</xdr:row>
          <xdr:rowOff>12700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C50FF406-5DF1-D56C-2C76-D58D1A5B30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19050</xdr:colOff>
          <xdr:row>156</xdr:row>
          <xdr:rowOff>38100</xdr:rowOff>
        </xdr:from>
        <xdr:to>
          <xdr:col>14</xdr:col>
          <xdr:colOff>139700</xdr:colOff>
          <xdr:row>158</xdr:row>
          <xdr:rowOff>88900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E9793FED-79F7-8C65-114E-257CB579E8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164</xdr:row>
          <xdr:rowOff>95250</xdr:rowOff>
        </xdr:from>
        <xdr:to>
          <xdr:col>14</xdr:col>
          <xdr:colOff>76200</xdr:colOff>
          <xdr:row>166</xdr:row>
          <xdr:rowOff>107950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50BE24A-6E3D-C7C7-5B18-F212136313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12700</xdr:colOff>
          <xdr:row>258</xdr:row>
          <xdr:rowOff>12700</xdr:rowOff>
        </xdr:from>
        <xdr:to>
          <xdr:col>14</xdr:col>
          <xdr:colOff>127000</xdr:colOff>
          <xdr:row>260</xdr:row>
          <xdr:rowOff>57150</xdr:rowOff>
        </xdr:to>
        <xdr:sp macro="" textlink="">
          <xdr:nvSpPr>
            <xdr:cNvPr id="13766" name="Object 1478" hidden="1">
              <a:extLst>
                <a:ext uri="{63B3BB69-23CF-44E3-9099-C40C66FF867C}">
                  <a14:compatExt spid="_x0000_s13766"/>
                </a:ext>
                <a:ext uri="{FF2B5EF4-FFF2-40B4-BE49-F238E27FC236}">
                  <a16:creationId xmlns:a16="http://schemas.microsoft.com/office/drawing/2014/main" id="{BA4E38F2-34E2-8653-4F75-DE9BC05BA1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203</xdr:row>
      <xdr:rowOff>88900</xdr:rowOff>
    </xdr:from>
    <xdr:to>
      <xdr:col>14</xdr:col>
      <xdr:colOff>139700</xdr:colOff>
      <xdr:row>205</xdr:row>
      <xdr:rowOff>152400</xdr:rowOff>
    </xdr:to>
    <xdr:pic>
      <xdr:nvPicPr>
        <xdr:cNvPr id="371217" name="Picture 7">
          <a:extLst>
            <a:ext uri="{FF2B5EF4-FFF2-40B4-BE49-F238E27FC236}">
              <a16:creationId xmlns:a16="http://schemas.microsoft.com/office/drawing/2014/main" id="{1903D5AA-98DB-3237-5468-27C4DB5F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6500" y="31026100"/>
          <a:ext cx="20764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257</xdr:row>
      <xdr:rowOff>127000</xdr:rowOff>
    </xdr:from>
    <xdr:to>
      <xdr:col>14</xdr:col>
      <xdr:colOff>190500</xdr:colOff>
      <xdr:row>260</xdr:row>
      <xdr:rowOff>31750</xdr:rowOff>
    </xdr:to>
    <xdr:pic>
      <xdr:nvPicPr>
        <xdr:cNvPr id="371218" name="Picture 7">
          <a:extLst>
            <a:ext uri="{FF2B5EF4-FFF2-40B4-BE49-F238E27FC236}">
              <a16:creationId xmlns:a16="http://schemas.microsoft.com/office/drawing/2014/main" id="{DF035B40-070F-5957-44D0-D00F42700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4600" y="39293800"/>
          <a:ext cx="20891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107950</xdr:colOff>
      <xdr:row>24</xdr:row>
      <xdr:rowOff>50800</xdr:rowOff>
    </xdr:from>
    <xdr:to>
      <xdr:col>19</xdr:col>
      <xdr:colOff>1695450</xdr:colOff>
      <xdr:row>26</xdr:row>
      <xdr:rowOff>57150</xdr:rowOff>
    </xdr:to>
    <xdr:grpSp>
      <xdr:nvGrpSpPr>
        <xdr:cNvPr id="371219" name="Group 13">
          <a:extLst>
            <a:ext uri="{FF2B5EF4-FFF2-40B4-BE49-F238E27FC236}">
              <a16:creationId xmlns:a16="http://schemas.microsoft.com/office/drawing/2014/main" id="{3199E26D-9891-4E93-9C14-BFF814385CB6}"/>
            </a:ext>
          </a:extLst>
        </xdr:cNvPr>
        <xdr:cNvGrpSpPr>
          <a:grpSpLocks/>
        </xdr:cNvGrpSpPr>
      </xdr:nvGrpSpPr>
      <xdr:grpSpPr bwMode="auto">
        <a:xfrm>
          <a:off x="9467850" y="3708400"/>
          <a:ext cx="1587500" cy="311150"/>
          <a:chOff x="3127" y="1104"/>
          <a:chExt cx="6450" cy="2006"/>
        </a:xfrm>
      </xdr:grpSpPr>
      <xdr:grpSp>
        <xdr:nvGrpSpPr>
          <xdr:cNvPr id="371250" name="Group 14">
            <a:extLst>
              <a:ext uri="{FF2B5EF4-FFF2-40B4-BE49-F238E27FC236}">
                <a16:creationId xmlns:a16="http://schemas.microsoft.com/office/drawing/2014/main" id="{A5E67F29-4BF5-1CA6-E287-9AE8CB58D752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1252" name="Freeform 15">
              <a:extLst>
                <a:ext uri="{FF2B5EF4-FFF2-40B4-BE49-F238E27FC236}">
                  <a16:creationId xmlns:a16="http://schemas.microsoft.com/office/drawing/2014/main" id="{72490912-4C13-000D-B38B-D0D5710FC891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253" name="Freeform 16">
              <a:extLst>
                <a:ext uri="{FF2B5EF4-FFF2-40B4-BE49-F238E27FC236}">
                  <a16:creationId xmlns:a16="http://schemas.microsoft.com/office/drawing/2014/main" id="{9A062848-735A-31CD-4C7C-9D81268AD06C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254" name="Freeform 17">
              <a:extLst>
                <a:ext uri="{FF2B5EF4-FFF2-40B4-BE49-F238E27FC236}">
                  <a16:creationId xmlns:a16="http://schemas.microsoft.com/office/drawing/2014/main" id="{6CDA4E8A-24A7-2358-7F1B-73EB98171970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1251" name="Freeform 18">
            <a:extLst>
              <a:ext uri="{FF2B5EF4-FFF2-40B4-BE49-F238E27FC236}">
                <a16:creationId xmlns:a16="http://schemas.microsoft.com/office/drawing/2014/main" id="{3C1824A2-DD03-AD4E-40B7-256F215E0637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19</xdr:col>
      <xdr:colOff>107950</xdr:colOff>
      <xdr:row>71</xdr:row>
      <xdr:rowOff>88900</xdr:rowOff>
    </xdr:from>
    <xdr:to>
      <xdr:col>19</xdr:col>
      <xdr:colOff>1695450</xdr:colOff>
      <xdr:row>73</xdr:row>
      <xdr:rowOff>95250</xdr:rowOff>
    </xdr:to>
    <xdr:grpSp>
      <xdr:nvGrpSpPr>
        <xdr:cNvPr id="371220" name="Group 13">
          <a:extLst>
            <a:ext uri="{FF2B5EF4-FFF2-40B4-BE49-F238E27FC236}">
              <a16:creationId xmlns:a16="http://schemas.microsoft.com/office/drawing/2014/main" id="{1A3EE2D6-0A1D-47E5-E405-86DBCEECFC8E}"/>
            </a:ext>
          </a:extLst>
        </xdr:cNvPr>
        <xdr:cNvGrpSpPr>
          <a:grpSpLocks/>
        </xdr:cNvGrpSpPr>
      </xdr:nvGrpSpPr>
      <xdr:grpSpPr bwMode="auto">
        <a:xfrm>
          <a:off x="9467850" y="10909300"/>
          <a:ext cx="1587500" cy="311150"/>
          <a:chOff x="3127" y="1104"/>
          <a:chExt cx="6450" cy="2006"/>
        </a:xfrm>
      </xdr:grpSpPr>
      <xdr:grpSp>
        <xdr:nvGrpSpPr>
          <xdr:cNvPr id="371245" name="Group 14">
            <a:extLst>
              <a:ext uri="{FF2B5EF4-FFF2-40B4-BE49-F238E27FC236}">
                <a16:creationId xmlns:a16="http://schemas.microsoft.com/office/drawing/2014/main" id="{4C69E6F0-3972-13E4-1FE6-245185506C81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1247" name="Freeform 15">
              <a:extLst>
                <a:ext uri="{FF2B5EF4-FFF2-40B4-BE49-F238E27FC236}">
                  <a16:creationId xmlns:a16="http://schemas.microsoft.com/office/drawing/2014/main" id="{C417C7A7-C3F1-874C-CA4E-44291F610E9E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248" name="Freeform 16">
              <a:extLst>
                <a:ext uri="{FF2B5EF4-FFF2-40B4-BE49-F238E27FC236}">
                  <a16:creationId xmlns:a16="http://schemas.microsoft.com/office/drawing/2014/main" id="{D8AEE5AB-7B90-5C22-3481-952FB5D2A106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249" name="Freeform 17">
              <a:extLst>
                <a:ext uri="{FF2B5EF4-FFF2-40B4-BE49-F238E27FC236}">
                  <a16:creationId xmlns:a16="http://schemas.microsoft.com/office/drawing/2014/main" id="{8CAE57EF-1D2B-1DB9-0455-FD06D1B656A5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1246" name="Freeform 18">
            <a:extLst>
              <a:ext uri="{FF2B5EF4-FFF2-40B4-BE49-F238E27FC236}">
                <a16:creationId xmlns:a16="http://schemas.microsoft.com/office/drawing/2014/main" id="{3C3E48E2-0075-0631-E338-D5436AB50551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19</xdr:col>
      <xdr:colOff>139700</xdr:colOff>
      <xdr:row>118</xdr:row>
      <xdr:rowOff>88900</xdr:rowOff>
    </xdr:from>
    <xdr:to>
      <xdr:col>19</xdr:col>
      <xdr:colOff>1727200</xdr:colOff>
      <xdr:row>120</xdr:row>
      <xdr:rowOff>95250</xdr:rowOff>
    </xdr:to>
    <xdr:grpSp>
      <xdr:nvGrpSpPr>
        <xdr:cNvPr id="371221" name="Group 13">
          <a:extLst>
            <a:ext uri="{FF2B5EF4-FFF2-40B4-BE49-F238E27FC236}">
              <a16:creationId xmlns:a16="http://schemas.microsoft.com/office/drawing/2014/main" id="{FAB7111E-F8BF-B01F-DFDE-5ED9E0210B35}"/>
            </a:ext>
          </a:extLst>
        </xdr:cNvPr>
        <xdr:cNvGrpSpPr>
          <a:grpSpLocks/>
        </xdr:cNvGrpSpPr>
      </xdr:nvGrpSpPr>
      <xdr:grpSpPr bwMode="auto">
        <a:xfrm>
          <a:off x="9499600" y="18072100"/>
          <a:ext cx="1587500" cy="311150"/>
          <a:chOff x="3127" y="1104"/>
          <a:chExt cx="6450" cy="2006"/>
        </a:xfrm>
      </xdr:grpSpPr>
      <xdr:grpSp>
        <xdr:nvGrpSpPr>
          <xdr:cNvPr id="371240" name="Group 14">
            <a:extLst>
              <a:ext uri="{FF2B5EF4-FFF2-40B4-BE49-F238E27FC236}">
                <a16:creationId xmlns:a16="http://schemas.microsoft.com/office/drawing/2014/main" id="{90A14B20-F670-CC4D-A45A-1DA496F56CED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1242" name="Freeform 15">
              <a:extLst>
                <a:ext uri="{FF2B5EF4-FFF2-40B4-BE49-F238E27FC236}">
                  <a16:creationId xmlns:a16="http://schemas.microsoft.com/office/drawing/2014/main" id="{9C2DCD5C-9E56-7120-6C05-4D2AD590FD52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243" name="Freeform 16">
              <a:extLst>
                <a:ext uri="{FF2B5EF4-FFF2-40B4-BE49-F238E27FC236}">
                  <a16:creationId xmlns:a16="http://schemas.microsoft.com/office/drawing/2014/main" id="{4E9EB981-99F3-6098-ACA0-206D6270896E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244" name="Freeform 17">
              <a:extLst>
                <a:ext uri="{FF2B5EF4-FFF2-40B4-BE49-F238E27FC236}">
                  <a16:creationId xmlns:a16="http://schemas.microsoft.com/office/drawing/2014/main" id="{8011FC48-D436-6B49-6A85-078520253E6B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1241" name="Freeform 18">
            <a:extLst>
              <a:ext uri="{FF2B5EF4-FFF2-40B4-BE49-F238E27FC236}">
                <a16:creationId xmlns:a16="http://schemas.microsoft.com/office/drawing/2014/main" id="{B8E85096-47E7-1475-75A1-5D1D6012F42F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19</xdr:col>
      <xdr:colOff>127000</xdr:colOff>
      <xdr:row>165</xdr:row>
      <xdr:rowOff>88900</xdr:rowOff>
    </xdr:from>
    <xdr:to>
      <xdr:col>19</xdr:col>
      <xdr:colOff>1714500</xdr:colOff>
      <xdr:row>167</xdr:row>
      <xdr:rowOff>95250</xdr:rowOff>
    </xdr:to>
    <xdr:grpSp>
      <xdr:nvGrpSpPr>
        <xdr:cNvPr id="371222" name="Group 13">
          <a:extLst>
            <a:ext uri="{FF2B5EF4-FFF2-40B4-BE49-F238E27FC236}">
              <a16:creationId xmlns:a16="http://schemas.microsoft.com/office/drawing/2014/main" id="{72D275AB-BE5F-EF9E-12A3-2192DFB2D293}"/>
            </a:ext>
          </a:extLst>
        </xdr:cNvPr>
        <xdr:cNvGrpSpPr>
          <a:grpSpLocks/>
        </xdr:cNvGrpSpPr>
      </xdr:nvGrpSpPr>
      <xdr:grpSpPr bwMode="auto">
        <a:xfrm>
          <a:off x="9486900" y="25234900"/>
          <a:ext cx="1587500" cy="311150"/>
          <a:chOff x="3127" y="1104"/>
          <a:chExt cx="6450" cy="2006"/>
        </a:xfrm>
      </xdr:grpSpPr>
      <xdr:grpSp>
        <xdr:nvGrpSpPr>
          <xdr:cNvPr id="371235" name="Group 14">
            <a:extLst>
              <a:ext uri="{FF2B5EF4-FFF2-40B4-BE49-F238E27FC236}">
                <a16:creationId xmlns:a16="http://schemas.microsoft.com/office/drawing/2014/main" id="{3D78F8C3-0A2C-3984-7819-56BC8466C3D0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1237" name="Freeform 15">
              <a:extLst>
                <a:ext uri="{FF2B5EF4-FFF2-40B4-BE49-F238E27FC236}">
                  <a16:creationId xmlns:a16="http://schemas.microsoft.com/office/drawing/2014/main" id="{1A7D7A2C-15DE-5288-E36E-7F2DE1670484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238" name="Freeform 16">
              <a:extLst>
                <a:ext uri="{FF2B5EF4-FFF2-40B4-BE49-F238E27FC236}">
                  <a16:creationId xmlns:a16="http://schemas.microsoft.com/office/drawing/2014/main" id="{3655C8EC-C20F-A41F-6BC8-A2A4CD35F3CD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239" name="Freeform 17">
              <a:extLst>
                <a:ext uri="{FF2B5EF4-FFF2-40B4-BE49-F238E27FC236}">
                  <a16:creationId xmlns:a16="http://schemas.microsoft.com/office/drawing/2014/main" id="{206576C6-8AE1-52A7-5819-3E8C13CEBEE6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1236" name="Freeform 18">
            <a:extLst>
              <a:ext uri="{FF2B5EF4-FFF2-40B4-BE49-F238E27FC236}">
                <a16:creationId xmlns:a16="http://schemas.microsoft.com/office/drawing/2014/main" id="{F88DA3E8-0392-85D7-5360-C5340E93C909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19</xdr:col>
      <xdr:colOff>127000</xdr:colOff>
      <xdr:row>212</xdr:row>
      <xdr:rowOff>88900</xdr:rowOff>
    </xdr:from>
    <xdr:to>
      <xdr:col>19</xdr:col>
      <xdr:colOff>1714500</xdr:colOff>
      <xdr:row>214</xdr:row>
      <xdr:rowOff>95250</xdr:rowOff>
    </xdr:to>
    <xdr:grpSp>
      <xdr:nvGrpSpPr>
        <xdr:cNvPr id="371223" name="Group 13">
          <a:extLst>
            <a:ext uri="{FF2B5EF4-FFF2-40B4-BE49-F238E27FC236}">
              <a16:creationId xmlns:a16="http://schemas.microsoft.com/office/drawing/2014/main" id="{EE952BCD-7749-6FA4-CEAF-52F375A4FDB4}"/>
            </a:ext>
          </a:extLst>
        </xdr:cNvPr>
        <xdr:cNvGrpSpPr>
          <a:grpSpLocks/>
        </xdr:cNvGrpSpPr>
      </xdr:nvGrpSpPr>
      <xdr:grpSpPr bwMode="auto">
        <a:xfrm>
          <a:off x="9486900" y="32397700"/>
          <a:ext cx="1587500" cy="311150"/>
          <a:chOff x="3127" y="1104"/>
          <a:chExt cx="6450" cy="2006"/>
        </a:xfrm>
      </xdr:grpSpPr>
      <xdr:grpSp>
        <xdr:nvGrpSpPr>
          <xdr:cNvPr id="371230" name="Group 14">
            <a:extLst>
              <a:ext uri="{FF2B5EF4-FFF2-40B4-BE49-F238E27FC236}">
                <a16:creationId xmlns:a16="http://schemas.microsoft.com/office/drawing/2014/main" id="{FE731DC8-3304-8A59-8945-46B7725C5372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1232" name="Freeform 15">
              <a:extLst>
                <a:ext uri="{FF2B5EF4-FFF2-40B4-BE49-F238E27FC236}">
                  <a16:creationId xmlns:a16="http://schemas.microsoft.com/office/drawing/2014/main" id="{F0117575-5C21-64DE-B156-C6B274CE80B5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233" name="Freeform 16">
              <a:extLst>
                <a:ext uri="{FF2B5EF4-FFF2-40B4-BE49-F238E27FC236}">
                  <a16:creationId xmlns:a16="http://schemas.microsoft.com/office/drawing/2014/main" id="{B06B1513-8A8E-7C12-D81E-694111AFCF71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234" name="Freeform 17">
              <a:extLst>
                <a:ext uri="{FF2B5EF4-FFF2-40B4-BE49-F238E27FC236}">
                  <a16:creationId xmlns:a16="http://schemas.microsoft.com/office/drawing/2014/main" id="{EBB73002-DA69-A86D-0E58-FFAE386AB2A2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1231" name="Freeform 18">
            <a:extLst>
              <a:ext uri="{FF2B5EF4-FFF2-40B4-BE49-F238E27FC236}">
                <a16:creationId xmlns:a16="http://schemas.microsoft.com/office/drawing/2014/main" id="{6CF96AF5-2885-24D1-F935-C1B4702A5FEC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19</xdr:col>
      <xdr:colOff>127000</xdr:colOff>
      <xdr:row>259</xdr:row>
      <xdr:rowOff>88900</xdr:rowOff>
    </xdr:from>
    <xdr:to>
      <xdr:col>19</xdr:col>
      <xdr:colOff>1714500</xdr:colOff>
      <xdr:row>261</xdr:row>
      <xdr:rowOff>95250</xdr:rowOff>
    </xdr:to>
    <xdr:grpSp>
      <xdr:nvGrpSpPr>
        <xdr:cNvPr id="371224" name="Group 13">
          <a:extLst>
            <a:ext uri="{FF2B5EF4-FFF2-40B4-BE49-F238E27FC236}">
              <a16:creationId xmlns:a16="http://schemas.microsoft.com/office/drawing/2014/main" id="{1A1A7645-3A3C-9B87-A804-F64DD97B7D32}"/>
            </a:ext>
          </a:extLst>
        </xdr:cNvPr>
        <xdr:cNvGrpSpPr>
          <a:grpSpLocks/>
        </xdr:cNvGrpSpPr>
      </xdr:nvGrpSpPr>
      <xdr:grpSpPr bwMode="auto">
        <a:xfrm>
          <a:off x="9486900" y="39560500"/>
          <a:ext cx="1587500" cy="311150"/>
          <a:chOff x="3127" y="1104"/>
          <a:chExt cx="6450" cy="2006"/>
        </a:xfrm>
      </xdr:grpSpPr>
      <xdr:grpSp>
        <xdr:nvGrpSpPr>
          <xdr:cNvPr id="371225" name="Group 14">
            <a:extLst>
              <a:ext uri="{FF2B5EF4-FFF2-40B4-BE49-F238E27FC236}">
                <a16:creationId xmlns:a16="http://schemas.microsoft.com/office/drawing/2014/main" id="{5760E6FF-0EA5-42E7-6C28-B5D2A426F470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1227" name="Freeform 15">
              <a:extLst>
                <a:ext uri="{FF2B5EF4-FFF2-40B4-BE49-F238E27FC236}">
                  <a16:creationId xmlns:a16="http://schemas.microsoft.com/office/drawing/2014/main" id="{D2D96A31-1685-8666-103D-8CA6606EEC60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228" name="Freeform 16">
              <a:extLst>
                <a:ext uri="{FF2B5EF4-FFF2-40B4-BE49-F238E27FC236}">
                  <a16:creationId xmlns:a16="http://schemas.microsoft.com/office/drawing/2014/main" id="{837EE7FC-CB61-D534-65C7-76348C351EB1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229" name="Freeform 17">
              <a:extLst>
                <a:ext uri="{FF2B5EF4-FFF2-40B4-BE49-F238E27FC236}">
                  <a16:creationId xmlns:a16="http://schemas.microsoft.com/office/drawing/2014/main" id="{9C70F29F-8E87-B06C-D6D2-21E55286E519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1226" name="Freeform 18">
            <a:extLst>
              <a:ext uri="{FF2B5EF4-FFF2-40B4-BE49-F238E27FC236}">
                <a16:creationId xmlns:a16="http://schemas.microsoft.com/office/drawing/2014/main" id="{C6963B87-A843-A7E2-B201-800961BD1300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14</xdr:row>
          <xdr:rowOff>114300</xdr:rowOff>
        </xdr:from>
        <xdr:to>
          <xdr:col>15</xdr:col>
          <xdr:colOff>31750</xdr:colOff>
          <xdr:row>17</xdr:row>
          <xdr:rowOff>19050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F7EB8C0D-851A-5014-044A-A0BF9F9F2A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19050</xdr:colOff>
          <xdr:row>23</xdr:row>
          <xdr:rowOff>0</xdr:rowOff>
        </xdr:from>
        <xdr:to>
          <xdr:col>14</xdr:col>
          <xdr:colOff>101600</xdr:colOff>
          <xdr:row>25</xdr:row>
          <xdr:rowOff>12700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ED1CB7D0-469A-B292-D1A9-36A4FD7482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61</xdr:row>
          <xdr:rowOff>133350</xdr:rowOff>
        </xdr:from>
        <xdr:to>
          <xdr:col>14</xdr:col>
          <xdr:colOff>120650</xdr:colOff>
          <xdr:row>64</xdr:row>
          <xdr:rowOff>38100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AD29202D-5A53-AD9E-9AB4-5B3B2E0260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19050</xdr:colOff>
          <xdr:row>70</xdr:row>
          <xdr:rowOff>12700</xdr:rowOff>
        </xdr:from>
        <xdr:to>
          <xdr:col>14</xdr:col>
          <xdr:colOff>101600</xdr:colOff>
          <xdr:row>72</xdr:row>
          <xdr:rowOff>19050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84CF7636-8D6A-573D-3F68-6D873A31A7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108</xdr:row>
          <xdr:rowOff>133350</xdr:rowOff>
        </xdr:from>
        <xdr:to>
          <xdr:col>14</xdr:col>
          <xdr:colOff>120650</xdr:colOff>
          <xdr:row>111</xdr:row>
          <xdr:rowOff>38100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4CA9CF56-778F-2AFC-E386-029F12D888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19050</xdr:colOff>
          <xdr:row>117</xdr:row>
          <xdr:rowOff>0</xdr:rowOff>
        </xdr:from>
        <xdr:to>
          <xdr:col>14</xdr:col>
          <xdr:colOff>101600</xdr:colOff>
          <xdr:row>119</xdr:row>
          <xdr:rowOff>12700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1A25EF22-0756-C23D-6709-10431E6009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19050</xdr:colOff>
          <xdr:row>164</xdr:row>
          <xdr:rowOff>0</xdr:rowOff>
        </xdr:from>
        <xdr:to>
          <xdr:col>14</xdr:col>
          <xdr:colOff>101600</xdr:colOff>
          <xdr:row>166</xdr:row>
          <xdr:rowOff>12700</xdr:rowOff>
        </xdr:to>
        <xdr:sp macro="" textlink="">
          <xdr:nvSpPr>
            <xdr:cNvPr id="2056" name="Object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DB61DCAD-EFD2-AF73-E469-C3E7383A4E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19050</xdr:colOff>
          <xdr:row>211</xdr:row>
          <xdr:rowOff>0</xdr:rowOff>
        </xdr:from>
        <xdr:to>
          <xdr:col>14</xdr:col>
          <xdr:colOff>101600</xdr:colOff>
          <xdr:row>213</xdr:row>
          <xdr:rowOff>12700</xdr:rowOff>
        </xdr:to>
        <xdr:sp macro="" textlink="">
          <xdr:nvSpPr>
            <xdr:cNvPr id="2064" name="Object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A63BAE7B-8380-045C-5156-444F55ECDF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249</xdr:row>
          <xdr:rowOff>133350</xdr:rowOff>
        </xdr:from>
        <xdr:to>
          <xdr:col>14</xdr:col>
          <xdr:colOff>120650</xdr:colOff>
          <xdr:row>252</xdr:row>
          <xdr:rowOff>38100</xdr:rowOff>
        </xdr:to>
        <xdr:sp macro="" textlink="">
          <xdr:nvSpPr>
            <xdr:cNvPr id="14906" name="Object 1594" hidden="1">
              <a:extLst>
                <a:ext uri="{63B3BB69-23CF-44E3-9099-C40C66FF867C}">
                  <a14:compatExt spid="_x0000_s14906"/>
                </a:ext>
                <a:ext uri="{FF2B5EF4-FFF2-40B4-BE49-F238E27FC236}">
                  <a16:creationId xmlns:a16="http://schemas.microsoft.com/office/drawing/2014/main" id="{E9174BEB-6373-C170-DB14-125912393F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155</xdr:row>
          <xdr:rowOff>133350</xdr:rowOff>
        </xdr:from>
        <xdr:to>
          <xdr:col>14</xdr:col>
          <xdr:colOff>120650</xdr:colOff>
          <xdr:row>158</xdr:row>
          <xdr:rowOff>38100</xdr:rowOff>
        </xdr:to>
        <xdr:sp macro="" textlink="">
          <xdr:nvSpPr>
            <xdr:cNvPr id="78272" name="Object 13760" hidden="1">
              <a:extLst>
                <a:ext uri="{63B3BB69-23CF-44E3-9099-C40C66FF867C}">
                  <a14:compatExt spid="_x0000_s78272"/>
                </a:ext>
                <a:ext uri="{FF2B5EF4-FFF2-40B4-BE49-F238E27FC236}">
                  <a16:creationId xmlns:a16="http://schemas.microsoft.com/office/drawing/2014/main" id="{7A955691-7187-D8AF-C3F2-B0D7284D88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50800</xdr:colOff>
      <xdr:row>259</xdr:row>
      <xdr:rowOff>133350</xdr:rowOff>
    </xdr:from>
    <xdr:to>
      <xdr:col>19</xdr:col>
      <xdr:colOff>1676400</xdr:colOff>
      <xdr:row>261</xdr:row>
      <xdr:rowOff>146050</xdr:rowOff>
    </xdr:to>
    <xdr:grpSp>
      <xdr:nvGrpSpPr>
        <xdr:cNvPr id="369480" name="Group 64">
          <a:extLst>
            <a:ext uri="{FF2B5EF4-FFF2-40B4-BE49-F238E27FC236}">
              <a16:creationId xmlns:a16="http://schemas.microsoft.com/office/drawing/2014/main" id="{71D92A69-245E-48EE-4D0B-BBAD6F45ABE8}"/>
            </a:ext>
          </a:extLst>
        </xdr:cNvPr>
        <xdr:cNvGrpSpPr>
          <a:grpSpLocks/>
        </xdr:cNvGrpSpPr>
      </xdr:nvGrpSpPr>
      <xdr:grpSpPr bwMode="auto">
        <a:xfrm>
          <a:off x="9283700" y="39604950"/>
          <a:ext cx="1625600" cy="317500"/>
          <a:chOff x="3127" y="1104"/>
          <a:chExt cx="6450" cy="2006"/>
        </a:xfrm>
      </xdr:grpSpPr>
      <xdr:grpSp>
        <xdr:nvGrpSpPr>
          <xdr:cNvPr id="369513" name="Group 65">
            <a:extLst>
              <a:ext uri="{FF2B5EF4-FFF2-40B4-BE49-F238E27FC236}">
                <a16:creationId xmlns:a16="http://schemas.microsoft.com/office/drawing/2014/main" id="{1B8D21B5-9BC2-FD96-A5CE-3DA82263E6EF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69515" name="Freeform 66">
              <a:extLst>
                <a:ext uri="{FF2B5EF4-FFF2-40B4-BE49-F238E27FC236}">
                  <a16:creationId xmlns:a16="http://schemas.microsoft.com/office/drawing/2014/main" id="{0F4A18DD-9725-54C2-4E35-423FFE5B4FC6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69516" name="Freeform 67">
              <a:extLst>
                <a:ext uri="{FF2B5EF4-FFF2-40B4-BE49-F238E27FC236}">
                  <a16:creationId xmlns:a16="http://schemas.microsoft.com/office/drawing/2014/main" id="{60E8A912-EA1B-F244-1C4C-1C7F5DF1A7CB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69517" name="Freeform 68">
              <a:extLst>
                <a:ext uri="{FF2B5EF4-FFF2-40B4-BE49-F238E27FC236}">
                  <a16:creationId xmlns:a16="http://schemas.microsoft.com/office/drawing/2014/main" id="{1BC6950D-255D-600C-3F54-F0642330B1CD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69514" name="Freeform 69">
            <a:extLst>
              <a:ext uri="{FF2B5EF4-FFF2-40B4-BE49-F238E27FC236}">
                <a16:creationId xmlns:a16="http://schemas.microsoft.com/office/drawing/2014/main" id="{D8BED080-2D61-C4E9-12AC-C30D4CD13B3B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18</xdr:col>
      <xdr:colOff>184150</xdr:colOff>
      <xdr:row>212</xdr:row>
      <xdr:rowOff>107950</xdr:rowOff>
    </xdr:from>
    <xdr:to>
      <xdr:col>19</xdr:col>
      <xdr:colOff>1606550</xdr:colOff>
      <xdr:row>214</xdr:row>
      <xdr:rowOff>133350</xdr:rowOff>
    </xdr:to>
    <xdr:grpSp>
      <xdr:nvGrpSpPr>
        <xdr:cNvPr id="369481" name="Group 13">
          <a:extLst>
            <a:ext uri="{FF2B5EF4-FFF2-40B4-BE49-F238E27FC236}">
              <a16:creationId xmlns:a16="http://schemas.microsoft.com/office/drawing/2014/main" id="{A7538869-6FD5-55D1-9BC9-A75D26C83859}"/>
            </a:ext>
          </a:extLst>
        </xdr:cNvPr>
        <xdr:cNvGrpSpPr>
          <a:grpSpLocks/>
        </xdr:cNvGrpSpPr>
      </xdr:nvGrpSpPr>
      <xdr:grpSpPr bwMode="auto">
        <a:xfrm>
          <a:off x="9194800" y="32416750"/>
          <a:ext cx="1644650" cy="330200"/>
          <a:chOff x="3127" y="1104"/>
          <a:chExt cx="6450" cy="2006"/>
        </a:xfrm>
      </xdr:grpSpPr>
      <xdr:grpSp>
        <xdr:nvGrpSpPr>
          <xdr:cNvPr id="369508" name="Group 14">
            <a:extLst>
              <a:ext uri="{FF2B5EF4-FFF2-40B4-BE49-F238E27FC236}">
                <a16:creationId xmlns:a16="http://schemas.microsoft.com/office/drawing/2014/main" id="{553BAE6A-6A66-1E7D-2484-BBC999F4BAE2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69510" name="Freeform 15">
              <a:extLst>
                <a:ext uri="{FF2B5EF4-FFF2-40B4-BE49-F238E27FC236}">
                  <a16:creationId xmlns:a16="http://schemas.microsoft.com/office/drawing/2014/main" id="{D9BB3E8B-5EA0-7C00-3FEF-321145936897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69511" name="Freeform 16">
              <a:extLst>
                <a:ext uri="{FF2B5EF4-FFF2-40B4-BE49-F238E27FC236}">
                  <a16:creationId xmlns:a16="http://schemas.microsoft.com/office/drawing/2014/main" id="{3BBC4791-D26C-01AD-3B7F-2CC26ABBCE53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69512" name="Freeform 17">
              <a:extLst>
                <a:ext uri="{FF2B5EF4-FFF2-40B4-BE49-F238E27FC236}">
                  <a16:creationId xmlns:a16="http://schemas.microsoft.com/office/drawing/2014/main" id="{83B6952C-CF8E-B10B-102D-34A567F7EBE0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69509" name="Freeform 18">
            <a:extLst>
              <a:ext uri="{FF2B5EF4-FFF2-40B4-BE49-F238E27FC236}">
                <a16:creationId xmlns:a16="http://schemas.microsoft.com/office/drawing/2014/main" id="{3F7FDD0A-CEB2-DF07-512B-3C6578F30A27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19</xdr:col>
      <xdr:colOff>76200</xdr:colOff>
      <xdr:row>24</xdr:row>
      <xdr:rowOff>50800</xdr:rowOff>
    </xdr:from>
    <xdr:to>
      <xdr:col>19</xdr:col>
      <xdr:colOff>1549400</xdr:colOff>
      <xdr:row>26</xdr:row>
      <xdr:rowOff>57150</xdr:rowOff>
    </xdr:to>
    <xdr:grpSp>
      <xdr:nvGrpSpPr>
        <xdr:cNvPr id="369482" name="Group 13">
          <a:extLst>
            <a:ext uri="{FF2B5EF4-FFF2-40B4-BE49-F238E27FC236}">
              <a16:creationId xmlns:a16="http://schemas.microsoft.com/office/drawing/2014/main" id="{74120902-1CDF-ED2D-0DE9-B4942D0EBF78}"/>
            </a:ext>
          </a:extLst>
        </xdr:cNvPr>
        <xdr:cNvGrpSpPr>
          <a:grpSpLocks/>
        </xdr:cNvGrpSpPr>
      </xdr:nvGrpSpPr>
      <xdr:grpSpPr bwMode="auto">
        <a:xfrm>
          <a:off x="9309100" y="3708400"/>
          <a:ext cx="1473200" cy="311150"/>
          <a:chOff x="3127" y="1104"/>
          <a:chExt cx="6450" cy="2006"/>
        </a:xfrm>
      </xdr:grpSpPr>
      <xdr:grpSp>
        <xdr:nvGrpSpPr>
          <xdr:cNvPr id="369503" name="Group 14">
            <a:extLst>
              <a:ext uri="{FF2B5EF4-FFF2-40B4-BE49-F238E27FC236}">
                <a16:creationId xmlns:a16="http://schemas.microsoft.com/office/drawing/2014/main" id="{8A9A790E-D5F9-7372-4786-A4C0323CE83B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69505" name="Freeform 15">
              <a:extLst>
                <a:ext uri="{FF2B5EF4-FFF2-40B4-BE49-F238E27FC236}">
                  <a16:creationId xmlns:a16="http://schemas.microsoft.com/office/drawing/2014/main" id="{4580C464-FA7A-0622-9D93-59CE3C3076AB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69506" name="Freeform 16">
              <a:extLst>
                <a:ext uri="{FF2B5EF4-FFF2-40B4-BE49-F238E27FC236}">
                  <a16:creationId xmlns:a16="http://schemas.microsoft.com/office/drawing/2014/main" id="{ADE10E84-E4FF-0249-777A-A1C2A0CCA196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69507" name="Freeform 17">
              <a:extLst>
                <a:ext uri="{FF2B5EF4-FFF2-40B4-BE49-F238E27FC236}">
                  <a16:creationId xmlns:a16="http://schemas.microsoft.com/office/drawing/2014/main" id="{EBFFEDE2-3A5C-0273-D40F-89E22AF7F6CA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69504" name="Freeform 18">
            <a:extLst>
              <a:ext uri="{FF2B5EF4-FFF2-40B4-BE49-F238E27FC236}">
                <a16:creationId xmlns:a16="http://schemas.microsoft.com/office/drawing/2014/main" id="{56D0131F-AFE6-AC54-071E-B0677B3B657F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19</xdr:col>
      <xdr:colOff>69850</xdr:colOff>
      <xdr:row>71</xdr:row>
      <xdr:rowOff>146050</xdr:rowOff>
    </xdr:from>
    <xdr:to>
      <xdr:col>19</xdr:col>
      <xdr:colOff>1530350</xdr:colOff>
      <xdr:row>73</xdr:row>
      <xdr:rowOff>152400</xdr:rowOff>
    </xdr:to>
    <xdr:grpSp>
      <xdr:nvGrpSpPr>
        <xdr:cNvPr id="369483" name="Group 19">
          <a:extLst>
            <a:ext uri="{FF2B5EF4-FFF2-40B4-BE49-F238E27FC236}">
              <a16:creationId xmlns:a16="http://schemas.microsoft.com/office/drawing/2014/main" id="{126FFB6E-153F-A20A-373A-F9B1E49C474D}"/>
            </a:ext>
          </a:extLst>
        </xdr:cNvPr>
        <xdr:cNvGrpSpPr>
          <a:grpSpLocks/>
        </xdr:cNvGrpSpPr>
      </xdr:nvGrpSpPr>
      <xdr:grpSpPr bwMode="auto">
        <a:xfrm>
          <a:off x="9302750" y="10966450"/>
          <a:ext cx="1460500" cy="311150"/>
          <a:chOff x="3127" y="1104"/>
          <a:chExt cx="6450" cy="2006"/>
        </a:xfrm>
      </xdr:grpSpPr>
      <xdr:grpSp>
        <xdr:nvGrpSpPr>
          <xdr:cNvPr id="369498" name="Group 20">
            <a:extLst>
              <a:ext uri="{FF2B5EF4-FFF2-40B4-BE49-F238E27FC236}">
                <a16:creationId xmlns:a16="http://schemas.microsoft.com/office/drawing/2014/main" id="{03AB24CE-FE7E-EFDE-6A2D-18076D7D5F63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69500" name="Freeform 21">
              <a:extLst>
                <a:ext uri="{FF2B5EF4-FFF2-40B4-BE49-F238E27FC236}">
                  <a16:creationId xmlns:a16="http://schemas.microsoft.com/office/drawing/2014/main" id="{9BEB2867-591C-1E52-0F71-DCF79BF492EF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69501" name="Freeform 22">
              <a:extLst>
                <a:ext uri="{FF2B5EF4-FFF2-40B4-BE49-F238E27FC236}">
                  <a16:creationId xmlns:a16="http://schemas.microsoft.com/office/drawing/2014/main" id="{EA428375-D5B0-8CCF-0E31-E06869628575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69502" name="Freeform 23">
              <a:extLst>
                <a:ext uri="{FF2B5EF4-FFF2-40B4-BE49-F238E27FC236}">
                  <a16:creationId xmlns:a16="http://schemas.microsoft.com/office/drawing/2014/main" id="{C2F58D4B-8B8C-A4EB-53B9-E4C54633D405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69499" name="Freeform 24">
            <a:extLst>
              <a:ext uri="{FF2B5EF4-FFF2-40B4-BE49-F238E27FC236}">
                <a16:creationId xmlns:a16="http://schemas.microsoft.com/office/drawing/2014/main" id="{EA4DE20E-5B73-DD87-7C51-4911827B50D4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19</xdr:col>
      <xdr:colOff>76200</xdr:colOff>
      <xdr:row>166</xdr:row>
      <xdr:rowOff>0</xdr:rowOff>
    </xdr:from>
    <xdr:to>
      <xdr:col>19</xdr:col>
      <xdr:colOff>1663700</xdr:colOff>
      <xdr:row>168</xdr:row>
      <xdr:rowOff>12700</xdr:rowOff>
    </xdr:to>
    <xdr:grpSp>
      <xdr:nvGrpSpPr>
        <xdr:cNvPr id="369484" name="Group 25">
          <a:extLst>
            <a:ext uri="{FF2B5EF4-FFF2-40B4-BE49-F238E27FC236}">
              <a16:creationId xmlns:a16="http://schemas.microsoft.com/office/drawing/2014/main" id="{687E53D3-8CD8-8E00-4B99-C5807FF37B4C}"/>
            </a:ext>
          </a:extLst>
        </xdr:cNvPr>
        <xdr:cNvGrpSpPr>
          <a:grpSpLocks/>
        </xdr:cNvGrpSpPr>
      </xdr:nvGrpSpPr>
      <xdr:grpSpPr bwMode="auto">
        <a:xfrm>
          <a:off x="9309100" y="25298400"/>
          <a:ext cx="1587500" cy="317500"/>
          <a:chOff x="3127" y="1104"/>
          <a:chExt cx="6450" cy="2006"/>
        </a:xfrm>
      </xdr:grpSpPr>
      <xdr:grpSp>
        <xdr:nvGrpSpPr>
          <xdr:cNvPr id="369493" name="Group 26">
            <a:extLst>
              <a:ext uri="{FF2B5EF4-FFF2-40B4-BE49-F238E27FC236}">
                <a16:creationId xmlns:a16="http://schemas.microsoft.com/office/drawing/2014/main" id="{D594C8B8-AFB1-9204-8D2E-6B7AED83E087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69495" name="Freeform 27">
              <a:extLst>
                <a:ext uri="{FF2B5EF4-FFF2-40B4-BE49-F238E27FC236}">
                  <a16:creationId xmlns:a16="http://schemas.microsoft.com/office/drawing/2014/main" id="{114437CA-3B7E-03CF-69FD-64DA62288037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69496" name="Freeform 28">
              <a:extLst>
                <a:ext uri="{FF2B5EF4-FFF2-40B4-BE49-F238E27FC236}">
                  <a16:creationId xmlns:a16="http://schemas.microsoft.com/office/drawing/2014/main" id="{88750C11-5B51-ECE0-3E27-BB101C3745AB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69497" name="Freeform 29">
              <a:extLst>
                <a:ext uri="{FF2B5EF4-FFF2-40B4-BE49-F238E27FC236}">
                  <a16:creationId xmlns:a16="http://schemas.microsoft.com/office/drawing/2014/main" id="{B6FAC712-388F-0C85-8C4F-F738176A152D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69494" name="Freeform 30">
            <a:extLst>
              <a:ext uri="{FF2B5EF4-FFF2-40B4-BE49-F238E27FC236}">
                <a16:creationId xmlns:a16="http://schemas.microsoft.com/office/drawing/2014/main" id="{0EB08112-64F8-EA36-A2CB-6516EC7539AB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127000</xdr:colOff>
      <xdr:row>23</xdr:row>
      <xdr:rowOff>12700</xdr:rowOff>
    </xdr:from>
    <xdr:to>
      <xdr:col>14</xdr:col>
      <xdr:colOff>209550</xdr:colOff>
      <xdr:row>25</xdr:row>
      <xdr:rowOff>19050</xdr:rowOff>
    </xdr:to>
    <xdr:pic>
      <xdr:nvPicPr>
        <xdr:cNvPr id="369485" name="Picture 2">
          <a:extLst>
            <a:ext uri="{FF2B5EF4-FFF2-40B4-BE49-F238E27FC236}">
              <a16:creationId xmlns:a16="http://schemas.microsoft.com/office/drawing/2014/main" id="{5CF62CEA-B593-3017-040B-0F49A464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0450" y="3517900"/>
          <a:ext cx="224790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76200</xdr:colOff>
      <xdr:row>118</xdr:row>
      <xdr:rowOff>127000</xdr:rowOff>
    </xdr:from>
    <xdr:to>
      <xdr:col>19</xdr:col>
      <xdr:colOff>1536700</xdr:colOff>
      <xdr:row>120</xdr:row>
      <xdr:rowOff>133350</xdr:rowOff>
    </xdr:to>
    <xdr:grpSp>
      <xdr:nvGrpSpPr>
        <xdr:cNvPr id="369486" name="Group 19">
          <a:extLst>
            <a:ext uri="{FF2B5EF4-FFF2-40B4-BE49-F238E27FC236}">
              <a16:creationId xmlns:a16="http://schemas.microsoft.com/office/drawing/2014/main" id="{3520B0A3-C377-C07E-0B40-C619DB5B02EC}"/>
            </a:ext>
          </a:extLst>
        </xdr:cNvPr>
        <xdr:cNvGrpSpPr>
          <a:grpSpLocks/>
        </xdr:cNvGrpSpPr>
      </xdr:nvGrpSpPr>
      <xdr:grpSpPr bwMode="auto">
        <a:xfrm>
          <a:off x="9309100" y="18110200"/>
          <a:ext cx="1460500" cy="311150"/>
          <a:chOff x="3127" y="1104"/>
          <a:chExt cx="6450" cy="2006"/>
        </a:xfrm>
      </xdr:grpSpPr>
      <xdr:grpSp>
        <xdr:nvGrpSpPr>
          <xdr:cNvPr id="369488" name="Group 20">
            <a:extLst>
              <a:ext uri="{FF2B5EF4-FFF2-40B4-BE49-F238E27FC236}">
                <a16:creationId xmlns:a16="http://schemas.microsoft.com/office/drawing/2014/main" id="{ED3D1ACF-66F5-FBEB-5FCE-1082CC5E781E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69490" name="Freeform 21">
              <a:extLst>
                <a:ext uri="{FF2B5EF4-FFF2-40B4-BE49-F238E27FC236}">
                  <a16:creationId xmlns:a16="http://schemas.microsoft.com/office/drawing/2014/main" id="{528C7C03-4686-353F-263F-07A19A6D021D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69491" name="Freeform 22">
              <a:extLst>
                <a:ext uri="{FF2B5EF4-FFF2-40B4-BE49-F238E27FC236}">
                  <a16:creationId xmlns:a16="http://schemas.microsoft.com/office/drawing/2014/main" id="{5E2B9594-B8DB-62C9-32E3-254A6AE52CAC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69492" name="Freeform 23">
              <a:extLst>
                <a:ext uri="{FF2B5EF4-FFF2-40B4-BE49-F238E27FC236}">
                  <a16:creationId xmlns:a16="http://schemas.microsoft.com/office/drawing/2014/main" id="{42A23775-9FE0-350C-988F-5E462977D287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69489" name="Freeform 24">
            <a:extLst>
              <a:ext uri="{FF2B5EF4-FFF2-40B4-BE49-F238E27FC236}">
                <a16:creationId xmlns:a16="http://schemas.microsoft.com/office/drawing/2014/main" id="{FBC4C038-D80D-5A16-7347-23F10B1449D3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177800</xdr:colOff>
      <xdr:row>14</xdr:row>
      <xdr:rowOff>146050</xdr:rowOff>
    </xdr:from>
    <xdr:to>
      <xdr:col>15</xdr:col>
      <xdr:colOff>31750</xdr:colOff>
      <xdr:row>17</xdr:row>
      <xdr:rowOff>50800</xdr:rowOff>
    </xdr:to>
    <xdr:pic>
      <xdr:nvPicPr>
        <xdr:cNvPr id="369487" name="Picture 1">
          <a:extLst>
            <a:ext uri="{FF2B5EF4-FFF2-40B4-BE49-F238E27FC236}">
              <a16:creationId xmlns:a16="http://schemas.microsoft.com/office/drawing/2014/main" id="{6E5946AE-EF0E-1F16-7779-8B13595B4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0" y="2279650"/>
          <a:ext cx="2266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61</xdr:row>
          <xdr:rowOff>127000</xdr:rowOff>
        </xdr:from>
        <xdr:to>
          <xdr:col>14</xdr:col>
          <xdr:colOff>120650</xdr:colOff>
          <xdr:row>64</xdr:row>
          <xdr:rowOff>31750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191D3B4-2476-3F18-6E34-3B341AB86C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19050</xdr:colOff>
          <xdr:row>70</xdr:row>
          <xdr:rowOff>0</xdr:rowOff>
        </xdr:from>
        <xdr:to>
          <xdr:col>14</xdr:col>
          <xdr:colOff>101600</xdr:colOff>
          <xdr:row>72</xdr:row>
          <xdr:rowOff>12700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F731FC10-4398-1270-116F-F7722BEA34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108</xdr:row>
          <xdr:rowOff>127000</xdr:rowOff>
        </xdr:from>
        <xdr:to>
          <xdr:col>14</xdr:col>
          <xdr:colOff>120650</xdr:colOff>
          <xdr:row>111</xdr:row>
          <xdr:rowOff>31750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A503901F-B856-E5A8-7A62-29100645F0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19050</xdr:colOff>
          <xdr:row>117</xdr:row>
          <xdr:rowOff>0</xdr:rowOff>
        </xdr:from>
        <xdr:to>
          <xdr:col>14</xdr:col>
          <xdr:colOff>101600</xdr:colOff>
          <xdr:row>119</xdr:row>
          <xdr:rowOff>12700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802D0F53-0577-54B1-7B39-DF6560B26A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155</xdr:row>
          <xdr:rowOff>127000</xdr:rowOff>
        </xdr:from>
        <xdr:to>
          <xdr:col>14</xdr:col>
          <xdr:colOff>120650</xdr:colOff>
          <xdr:row>158</xdr:row>
          <xdr:rowOff>31750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7E617A07-27FE-DB71-82DB-404C2E42B9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19050</xdr:colOff>
          <xdr:row>164</xdr:row>
          <xdr:rowOff>0</xdr:rowOff>
        </xdr:from>
        <xdr:to>
          <xdr:col>14</xdr:col>
          <xdr:colOff>101600</xdr:colOff>
          <xdr:row>166</xdr:row>
          <xdr:rowOff>12700</xdr:rowOff>
        </xdr:to>
        <xdr:sp macro="" textlink="">
          <xdr:nvSpPr>
            <xdr:cNvPr id="3080" name="Object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2D8BBD05-0CF3-5A38-A231-83ED3448CC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202</xdr:row>
          <xdr:rowOff>114300</xdr:rowOff>
        </xdr:from>
        <xdr:to>
          <xdr:col>14</xdr:col>
          <xdr:colOff>120650</xdr:colOff>
          <xdr:row>205</xdr:row>
          <xdr:rowOff>19050</xdr:rowOff>
        </xdr:to>
        <xdr:sp macro="" textlink="">
          <xdr:nvSpPr>
            <xdr:cNvPr id="3087" name="Object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AD42529B-8E5B-BB52-03FA-722DAF330B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19050</xdr:colOff>
          <xdr:row>211</xdr:row>
          <xdr:rowOff>0</xdr:rowOff>
        </xdr:from>
        <xdr:to>
          <xdr:col>14</xdr:col>
          <xdr:colOff>101600</xdr:colOff>
          <xdr:row>213</xdr:row>
          <xdr:rowOff>12700</xdr:rowOff>
        </xdr:to>
        <xdr:sp macro="" textlink="">
          <xdr:nvSpPr>
            <xdr:cNvPr id="3088" name="Object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B6DEEDE5-C52C-12A2-42CD-1B23F822F6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249</xdr:row>
          <xdr:rowOff>127000</xdr:rowOff>
        </xdr:from>
        <xdr:to>
          <xdr:col>14</xdr:col>
          <xdr:colOff>120650</xdr:colOff>
          <xdr:row>252</xdr:row>
          <xdr:rowOff>31750</xdr:rowOff>
        </xdr:to>
        <xdr:sp macro="" textlink="">
          <xdr:nvSpPr>
            <xdr:cNvPr id="15930" name="Object 1594" hidden="1">
              <a:extLst>
                <a:ext uri="{63B3BB69-23CF-44E3-9099-C40C66FF867C}">
                  <a14:compatExt spid="_x0000_s15930"/>
                </a:ext>
                <a:ext uri="{FF2B5EF4-FFF2-40B4-BE49-F238E27FC236}">
                  <a16:creationId xmlns:a16="http://schemas.microsoft.com/office/drawing/2014/main" id="{FE21FB85-F449-9A29-662E-6C9F410A46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19050</xdr:colOff>
          <xdr:row>258</xdr:row>
          <xdr:rowOff>50800</xdr:rowOff>
        </xdr:from>
        <xdr:to>
          <xdr:col>14</xdr:col>
          <xdr:colOff>101600</xdr:colOff>
          <xdr:row>260</xdr:row>
          <xdr:rowOff>57150</xdr:rowOff>
        </xdr:to>
        <xdr:sp macro="" textlink="">
          <xdr:nvSpPr>
            <xdr:cNvPr id="15931" name="Object 1595" hidden="1">
              <a:extLst>
                <a:ext uri="{63B3BB69-23CF-44E3-9099-C40C66FF867C}">
                  <a14:compatExt spid="_x0000_s15931"/>
                </a:ext>
                <a:ext uri="{FF2B5EF4-FFF2-40B4-BE49-F238E27FC236}">
                  <a16:creationId xmlns:a16="http://schemas.microsoft.com/office/drawing/2014/main" id="{71C7E302-8B40-92E7-13A8-094FFE08FF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139700</xdr:colOff>
      <xdr:row>24</xdr:row>
      <xdr:rowOff>57150</xdr:rowOff>
    </xdr:from>
    <xdr:to>
      <xdr:col>19</xdr:col>
      <xdr:colOff>1727200</xdr:colOff>
      <xdr:row>26</xdr:row>
      <xdr:rowOff>69850</xdr:rowOff>
    </xdr:to>
    <xdr:grpSp>
      <xdr:nvGrpSpPr>
        <xdr:cNvPr id="370268" name="Group 13">
          <a:extLst>
            <a:ext uri="{FF2B5EF4-FFF2-40B4-BE49-F238E27FC236}">
              <a16:creationId xmlns:a16="http://schemas.microsoft.com/office/drawing/2014/main" id="{E530E138-5A7D-06E2-3003-79081B9A5912}"/>
            </a:ext>
          </a:extLst>
        </xdr:cNvPr>
        <xdr:cNvGrpSpPr>
          <a:grpSpLocks/>
        </xdr:cNvGrpSpPr>
      </xdr:nvGrpSpPr>
      <xdr:grpSpPr bwMode="auto">
        <a:xfrm>
          <a:off x="9842500" y="3714750"/>
          <a:ext cx="1587500" cy="317500"/>
          <a:chOff x="3127" y="1104"/>
          <a:chExt cx="6450" cy="2006"/>
        </a:xfrm>
      </xdr:grpSpPr>
      <xdr:grpSp>
        <xdr:nvGrpSpPr>
          <xdr:cNvPr id="370306" name="Group 14">
            <a:extLst>
              <a:ext uri="{FF2B5EF4-FFF2-40B4-BE49-F238E27FC236}">
                <a16:creationId xmlns:a16="http://schemas.microsoft.com/office/drawing/2014/main" id="{2E4B2F54-91A6-60E6-C4E7-89CEAD64DE16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0308" name="Freeform 15">
              <a:extLst>
                <a:ext uri="{FF2B5EF4-FFF2-40B4-BE49-F238E27FC236}">
                  <a16:creationId xmlns:a16="http://schemas.microsoft.com/office/drawing/2014/main" id="{F61BF1BB-E213-08FD-C288-243538BE92C2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0309" name="Freeform 16">
              <a:extLst>
                <a:ext uri="{FF2B5EF4-FFF2-40B4-BE49-F238E27FC236}">
                  <a16:creationId xmlns:a16="http://schemas.microsoft.com/office/drawing/2014/main" id="{6D0E4233-C5B2-189B-484B-8F5EB407E79A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0310" name="Freeform 17">
              <a:extLst>
                <a:ext uri="{FF2B5EF4-FFF2-40B4-BE49-F238E27FC236}">
                  <a16:creationId xmlns:a16="http://schemas.microsoft.com/office/drawing/2014/main" id="{8E089571-BB79-D9C3-D256-4441EBF4887D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0307" name="Freeform 18">
            <a:extLst>
              <a:ext uri="{FF2B5EF4-FFF2-40B4-BE49-F238E27FC236}">
                <a16:creationId xmlns:a16="http://schemas.microsoft.com/office/drawing/2014/main" id="{1A653007-F364-4189-6696-BA05246710A2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19</xdr:col>
      <xdr:colOff>107950</xdr:colOff>
      <xdr:row>71</xdr:row>
      <xdr:rowOff>38100</xdr:rowOff>
    </xdr:from>
    <xdr:to>
      <xdr:col>19</xdr:col>
      <xdr:colOff>1701800</xdr:colOff>
      <xdr:row>73</xdr:row>
      <xdr:rowOff>50800</xdr:rowOff>
    </xdr:to>
    <xdr:grpSp>
      <xdr:nvGrpSpPr>
        <xdr:cNvPr id="370269" name="Group 19">
          <a:extLst>
            <a:ext uri="{FF2B5EF4-FFF2-40B4-BE49-F238E27FC236}">
              <a16:creationId xmlns:a16="http://schemas.microsoft.com/office/drawing/2014/main" id="{D2442EF3-EECC-89ED-300D-B0B9539D6A08}"/>
            </a:ext>
          </a:extLst>
        </xdr:cNvPr>
        <xdr:cNvGrpSpPr>
          <a:grpSpLocks/>
        </xdr:cNvGrpSpPr>
      </xdr:nvGrpSpPr>
      <xdr:grpSpPr bwMode="auto">
        <a:xfrm>
          <a:off x="9810750" y="10858500"/>
          <a:ext cx="1593850" cy="317500"/>
          <a:chOff x="3127" y="1104"/>
          <a:chExt cx="6450" cy="2006"/>
        </a:xfrm>
      </xdr:grpSpPr>
      <xdr:grpSp>
        <xdr:nvGrpSpPr>
          <xdr:cNvPr id="370301" name="Group 20">
            <a:extLst>
              <a:ext uri="{FF2B5EF4-FFF2-40B4-BE49-F238E27FC236}">
                <a16:creationId xmlns:a16="http://schemas.microsoft.com/office/drawing/2014/main" id="{DD070428-AA54-423A-D098-B20E748E2ECC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0303" name="Freeform 21">
              <a:extLst>
                <a:ext uri="{FF2B5EF4-FFF2-40B4-BE49-F238E27FC236}">
                  <a16:creationId xmlns:a16="http://schemas.microsoft.com/office/drawing/2014/main" id="{8B107003-476F-F545-2049-EB5AE2432728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0304" name="Freeform 22">
              <a:extLst>
                <a:ext uri="{FF2B5EF4-FFF2-40B4-BE49-F238E27FC236}">
                  <a16:creationId xmlns:a16="http://schemas.microsoft.com/office/drawing/2014/main" id="{3B963E0B-92E4-A661-C4C3-1214F0DDBF89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0305" name="Freeform 23">
              <a:extLst>
                <a:ext uri="{FF2B5EF4-FFF2-40B4-BE49-F238E27FC236}">
                  <a16:creationId xmlns:a16="http://schemas.microsoft.com/office/drawing/2014/main" id="{3C04CE4D-1482-1745-02B0-26F0098278A2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0302" name="Freeform 24">
            <a:extLst>
              <a:ext uri="{FF2B5EF4-FFF2-40B4-BE49-F238E27FC236}">
                <a16:creationId xmlns:a16="http://schemas.microsoft.com/office/drawing/2014/main" id="{256F55D3-29D2-488A-3B1B-6073AAFA35A6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19</xdr:col>
      <xdr:colOff>190500</xdr:colOff>
      <xdr:row>165</xdr:row>
      <xdr:rowOff>95250</xdr:rowOff>
    </xdr:from>
    <xdr:to>
      <xdr:col>19</xdr:col>
      <xdr:colOff>1727200</xdr:colOff>
      <xdr:row>167</xdr:row>
      <xdr:rowOff>107950</xdr:rowOff>
    </xdr:to>
    <xdr:grpSp>
      <xdr:nvGrpSpPr>
        <xdr:cNvPr id="370270" name="Group 13">
          <a:extLst>
            <a:ext uri="{FF2B5EF4-FFF2-40B4-BE49-F238E27FC236}">
              <a16:creationId xmlns:a16="http://schemas.microsoft.com/office/drawing/2014/main" id="{47184EF9-2760-14CE-F10C-5D80FAE96CA1}"/>
            </a:ext>
          </a:extLst>
        </xdr:cNvPr>
        <xdr:cNvGrpSpPr>
          <a:grpSpLocks/>
        </xdr:cNvGrpSpPr>
      </xdr:nvGrpSpPr>
      <xdr:grpSpPr bwMode="auto">
        <a:xfrm>
          <a:off x="9893300" y="25241250"/>
          <a:ext cx="1536700" cy="317500"/>
          <a:chOff x="3127" y="1104"/>
          <a:chExt cx="6450" cy="2006"/>
        </a:xfrm>
      </xdr:grpSpPr>
      <xdr:grpSp>
        <xdr:nvGrpSpPr>
          <xdr:cNvPr id="370296" name="Group 14">
            <a:extLst>
              <a:ext uri="{FF2B5EF4-FFF2-40B4-BE49-F238E27FC236}">
                <a16:creationId xmlns:a16="http://schemas.microsoft.com/office/drawing/2014/main" id="{F260CD64-18D4-8501-218A-E4FA6564A0A5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0298" name="Freeform 15">
              <a:extLst>
                <a:ext uri="{FF2B5EF4-FFF2-40B4-BE49-F238E27FC236}">
                  <a16:creationId xmlns:a16="http://schemas.microsoft.com/office/drawing/2014/main" id="{1B7680FD-3FE7-B891-B1E1-48F8C8B5AAE5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0299" name="Freeform 16">
              <a:extLst>
                <a:ext uri="{FF2B5EF4-FFF2-40B4-BE49-F238E27FC236}">
                  <a16:creationId xmlns:a16="http://schemas.microsoft.com/office/drawing/2014/main" id="{A8F10A9E-433D-68C4-738F-23F165E6702B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0300" name="Freeform 17">
              <a:extLst>
                <a:ext uri="{FF2B5EF4-FFF2-40B4-BE49-F238E27FC236}">
                  <a16:creationId xmlns:a16="http://schemas.microsoft.com/office/drawing/2014/main" id="{3EE83E4F-0AEB-3440-AD01-5B28D390897A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0297" name="Freeform 18">
            <a:extLst>
              <a:ext uri="{FF2B5EF4-FFF2-40B4-BE49-F238E27FC236}">
                <a16:creationId xmlns:a16="http://schemas.microsoft.com/office/drawing/2014/main" id="{1690F8EF-8242-2271-58E8-085274B4487A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88900</xdr:colOff>
      <xdr:row>155</xdr:row>
      <xdr:rowOff>133350</xdr:rowOff>
    </xdr:from>
    <xdr:to>
      <xdr:col>14</xdr:col>
      <xdr:colOff>133350</xdr:colOff>
      <xdr:row>158</xdr:row>
      <xdr:rowOff>50800</xdr:rowOff>
    </xdr:to>
    <xdr:pic>
      <xdr:nvPicPr>
        <xdr:cNvPr id="370271" name="Picture 7">
          <a:extLst>
            <a:ext uri="{FF2B5EF4-FFF2-40B4-BE49-F238E27FC236}">
              <a16:creationId xmlns:a16="http://schemas.microsoft.com/office/drawing/2014/main" id="{EBD3E832-B2DC-85D8-5903-A3BA70452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8900" y="23755350"/>
          <a:ext cx="1930400" cy="374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107950</xdr:colOff>
      <xdr:row>250</xdr:row>
      <xdr:rowOff>57150</xdr:rowOff>
    </xdr:from>
    <xdr:to>
      <xdr:col>14</xdr:col>
      <xdr:colOff>279400</xdr:colOff>
      <xdr:row>252</xdr:row>
      <xdr:rowOff>127000</xdr:rowOff>
    </xdr:to>
    <xdr:pic>
      <xdr:nvPicPr>
        <xdr:cNvPr id="370272" name="Picture 15">
          <a:extLst>
            <a:ext uri="{FF2B5EF4-FFF2-40B4-BE49-F238E27FC236}">
              <a16:creationId xmlns:a16="http://schemas.microsoft.com/office/drawing/2014/main" id="{FC48260F-BBA9-0785-EFB5-1A04E4904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7950" y="38157150"/>
          <a:ext cx="2057400" cy="374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50800</xdr:colOff>
      <xdr:row>258</xdr:row>
      <xdr:rowOff>50800</xdr:rowOff>
    </xdr:from>
    <xdr:to>
      <xdr:col>14</xdr:col>
      <xdr:colOff>279400</xdr:colOff>
      <xdr:row>260</xdr:row>
      <xdr:rowOff>50800</xdr:rowOff>
    </xdr:to>
    <xdr:pic>
      <xdr:nvPicPr>
        <xdr:cNvPr id="370273" name="Picture 16">
          <a:extLst>
            <a:ext uri="{FF2B5EF4-FFF2-40B4-BE49-F238E27FC236}">
              <a16:creationId xmlns:a16="http://schemas.microsoft.com/office/drawing/2014/main" id="{6C9CD222-115E-8BE1-A8F3-E7C3CCBB9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0800" y="39370000"/>
          <a:ext cx="2114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190500</xdr:colOff>
      <xdr:row>118</xdr:row>
      <xdr:rowOff>69850</xdr:rowOff>
    </xdr:from>
    <xdr:to>
      <xdr:col>19</xdr:col>
      <xdr:colOff>1555750</xdr:colOff>
      <xdr:row>120</xdr:row>
      <xdr:rowOff>76200</xdr:rowOff>
    </xdr:to>
    <xdr:grpSp>
      <xdr:nvGrpSpPr>
        <xdr:cNvPr id="370274" name="Group 25">
          <a:extLst>
            <a:ext uri="{FF2B5EF4-FFF2-40B4-BE49-F238E27FC236}">
              <a16:creationId xmlns:a16="http://schemas.microsoft.com/office/drawing/2014/main" id="{67083F75-BB3F-9265-5325-842CE7D96970}"/>
            </a:ext>
          </a:extLst>
        </xdr:cNvPr>
        <xdr:cNvGrpSpPr>
          <a:grpSpLocks/>
        </xdr:cNvGrpSpPr>
      </xdr:nvGrpSpPr>
      <xdr:grpSpPr bwMode="auto">
        <a:xfrm>
          <a:off x="9893300" y="18053050"/>
          <a:ext cx="1365250" cy="311150"/>
          <a:chOff x="3127" y="1104"/>
          <a:chExt cx="6450" cy="2006"/>
        </a:xfrm>
      </xdr:grpSpPr>
      <xdr:grpSp>
        <xdr:nvGrpSpPr>
          <xdr:cNvPr id="370291" name="Group 26">
            <a:extLst>
              <a:ext uri="{FF2B5EF4-FFF2-40B4-BE49-F238E27FC236}">
                <a16:creationId xmlns:a16="http://schemas.microsoft.com/office/drawing/2014/main" id="{19D752F7-42E1-9624-2212-794A7E831C61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0293" name="Freeform 27">
              <a:extLst>
                <a:ext uri="{FF2B5EF4-FFF2-40B4-BE49-F238E27FC236}">
                  <a16:creationId xmlns:a16="http://schemas.microsoft.com/office/drawing/2014/main" id="{3DB77E5C-853A-BA29-934D-A4B7321D7A8C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0294" name="Freeform 28">
              <a:extLst>
                <a:ext uri="{FF2B5EF4-FFF2-40B4-BE49-F238E27FC236}">
                  <a16:creationId xmlns:a16="http://schemas.microsoft.com/office/drawing/2014/main" id="{0959853C-7A61-5C36-FAD1-62858ADBE754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0295" name="Freeform 29">
              <a:extLst>
                <a:ext uri="{FF2B5EF4-FFF2-40B4-BE49-F238E27FC236}">
                  <a16:creationId xmlns:a16="http://schemas.microsoft.com/office/drawing/2014/main" id="{59211B04-DA5F-6EC9-1B91-6F6A29C7AC35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0292" name="Freeform 30">
            <a:extLst>
              <a:ext uri="{FF2B5EF4-FFF2-40B4-BE49-F238E27FC236}">
                <a16:creationId xmlns:a16="http://schemas.microsoft.com/office/drawing/2014/main" id="{E10305F1-A0DB-693D-94FF-E2C110911E7A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19</xdr:col>
      <xdr:colOff>120650</xdr:colOff>
      <xdr:row>258</xdr:row>
      <xdr:rowOff>146050</xdr:rowOff>
    </xdr:from>
    <xdr:to>
      <xdr:col>19</xdr:col>
      <xdr:colOff>1631950</xdr:colOff>
      <xdr:row>261</xdr:row>
      <xdr:rowOff>0</xdr:rowOff>
    </xdr:to>
    <xdr:grpSp>
      <xdr:nvGrpSpPr>
        <xdr:cNvPr id="370275" name="Group 64">
          <a:extLst>
            <a:ext uri="{FF2B5EF4-FFF2-40B4-BE49-F238E27FC236}">
              <a16:creationId xmlns:a16="http://schemas.microsoft.com/office/drawing/2014/main" id="{D1D84318-0037-3BAC-3A2B-739BA9064EBA}"/>
            </a:ext>
          </a:extLst>
        </xdr:cNvPr>
        <xdr:cNvGrpSpPr>
          <a:grpSpLocks/>
        </xdr:cNvGrpSpPr>
      </xdr:nvGrpSpPr>
      <xdr:grpSpPr bwMode="auto">
        <a:xfrm>
          <a:off x="9823450" y="39465250"/>
          <a:ext cx="1511300" cy="311150"/>
          <a:chOff x="3127" y="1104"/>
          <a:chExt cx="6450" cy="2006"/>
        </a:xfrm>
      </xdr:grpSpPr>
      <xdr:grpSp>
        <xdr:nvGrpSpPr>
          <xdr:cNvPr id="370286" name="Group 65">
            <a:extLst>
              <a:ext uri="{FF2B5EF4-FFF2-40B4-BE49-F238E27FC236}">
                <a16:creationId xmlns:a16="http://schemas.microsoft.com/office/drawing/2014/main" id="{47DF26F5-1D11-8B0F-D3CC-627096D40359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0288" name="Freeform 66">
              <a:extLst>
                <a:ext uri="{FF2B5EF4-FFF2-40B4-BE49-F238E27FC236}">
                  <a16:creationId xmlns:a16="http://schemas.microsoft.com/office/drawing/2014/main" id="{C556A49B-9B14-9AA8-A5AD-786FB2C4640E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0289" name="Freeform 67">
              <a:extLst>
                <a:ext uri="{FF2B5EF4-FFF2-40B4-BE49-F238E27FC236}">
                  <a16:creationId xmlns:a16="http://schemas.microsoft.com/office/drawing/2014/main" id="{3B0EFC39-3943-7214-8031-F6B9DE20B147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0290" name="Freeform 68">
              <a:extLst>
                <a:ext uri="{FF2B5EF4-FFF2-40B4-BE49-F238E27FC236}">
                  <a16:creationId xmlns:a16="http://schemas.microsoft.com/office/drawing/2014/main" id="{8FD06924-8818-8A72-E9FD-D3F7B003604D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0287" name="Freeform 69">
            <a:extLst>
              <a:ext uri="{FF2B5EF4-FFF2-40B4-BE49-F238E27FC236}">
                <a16:creationId xmlns:a16="http://schemas.microsoft.com/office/drawing/2014/main" id="{FCFAAAAA-DDA8-8AE2-1AB9-D82E19CCA5E5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139700</xdr:colOff>
      <xdr:row>23</xdr:row>
      <xdr:rowOff>38100</xdr:rowOff>
    </xdr:from>
    <xdr:to>
      <xdr:col>14</xdr:col>
      <xdr:colOff>298450</xdr:colOff>
      <xdr:row>25</xdr:row>
      <xdr:rowOff>50800</xdr:rowOff>
    </xdr:to>
    <xdr:pic>
      <xdr:nvPicPr>
        <xdr:cNvPr id="370276" name="Picture 2">
          <a:extLst>
            <a:ext uri="{FF2B5EF4-FFF2-40B4-BE49-F238E27FC236}">
              <a16:creationId xmlns:a16="http://schemas.microsoft.com/office/drawing/2014/main" id="{C6D281A0-DA41-D03F-8CE3-3F451E130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543300"/>
          <a:ext cx="204470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577850</xdr:colOff>
      <xdr:row>62</xdr:row>
      <xdr:rowOff>50800</xdr:rowOff>
    </xdr:from>
    <xdr:to>
      <xdr:col>14</xdr:col>
      <xdr:colOff>82550</xdr:colOff>
      <xdr:row>64</xdr:row>
      <xdr:rowOff>107950</xdr:rowOff>
    </xdr:to>
    <xdr:pic>
      <xdr:nvPicPr>
        <xdr:cNvPr id="370277" name="Picture 3">
          <a:extLst>
            <a:ext uri="{FF2B5EF4-FFF2-40B4-BE49-F238E27FC236}">
              <a16:creationId xmlns:a16="http://schemas.microsoft.com/office/drawing/2014/main" id="{35C33FA2-A99C-9D9D-E915-A235D21E0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9499600"/>
          <a:ext cx="19812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171450</xdr:colOff>
      <xdr:row>203</xdr:row>
      <xdr:rowOff>31750</xdr:rowOff>
    </xdr:from>
    <xdr:to>
      <xdr:col>14</xdr:col>
      <xdr:colOff>279400</xdr:colOff>
      <xdr:row>205</xdr:row>
      <xdr:rowOff>76200</xdr:rowOff>
    </xdr:to>
    <xdr:pic>
      <xdr:nvPicPr>
        <xdr:cNvPr id="370278" name="Picture 2657">
          <a:extLst>
            <a:ext uri="{FF2B5EF4-FFF2-40B4-BE49-F238E27FC236}">
              <a16:creationId xmlns:a16="http://schemas.microsoft.com/office/drawing/2014/main" id="{9F447FF1-DAEF-651E-0D7F-EF66F2D82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1450" y="30968950"/>
          <a:ext cx="1993900" cy="34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539750</xdr:colOff>
      <xdr:row>211</xdr:row>
      <xdr:rowOff>57150</xdr:rowOff>
    </xdr:from>
    <xdr:to>
      <xdr:col>14</xdr:col>
      <xdr:colOff>82550</xdr:colOff>
      <xdr:row>213</xdr:row>
      <xdr:rowOff>69850</xdr:rowOff>
    </xdr:to>
    <xdr:pic>
      <xdr:nvPicPr>
        <xdr:cNvPr id="370279" name="Picture 2658">
          <a:extLst>
            <a:ext uri="{FF2B5EF4-FFF2-40B4-BE49-F238E27FC236}">
              <a16:creationId xmlns:a16="http://schemas.microsoft.com/office/drawing/2014/main" id="{6DB132D3-37C6-4654-4297-A998812EB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2213550"/>
          <a:ext cx="201930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127000</xdr:colOff>
      <xdr:row>212</xdr:row>
      <xdr:rowOff>127000</xdr:rowOff>
    </xdr:from>
    <xdr:to>
      <xdr:col>19</xdr:col>
      <xdr:colOff>1644650</xdr:colOff>
      <xdr:row>214</xdr:row>
      <xdr:rowOff>133350</xdr:rowOff>
    </xdr:to>
    <xdr:grpSp>
      <xdr:nvGrpSpPr>
        <xdr:cNvPr id="370280" name="Group 64">
          <a:extLst>
            <a:ext uri="{FF2B5EF4-FFF2-40B4-BE49-F238E27FC236}">
              <a16:creationId xmlns:a16="http://schemas.microsoft.com/office/drawing/2014/main" id="{5A8484E4-7509-B1D9-3C67-DCF90DF58305}"/>
            </a:ext>
          </a:extLst>
        </xdr:cNvPr>
        <xdr:cNvGrpSpPr>
          <a:grpSpLocks/>
        </xdr:cNvGrpSpPr>
      </xdr:nvGrpSpPr>
      <xdr:grpSpPr bwMode="auto">
        <a:xfrm>
          <a:off x="9829800" y="32435800"/>
          <a:ext cx="1517650" cy="311150"/>
          <a:chOff x="3127" y="1104"/>
          <a:chExt cx="6450" cy="2006"/>
        </a:xfrm>
      </xdr:grpSpPr>
      <xdr:grpSp>
        <xdr:nvGrpSpPr>
          <xdr:cNvPr id="370281" name="Group 65">
            <a:extLst>
              <a:ext uri="{FF2B5EF4-FFF2-40B4-BE49-F238E27FC236}">
                <a16:creationId xmlns:a16="http://schemas.microsoft.com/office/drawing/2014/main" id="{33519103-895B-7F24-BB65-241EDB23C82D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0283" name="Freeform 66">
              <a:extLst>
                <a:ext uri="{FF2B5EF4-FFF2-40B4-BE49-F238E27FC236}">
                  <a16:creationId xmlns:a16="http://schemas.microsoft.com/office/drawing/2014/main" id="{EF92BA3F-7C9E-25AE-BBE2-9DC629DDEC83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0284" name="Freeform 67">
              <a:extLst>
                <a:ext uri="{FF2B5EF4-FFF2-40B4-BE49-F238E27FC236}">
                  <a16:creationId xmlns:a16="http://schemas.microsoft.com/office/drawing/2014/main" id="{D2E27A74-384D-7A6A-97C1-B823CA99F073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0285" name="Freeform 68">
              <a:extLst>
                <a:ext uri="{FF2B5EF4-FFF2-40B4-BE49-F238E27FC236}">
                  <a16:creationId xmlns:a16="http://schemas.microsoft.com/office/drawing/2014/main" id="{16AF03F5-94B5-85CF-DE0B-3C7481E469C0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0282" name="Freeform 69">
            <a:extLst>
              <a:ext uri="{FF2B5EF4-FFF2-40B4-BE49-F238E27FC236}">
                <a16:creationId xmlns:a16="http://schemas.microsoft.com/office/drawing/2014/main" id="{120F6560-415F-04C2-EBA6-B52138E6C6CA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12700</xdr:colOff>
          <xdr:row>108</xdr:row>
          <xdr:rowOff>133350</xdr:rowOff>
        </xdr:from>
        <xdr:to>
          <xdr:col>14</xdr:col>
          <xdr:colOff>450850</xdr:colOff>
          <xdr:row>111</xdr:row>
          <xdr:rowOff>38100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93B12BC4-D16E-2FD5-A726-9A807F06C7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19050</xdr:colOff>
          <xdr:row>117</xdr:row>
          <xdr:rowOff>0</xdr:rowOff>
        </xdr:from>
        <xdr:to>
          <xdr:col>14</xdr:col>
          <xdr:colOff>463550</xdr:colOff>
          <xdr:row>119</xdr:row>
          <xdr:rowOff>12700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65CF87F1-B788-59A3-5E4D-542846DC2A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577850</xdr:colOff>
          <xdr:row>164</xdr:row>
          <xdr:rowOff>12700</xdr:rowOff>
        </xdr:from>
        <xdr:to>
          <xdr:col>14</xdr:col>
          <xdr:colOff>539750</xdr:colOff>
          <xdr:row>166</xdr:row>
          <xdr:rowOff>19050</xdr:rowOff>
        </xdr:to>
        <xdr:sp macro="" textlink="">
          <xdr:nvSpPr>
            <xdr:cNvPr id="4104" name="Object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31D4281B-794B-E8B8-AB3D-A69640A6D5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82550</xdr:colOff>
          <xdr:row>15</xdr:row>
          <xdr:rowOff>12700</xdr:rowOff>
        </xdr:from>
        <xdr:to>
          <xdr:col>15</xdr:col>
          <xdr:colOff>0</xdr:colOff>
          <xdr:row>17</xdr:row>
          <xdr:rowOff>69850</xdr:rowOff>
        </xdr:to>
        <xdr:sp macro="" textlink="">
          <xdr:nvSpPr>
            <xdr:cNvPr id="9182" name="Object 2014" hidden="1">
              <a:extLst>
                <a:ext uri="{63B3BB69-23CF-44E3-9099-C40C66FF867C}">
                  <a14:compatExt spid="_x0000_s9182"/>
                </a:ext>
                <a:ext uri="{FF2B5EF4-FFF2-40B4-BE49-F238E27FC236}">
                  <a16:creationId xmlns:a16="http://schemas.microsoft.com/office/drawing/2014/main" id="{130157E5-D5A9-3C9F-6EA0-B62C446932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19050</xdr:colOff>
          <xdr:row>70</xdr:row>
          <xdr:rowOff>57150</xdr:rowOff>
        </xdr:from>
        <xdr:to>
          <xdr:col>14</xdr:col>
          <xdr:colOff>463550</xdr:colOff>
          <xdr:row>72</xdr:row>
          <xdr:rowOff>69850</xdr:rowOff>
        </xdr:to>
        <xdr:sp macro="" textlink="">
          <xdr:nvSpPr>
            <xdr:cNvPr id="31977" name="Object 6377" hidden="1">
              <a:extLst>
                <a:ext uri="{63B3BB69-23CF-44E3-9099-C40C66FF867C}">
                  <a14:compatExt spid="_x0000_s31977"/>
                </a:ext>
                <a:ext uri="{FF2B5EF4-FFF2-40B4-BE49-F238E27FC236}">
                  <a16:creationId xmlns:a16="http://schemas.microsoft.com/office/drawing/2014/main" id="{9CB12CBA-C1D8-E8FE-258E-2223380407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508000</xdr:colOff>
      <xdr:row>11</xdr:row>
      <xdr:rowOff>95250</xdr:rowOff>
    </xdr:from>
    <xdr:to>
      <xdr:col>19</xdr:col>
      <xdr:colOff>304800</xdr:colOff>
      <xdr:row>13</xdr:row>
      <xdr:rowOff>57150</xdr:rowOff>
    </xdr:to>
    <xdr:grpSp>
      <xdr:nvGrpSpPr>
        <xdr:cNvPr id="371950" name="Group 64">
          <a:extLst>
            <a:ext uri="{FF2B5EF4-FFF2-40B4-BE49-F238E27FC236}">
              <a16:creationId xmlns:a16="http://schemas.microsoft.com/office/drawing/2014/main" id="{F40114E2-7BFF-B22D-63DF-9A328A523C41}"/>
            </a:ext>
          </a:extLst>
        </xdr:cNvPr>
        <xdr:cNvGrpSpPr>
          <a:grpSpLocks/>
        </xdr:cNvGrpSpPr>
      </xdr:nvGrpSpPr>
      <xdr:grpSpPr bwMode="auto">
        <a:xfrm>
          <a:off x="6493809" y="1636059"/>
          <a:ext cx="1020109" cy="242047"/>
          <a:chOff x="3127" y="1104"/>
          <a:chExt cx="6450" cy="2006"/>
        </a:xfrm>
      </xdr:grpSpPr>
      <xdr:grpSp>
        <xdr:nvGrpSpPr>
          <xdr:cNvPr id="371975" name="Group 65">
            <a:extLst>
              <a:ext uri="{FF2B5EF4-FFF2-40B4-BE49-F238E27FC236}">
                <a16:creationId xmlns:a16="http://schemas.microsoft.com/office/drawing/2014/main" id="{75EB92AF-DEED-6C2C-7C66-423AE4513940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1977" name="Freeform 66">
              <a:extLst>
                <a:ext uri="{FF2B5EF4-FFF2-40B4-BE49-F238E27FC236}">
                  <a16:creationId xmlns:a16="http://schemas.microsoft.com/office/drawing/2014/main" id="{E4181FAF-9889-38A5-9C46-8F2A22918AB3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978" name="Freeform 67">
              <a:extLst>
                <a:ext uri="{FF2B5EF4-FFF2-40B4-BE49-F238E27FC236}">
                  <a16:creationId xmlns:a16="http://schemas.microsoft.com/office/drawing/2014/main" id="{F9DFCC09-818F-6F31-411F-0F43A48508A7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979" name="Freeform 68">
              <a:extLst>
                <a:ext uri="{FF2B5EF4-FFF2-40B4-BE49-F238E27FC236}">
                  <a16:creationId xmlns:a16="http://schemas.microsoft.com/office/drawing/2014/main" id="{08328645-E37D-0B79-94C7-678F3E75A50B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1976" name="Freeform 69">
            <a:extLst>
              <a:ext uri="{FF2B5EF4-FFF2-40B4-BE49-F238E27FC236}">
                <a16:creationId xmlns:a16="http://schemas.microsoft.com/office/drawing/2014/main" id="{268759B9-34C9-B1E5-23F7-E4167D3790AD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17</xdr:col>
      <xdr:colOff>508000</xdr:colOff>
      <xdr:row>60</xdr:row>
      <xdr:rowOff>95250</xdr:rowOff>
    </xdr:from>
    <xdr:to>
      <xdr:col>19</xdr:col>
      <xdr:colOff>304800</xdr:colOff>
      <xdr:row>62</xdr:row>
      <xdr:rowOff>57150</xdr:rowOff>
    </xdr:to>
    <xdr:grpSp>
      <xdr:nvGrpSpPr>
        <xdr:cNvPr id="371951" name="Group 64">
          <a:extLst>
            <a:ext uri="{FF2B5EF4-FFF2-40B4-BE49-F238E27FC236}">
              <a16:creationId xmlns:a16="http://schemas.microsoft.com/office/drawing/2014/main" id="{D2B2E0A3-B1DA-E30B-9C9D-A76BC607369C}"/>
            </a:ext>
          </a:extLst>
        </xdr:cNvPr>
        <xdr:cNvGrpSpPr>
          <a:grpSpLocks/>
        </xdr:cNvGrpSpPr>
      </xdr:nvGrpSpPr>
      <xdr:grpSpPr bwMode="auto">
        <a:xfrm>
          <a:off x="6493809" y="8499662"/>
          <a:ext cx="1020109" cy="242047"/>
          <a:chOff x="3127" y="1104"/>
          <a:chExt cx="6450" cy="2006"/>
        </a:xfrm>
      </xdr:grpSpPr>
      <xdr:grpSp>
        <xdr:nvGrpSpPr>
          <xdr:cNvPr id="371970" name="Group 65">
            <a:extLst>
              <a:ext uri="{FF2B5EF4-FFF2-40B4-BE49-F238E27FC236}">
                <a16:creationId xmlns:a16="http://schemas.microsoft.com/office/drawing/2014/main" id="{E641619F-5FDB-AE5C-E4BC-C52EB0445EC6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1972" name="Freeform 66">
              <a:extLst>
                <a:ext uri="{FF2B5EF4-FFF2-40B4-BE49-F238E27FC236}">
                  <a16:creationId xmlns:a16="http://schemas.microsoft.com/office/drawing/2014/main" id="{D5E29F40-921F-CE46-11CE-2CFE0123BD49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973" name="Freeform 67">
              <a:extLst>
                <a:ext uri="{FF2B5EF4-FFF2-40B4-BE49-F238E27FC236}">
                  <a16:creationId xmlns:a16="http://schemas.microsoft.com/office/drawing/2014/main" id="{C3B6C7E0-EFFB-04C3-716E-5F659B94B08D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974" name="Freeform 68">
              <a:extLst>
                <a:ext uri="{FF2B5EF4-FFF2-40B4-BE49-F238E27FC236}">
                  <a16:creationId xmlns:a16="http://schemas.microsoft.com/office/drawing/2014/main" id="{3578345C-5305-0200-9F47-DBEE3266E446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1971" name="Freeform 69">
            <a:extLst>
              <a:ext uri="{FF2B5EF4-FFF2-40B4-BE49-F238E27FC236}">
                <a16:creationId xmlns:a16="http://schemas.microsoft.com/office/drawing/2014/main" id="{0E8FE872-5308-8624-0A98-A3500B507CED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17</xdr:col>
      <xdr:colOff>508000</xdr:colOff>
      <xdr:row>109</xdr:row>
      <xdr:rowOff>95250</xdr:rowOff>
    </xdr:from>
    <xdr:to>
      <xdr:col>19</xdr:col>
      <xdr:colOff>304800</xdr:colOff>
      <xdr:row>111</xdr:row>
      <xdr:rowOff>57150</xdr:rowOff>
    </xdr:to>
    <xdr:grpSp>
      <xdr:nvGrpSpPr>
        <xdr:cNvPr id="371952" name="Group 64">
          <a:extLst>
            <a:ext uri="{FF2B5EF4-FFF2-40B4-BE49-F238E27FC236}">
              <a16:creationId xmlns:a16="http://schemas.microsoft.com/office/drawing/2014/main" id="{B4757993-E542-90D0-B765-9C29AA9343FF}"/>
            </a:ext>
          </a:extLst>
        </xdr:cNvPr>
        <xdr:cNvGrpSpPr>
          <a:grpSpLocks/>
        </xdr:cNvGrpSpPr>
      </xdr:nvGrpSpPr>
      <xdr:grpSpPr bwMode="auto">
        <a:xfrm>
          <a:off x="6493809" y="15363265"/>
          <a:ext cx="1020109" cy="242047"/>
          <a:chOff x="3127" y="1104"/>
          <a:chExt cx="6450" cy="2006"/>
        </a:xfrm>
      </xdr:grpSpPr>
      <xdr:grpSp>
        <xdr:nvGrpSpPr>
          <xdr:cNvPr id="371965" name="Group 65">
            <a:extLst>
              <a:ext uri="{FF2B5EF4-FFF2-40B4-BE49-F238E27FC236}">
                <a16:creationId xmlns:a16="http://schemas.microsoft.com/office/drawing/2014/main" id="{1D416CF2-94B2-E86A-4A0A-1B0202C526B6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1967" name="Freeform 66">
              <a:extLst>
                <a:ext uri="{FF2B5EF4-FFF2-40B4-BE49-F238E27FC236}">
                  <a16:creationId xmlns:a16="http://schemas.microsoft.com/office/drawing/2014/main" id="{8045FAB9-C85A-042B-88B0-507326934525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968" name="Freeform 67">
              <a:extLst>
                <a:ext uri="{FF2B5EF4-FFF2-40B4-BE49-F238E27FC236}">
                  <a16:creationId xmlns:a16="http://schemas.microsoft.com/office/drawing/2014/main" id="{8E428BE1-C2F4-7B4F-80A1-9BE032D80A16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969" name="Freeform 68">
              <a:extLst>
                <a:ext uri="{FF2B5EF4-FFF2-40B4-BE49-F238E27FC236}">
                  <a16:creationId xmlns:a16="http://schemas.microsoft.com/office/drawing/2014/main" id="{EB0A8940-7F60-86BE-E9F2-04A96EA0D80A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1966" name="Freeform 69">
            <a:extLst>
              <a:ext uri="{FF2B5EF4-FFF2-40B4-BE49-F238E27FC236}">
                <a16:creationId xmlns:a16="http://schemas.microsoft.com/office/drawing/2014/main" id="{2C23EFAC-E6F0-DCE7-9B21-F90440C7E815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17</xdr:col>
      <xdr:colOff>508000</xdr:colOff>
      <xdr:row>158</xdr:row>
      <xdr:rowOff>95250</xdr:rowOff>
    </xdr:from>
    <xdr:to>
      <xdr:col>19</xdr:col>
      <xdr:colOff>304800</xdr:colOff>
      <xdr:row>160</xdr:row>
      <xdr:rowOff>57150</xdr:rowOff>
    </xdr:to>
    <xdr:grpSp>
      <xdr:nvGrpSpPr>
        <xdr:cNvPr id="371953" name="Group 64">
          <a:extLst>
            <a:ext uri="{FF2B5EF4-FFF2-40B4-BE49-F238E27FC236}">
              <a16:creationId xmlns:a16="http://schemas.microsoft.com/office/drawing/2014/main" id="{07AFD103-8EEF-C426-B280-D07CA82881B2}"/>
            </a:ext>
          </a:extLst>
        </xdr:cNvPr>
        <xdr:cNvGrpSpPr>
          <a:grpSpLocks/>
        </xdr:cNvGrpSpPr>
      </xdr:nvGrpSpPr>
      <xdr:grpSpPr bwMode="auto">
        <a:xfrm>
          <a:off x="6493809" y="22226868"/>
          <a:ext cx="1020109" cy="242047"/>
          <a:chOff x="3127" y="1104"/>
          <a:chExt cx="6450" cy="2006"/>
        </a:xfrm>
      </xdr:grpSpPr>
      <xdr:grpSp>
        <xdr:nvGrpSpPr>
          <xdr:cNvPr id="371960" name="Group 65">
            <a:extLst>
              <a:ext uri="{FF2B5EF4-FFF2-40B4-BE49-F238E27FC236}">
                <a16:creationId xmlns:a16="http://schemas.microsoft.com/office/drawing/2014/main" id="{130389A1-8F7A-1817-1E1D-9AB8B494CB43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1962" name="Freeform 66">
              <a:extLst>
                <a:ext uri="{FF2B5EF4-FFF2-40B4-BE49-F238E27FC236}">
                  <a16:creationId xmlns:a16="http://schemas.microsoft.com/office/drawing/2014/main" id="{1F61DA5B-858C-928C-38CB-3A169FCC8664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963" name="Freeform 67">
              <a:extLst>
                <a:ext uri="{FF2B5EF4-FFF2-40B4-BE49-F238E27FC236}">
                  <a16:creationId xmlns:a16="http://schemas.microsoft.com/office/drawing/2014/main" id="{5B5B6208-0B7D-A39B-3320-47DFFD0DF021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964" name="Freeform 68">
              <a:extLst>
                <a:ext uri="{FF2B5EF4-FFF2-40B4-BE49-F238E27FC236}">
                  <a16:creationId xmlns:a16="http://schemas.microsoft.com/office/drawing/2014/main" id="{A63991B1-D0DC-3C36-6C01-AC65FD1A6416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1961" name="Freeform 69">
            <a:extLst>
              <a:ext uri="{FF2B5EF4-FFF2-40B4-BE49-F238E27FC236}">
                <a16:creationId xmlns:a16="http://schemas.microsoft.com/office/drawing/2014/main" id="{04FF12A3-986E-CA42-0022-1BF4D257603D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17</xdr:col>
      <xdr:colOff>508000</xdr:colOff>
      <xdr:row>207</xdr:row>
      <xdr:rowOff>95250</xdr:rowOff>
    </xdr:from>
    <xdr:to>
      <xdr:col>19</xdr:col>
      <xdr:colOff>304800</xdr:colOff>
      <xdr:row>209</xdr:row>
      <xdr:rowOff>57150</xdr:rowOff>
    </xdr:to>
    <xdr:grpSp>
      <xdr:nvGrpSpPr>
        <xdr:cNvPr id="371954" name="Group 64">
          <a:extLst>
            <a:ext uri="{FF2B5EF4-FFF2-40B4-BE49-F238E27FC236}">
              <a16:creationId xmlns:a16="http://schemas.microsoft.com/office/drawing/2014/main" id="{24C1E022-484F-1F7F-9659-125BBCE4C945}"/>
            </a:ext>
          </a:extLst>
        </xdr:cNvPr>
        <xdr:cNvGrpSpPr>
          <a:grpSpLocks/>
        </xdr:cNvGrpSpPr>
      </xdr:nvGrpSpPr>
      <xdr:grpSpPr bwMode="auto">
        <a:xfrm>
          <a:off x="6493809" y="29090471"/>
          <a:ext cx="1020109" cy="242047"/>
          <a:chOff x="3127" y="1104"/>
          <a:chExt cx="6450" cy="2006"/>
        </a:xfrm>
      </xdr:grpSpPr>
      <xdr:grpSp>
        <xdr:nvGrpSpPr>
          <xdr:cNvPr id="371955" name="Group 65">
            <a:extLst>
              <a:ext uri="{FF2B5EF4-FFF2-40B4-BE49-F238E27FC236}">
                <a16:creationId xmlns:a16="http://schemas.microsoft.com/office/drawing/2014/main" id="{AE128790-90D6-ECA9-DF76-EBB189E1C8DF}"/>
              </a:ext>
            </a:extLst>
          </xdr:cNvPr>
          <xdr:cNvGrpSpPr>
            <a:grpSpLocks/>
          </xdr:cNvGrpSpPr>
        </xdr:nvGrpSpPr>
        <xdr:grpSpPr bwMode="auto">
          <a:xfrm>
            <a:off x="3127" y="1104"/>
            <a:ext cx="4050" cy="2006"/>
            <a:chOff x="3127" y="1104"/>
            <a:chExt cx="4050" cy="2006"/>
          </a:xfrm>
        </xdr:grpSpPr>
        <xdr:sp macro="" textlink="">
          <xdr:nvSpPr>
            <xdr:cNvPr id="371957" name="Freeform 66">
              <a:extLst>
                <a:ext uri="{FF2B5EF4-FFF2-40B4-BE49-F238E27FC236}">
                  <a16:creationId xmlns:a16="http://schemas.microsoft.com/office/drawing/2014/main" id="{967D7D4B-400D-E45A-C6A0-215FC842D262}"/>
                </a:ext>
              </a:extLst>
            </xdr:cNvPr>
            <xdr:cNvSpPr>
              <a:spLocks/>
            </xdr:cNvSpPr>
          </xdr:nvSpPr>
          <xdr:spPr bwMode="auto">
            <a:xfrm>
              <a:off x="6877" y="2184"/>
              <a:ext cx="300" cy="309"/>
            </a:xfrm>
            <a:custGeom>
              <a:avLst/>
              <a:gdLst>
                <a:gd name="T0" fmla="*/ 0 w 750"/>
                <a:gd name="T1" fmla="*/ 0 h 630"/>
                <a:gd name="T2" fmla="*/ 0 w 750"/>
                <a:gd name="T3" fmla="*/ 0 h 630"/>
                <a:gd name="T4" fmla="*/ 0 w 750"/>
                <a:gd name="T5" fmla="*/ 0 h 630"/>
                <a:gd name="T6" fmla="*/ 0 w 750"/>
                <a:gd name="T7" fmla="*/ 0 h 630"/>
                <a:gd name="T8" fmla="*/ 0 w 750"/>
                <a:gd name="T9" fmla="*/ 0 h 630"/>
                <a:gd name="T10" fmla="*/ 0 w 750"/>
                <a:gd name="T11" fmla="*/ 0 h 630"/>
                <a:gd name="T12" fmla="*/ 0 w 750"/>
                <a:gd name="T13" fmla="*/ 0 h 630"/>
                <a:gd name="T14" fmla="*/ 0 w 750"/>
                <a:gd name="T15" fmla="*/ 0 h 630"/>
                <a:gd name="T16" fmla="*/ 0 w 750"/>
                <a:gd name="T17" fmla="*/ 0 h 63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750"/>
                <a:gd name="T28" fmla="*/ 0 h 630"/>
                <a:gd name="T29" fmla="*/ 750 w 750"/>
                <a:gd name="T30" fmla="*/ 630 h 63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750" h="630">
                  <a:moveTo>
                    <a:pt x="390" y="30"/>
                  </a:moveTo>
                  <a:cubicBezTo>
                    <a:pt x="330" y="15"/>
                    <a:pt x="270" y="0"/>
                    <a:pt x="210" y="30"/>
                  </a:cubicBezTo>
                  <a:cubicBezTo>
                    <a:pt x="150" y="60"/>
                    <a:pt x="60" y="150"/>
                    <a:pt x="30" y="210"/>
                  </a:cubicBezTo>
                  <a:cubicBezTo>
                    <a:pt x="0" y="270"/>
                    <a:pt x="0" y="330"/>
                    <a:pt x="30" y="390"/>
                  </a:cubicBezTo>
                  <a:cubicBezTo>
                    <a:pt x="60" y="450"/>
                    <a:pt x="120" y="540"/>
                    <a:pt x="210" y="570"/>
                  </a:cubicBezTo>
                  <a:cubicBezTo>
                    <a:pt x="300" y="600"/>
                    <a:pt x="480" y="630"/>
                    <a:pt x="570" y="570"/>
                  </a:cubicBezTo>
                  <a:cubicBezTo>
                    <a:pt x="660" y="510"/>
                    <a:pt x="750" y="300"/>
                    <a:pt x="750" y="210"/>
                  </a:cubicBezTo>
                  <a:cubicBezTo>
                    <a:pt x="750" y="120"/>
                    <a:pt x="660" y="60"/>
                    <a:pt x="570" y="30"/>
                  </a:cubicBezTo>
                  <a:cubicBezTo>
                    <a:pt x="480" y="0"/>
                    <a:pt x="270" y="30"/>
                    <a:pt x="210" y="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958" name="Freeform 67">
              <a:extLst>
                <a:ext uri="{FF2B5EF4-FFF2-40B4-BE49-F238E27FC236}">
                  <a16:creationId xmlns:a16="http://schemas.microsoft.com/office/drawing/2014/main" id="{E059F603-A9A5-4E60-328C-57EC489218DC}"/>
                </a:ext>
              </a:extLst>
            </xdr:cNvPr>
            <xdr:cNvSpPr>
              <a:spLocks/>
            </xdr:cNvSpPr>
          </xdr:nvSpPr>
          <xdr:spPr bwMode="auto">
            <a:xfrm>
              <a:off x="6127" y="1567"/>
              <a:ext cx="750" cy="1234"/>
            </a:xfrm>
            <a:custGeom>
              <a:avLst/>
              <a:gdLst>
                <a:gd name="T0" fmla="*/ 0 w 2040"/>
                <a:gd name="T1" fmla="*/ 1 h 1650"/>
                <a:gd name="T2" fmla="*/ 0 w 2040"/>
                <a:gd name="T3" fmla="*/ 1 h 1650"/>
                <a:gd name="T4" fmla="*/ 0 w 2040"/>
                <a:gd name="T5" fmla="*/ 1 h 1650"/>
                <a:gd name="T6" fmla="*/ 0 w 2040"/>
                <a:gd name="T7" fmla="*/ 1 h 1650"/>
                <a:gd name="T8" fmla="*/ 0 w 2040"/>
                <a:gd name="T9" fmla="*/ 1 h 1650"/>
                <a:gd name="T10" fmla="*/ 0 w 2040"/>
                <a:gd name="T11" fmla="*/ 1 h 1650"/>
                <a:gd name="T12" fmla="*/ 0 w 2040"/>
                <a:gd name="T13" fmla="*/ 1 h 1650"/>
                <a:gd name="T14" fmla="*/ 0 w 2040"/>
                <a:gd name="T15" fmla="*/ 1 h 1650"/>
                <a:gd name="T16" fmla="*/ 0 w 2040"/>
                <a:gd name="T17" fmla="*/ 1 h 1650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2040"/>
                <a:gd name="T28" fmla="*/ 0 h 1650"/>
                <a:gd name="T29" fmla="*/ 2040 w 2040"/>
                <a:gd name="T30" fmla="*/ 1650 h 1650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2040" h="1650">
                  <a:moveTo>
                    <a:pt x="360" y="1650"/>
                  </a:moveTo>
                  <a:cubicBezTo>
                    <a:pt x="255" y="1425"/>
                    <a:pt x="150" y="1200"/>
                    <a:pt x="360" y="1110"/>
                  </a:cubicBezTo>
                  <a:cubicBezTo>
                    <a:pt x="570" y="1020"/>
                    <a:pt x="1350" y="1170"/>
                    <a:pt x="1620" y="1110"/>
                  </a:cubicBezTo>
                  <a:cubicBezTo>
                    <a:pt x="1890" y="1050"/>
                    <a:pt x="1920" y="900"/>
                    <a:pt x="1980" y="750"/>
                  </a:cubicBezTo>
                  <a:cubicBezTo>
                    <a:pt x="2040" y="600"/>
                    <a:pt x="2040" y="330"/>
                    <a:pt x="1980" y="210"/>
                  </a:cubicBezTo>
                  <a:cubicBezTo>
                    <a:pt x="1920" y="90"/>
                    <a:pt x="1740" y="60"/>
                    <a:pt x="1620" y="30"/>
                  </a:cubicBezTo>
                  <a:cubicBezTo>
                    <a:pt x="1500" y="0"/>
                    <a:pt x="1440" y="0"/>
                    <a:pt x="1260" y="30"/>
                  </a:cubicBezTo>
                  <a:cubicBezTo>
                    <a:pt x="1080" y="60"/>
                    <a:pt x="750" y="150"/>
                    <a:pt x="540" y="210"/>
                  </a:cubicBezTo>
                  <a:cubicBezTo>
                    <a:pt x="330" y="270"/>
                    <a:pt x="165" y="330"/>
                    <a:pt x="0" y="39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71959" name="Freeform 68">
              <a:extLst>
                <a:ext uri="{FF2B5EF4-FFF2-40B4-BE49-F238E27FC236}">
                  <a16:creationId xmlns:a16="http://schemas.microsoft.com/office/drawing/2014/main" id="{2BBAB8DF-7201-2102-A556-570E20F3D93B}"/>
                </a:ext>
              </a:extLst>
            </xdr:cNvPr>
            <xdr:cNvSpPr>
              <a:spLocks/>
            </xdr:cNvSpPr>
          </xdr:nvSpPr>
          <xdr:spPr bwMode="auto">
            <a:xfrm>
              <a:off x="3127" y="1104"/>
              <a:ext cx="3500" cy="2006"/>
            </a:xfrm>
            <a:custGeom>
              <a:avLst/>
              <a:gdLst>
                <a:gd name="T0" fmla="*/ 2 w 4560"/>
                <a:gd name="T1" fmla="*/ 2 h 2670"/>
                <a:gd name="T2" fmla="*/ 2 w 4560"/>
                <a:gd name="T3" fmla="*/ 2 h 2670"/>
                <a:gd name="T4" fmla="*/ 2 w 4560"/>
                <a:gd name="T5" fmla="*/ 2 h 2670"/>
                <a:gd name="T6" fmla="*/ 2 w 4560"/>
                <a:gd name="T7" fmla="*/ 2 h 2670"/>
                <a:gd name="T8" fmla="*/ 2 w 4560"/>
                <a:gd name="T9" fmla="*/ 2 h 2670"/>
                <a:gd name="T10" fmla="*/ 2 w 4560"/>
                <a:gd name="T11" fmla="*/ 2 h 2670"/>
                <a:gd name="T12" fmla="*/ 2 w 4560"/>
                <a:gd name="T13" fmla="*/ 2 h 2670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4560"/>
                <a:gd name="T22" fmla="*/ 0 h 2670"/>
                <a:gd name="T23" fmla="*/ 4560 w 4560"/>
                <a:gd name="T24" fmla="*/ 2670 h 2670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4560" h="2670">
                  <a:moveTo>
                    <a:pt x="4560" y="2490"/>
                  </a:moveTo>
                  <a:cubicBezTo>
                    <a:pt x="3135" y="2580"/>
                    <a:pt x="1710" y="2670"/>
                    <a:pt x="960" y="2490"/>
                  </a:cubicBezTo>
                  <a:cubicBezTo>
                    <a:pt x="210" y="2310"/>
                    <a:pt x="120" y="1740"/>
                    <a:pt x="60" y="1410"/>
                  </a:cubicBezTo>
                  <a:cubicBezTo>
                    <a:pt x="0" y="1080"/>
                    <a:pt x="210" y="720"/>
                    <a:pt x="600" y="510"/>
                  </a:cubicBezTo>
                  <a:cubicBezTo>
                    <a:pt x="990" y="300"/>
                    <a:pt x="1830" y="180"/>
                    <a:pt x="2400" y="150"/>
                  </a:cubicBezTo>
                  <a:cubicBezTo>
                    <a:pt x="2970" y="120"/>
                    <a:pt x="3720" y="0"/>
                    <a:pt x="4020" y="330"/>
                  </a:cubicBezTo>
                  <a:cubicBezTo>
                    <a:pt x="4320" y="660"/>
                    <a:pt x="4260" y="1395"/>
                    <a:pt x="4200" y="213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71956" name="Freeform 69">
            <a:extLst>
              <a:ext uri="{FF2B5EF4-FFF2-40B4-BE49-F238E27FC236}">
                <a16:creationId xmlns:a16="http://schemas.microsoft.com/office/drawing/2014/main" id="{75E13E10-68A3-C703-E0E8-96F444213D78}"/>
              </a:ext>
            </a:extLst>
          </xdr:cNvPr>
          <xdr:cNvSpPr>
            <a:spLocks/>
          </xdr:cNvSpPr>
        </xdr:nvSpPr>
        <xdr:spPr bwMode="auto">
          <a:xfrm>
            <a:off x="3877" y="2030"/>
            <a:ext cx="5700" cy="154"/>
          </a:xfrm>
          <a:custGeom>
            <a:avLst/>
            <a:gdLst>
              <a:gd name="T0" fmla="*/ 1 w 9810"/>
              <a:gd name="T1" fmla="*/ 0 h 390"/>
              <a:gd name="T2" fmla="*/ 1 w 9810"/>
              <a:gd name="T3" fmla="*/ 0 h 390"/>
              <a:gd name="T4" fmla="*/ 1 w 9810"/>
              <a:gd name="T5" fmla="*/ 0 h 390"/>
              <a:gd name="T6" fmla="*/ 1 w 9810"/>
              <a:gd name="T7" fmla="*/ 0 h 390"/>
              <a:gd name="T8" fmla="*/ 0 60000 65536"/>
              <a:gd name="T9" fmla="*/ 0 60000 65536"/>
              <a:gd name="T10" fmla="*/ 0 60000 65536"/>
              <a:gd name="T11" fmla="*/ 0 60000 65536"/>
              <a:gd name="T12" fmla="*/ 0 w 9810"/>
              <a:gd name="T13" fmla="*/ 0 h 390"/>
              <a:gd name="T14" fmla="*/ 9810 w 9810"/>
              <a:gd name="T15" fmla="*/ 390 h 39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9810" h="390">
                <a:moveTo>
                  <a:pt x="5490" y="360"/>
                </a:moveTo>
                <a:cubicBezTo>
                  <a:pt x="3945" y="375"/>
                  <a:pt x="2400" y="390"/>
                  <a:pt x="1710" y="360"/>
                </a:cubicBezTo>
                <a:cubicBezTo>
                  <a:pt x="1020" y="330"/>
                  <a:pt x="0" y="240"/>
                  <a:pt x="1350" y="180"/>
                </a:cubicBezTo>
                <a:cubicBezTo>
                  <a:pt x="2700" y="120"/>
                  <a:pt x="8400" y="30"/>
                  <a:pt x="9810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12" Type="http://schemas.openxmlformats.org/officeDocument/2006/relationships/oleObject" Target="../embeddings/oleObject7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6.bin"/><Relationship Id="rId5" Type="http://schemas.openxmlformats.org/officeDocument/2006/relationships/image" Target="../media/image1.wmf"/><Relationship Id="rId10" Type="http://schemas.openxmlformats.org/officeDocument/2006/relationships/oleObject" Target="../embeddings/oleObject5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4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1.bin"/><Relationship Id="rId13" Type="http://schemas.openxmlformats.org/officeDocument/2006/relationships/oleObject" Target="../embeddings/oleObject16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wmf"/><Relationship Id="rId12" Type="http://schemas.openxmlformats.org/officeDocument/2006/relationships/oleObject" Target="../embeddings/oleObject15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10.bin"/><Relationship Id="rId11" Type="http://schemas.openxmlformats.org/officeDocument/2006/relationships/oleObject" Target="../embeddings/oleObject14.bin"/><Relationship Id="rId5" Type="http://schemas.openxmlformats.org/officeDocument/2006/relationships/image" Target="../media/image1.wmf"/><Relationship Id="rId15" Type="http://schemas.openxmlformats.org/officeDocument/2006/relationships/oleObject" Target="../embeddings/oleObject18.bin"/><Relationship Id="rId10" Type="http://schemas.openxmlformats.org/officeDocument/2006/relationships/oleObject" Target="../embeddings/oleObject13.bin"/><Relationship Id="rId4" Type="http://schemas.openxmlformats.org/officeDocument/2006/relationships/oleObject" Target="../embeddings/oleObject9.bin"/><Relationship Id="rId9" Type="http://schemas.openxmlformats.org/officeDocument/2006/relationships/oleObject" Target="../embeddings/oleObject12.bin"/><Relationship Id="rId14" Type="http://schemas.openxmlformats.org/officeDocument/2006/relationships/oleObject" Target="../embeddings/oleObject17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1.bin"/><Relationship Id="rId13" Type="http://schemas.openxmlformats.org/officeDocument/2006/relationships/oleObject" Target="../embeddings/oleObject26.bin"/><Relationship Id="rId3" Type="http://schemas.openxmlformats.org/officeDocument/2006/relationships/vmlDrawing" Target="../drawings/vmlDrawing3.vml"/><Relationship Id="rId7" Type="http://schemas.openxmlformats.org/officeDocument/2006/relationships/image" Target="../media/image2.wmf"/><Relationship Id="rId12" Type="http://schemas.openxmlformats.org/officeDocument/2006/relationships/oleObject" Target="../embeddings/oleObject25.bin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0.bin"/><Relationship Id="rId11" Type="http://schemas.openxmlformats.org/officeDocument/2006/relationships/oleObject" Target="../embeddings/oleObject24.bin"/><Relationship Id="rId5" Type="http://schemas.openxmlformats.org/officeDocument/2006/relationships/image" Target="../media/image1.wmf"/><Relationship Id="rId15" Type="http://schemas.openxmlformats.org/officeDocument/2006/relationships/oleObject" Target="../embeddings/oleObject28.bin"/><Relationship Id="rId10" Type="http://schemas.openxmlformats.org/officeDocument/2006/relationships/oleObject" Target="../embeddings/oleObject23.bin"/><Relationship Id="rId4" Type="http://schemas.openxmlformats.org/officeDocument/2006/relationships/oleObject" Target="../embeddings/oleObject19.bin"/><Relationship Id="rId9" Type="http://schemas.openxmlformats.org/officeDocument/2006/relationships/oleObject" Target="../embeddings/oleObject22.bin"/><Relationship Id="rId14" Type="http://schemas.openxmlformats.org/officeDocument/2006/relationships/oleObject" Target="../embeddings/oleObject27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1.bin"/><Relationship Id="rId3" Type="http://schemas.openxmlformats.org/officeDocument/2006/relationships/vmlDrawing" Target="../drawings/vmlDrawing4.vml"/><Relationship Id="rId7" Type="http://schemas.openxmlformats.org/officeDocument/2006/relationships/image" Target="../media/image2.w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30.bin"/><Relationship Id="rId5" Type="http://schemas.openxmlformats.org/officeDocument/2006/relationships/image" Target="../media/image1.wmf"/><Relationship Id="rId10" Type="http://schemas.openxmlformats.org/officeDocument/2006/relationships/oleObject" Target="../embeddings/oleObject33.bin"/><Relationship Id="rId4" Type="http://schemas.openxmlformats.org/officeDocument/2006/relationships/oleObject" Target="../embeddings/oleObject29.bin"/><Relationship Id="rId9" Type="http://schemas.openxmlformats.org/officeDocument/2006/relationships/oleObject" Target="../embeddings/oleObject3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6FAB9-006E-4AC2-8950-79A63EE99A0B}">
  <dimension ref="A1:M113"/>
  <sheetViews>
    <sheetView zoomScaleNormal="100" workbookViewId="0">
      <selection activeCell="A7" sqref="A7:L45"/>
    </sheetView>
  </sheetViews>
  <sheetFormatPr defaultRowHeight="12.5" x14ac:dyDescent="0.25"/>
  <cols>
    <col min="1" max="1" width="4.453125" customWidth="1"/>
    <col min="2" max="2" width="19.26953125" customWidth="1"/>
    <col min="3" max="3" width="3.81640625" customWidth="1"/>
    <col min="4" max="4" width="21.26953125" customWidth="1"/>
    <col min="5" max="5" width="3.26953125" customWidth="1"/>
    <col min="6" max="6" width="18.453125" customWidth="1"/>
    <col min="7" max="7" width="3.54296875" customWidth="1"/>
    <col min="8" max="8" width="16.7265625" customWidth="1"/>
    <col min="9" max="9" width="4.453125" customWidth="1"/>
    <col min="10" max="10" width="18.453125" customWidth="1"/>
    <col min="11" max="11" width="4.81640625" customWidth="1"/>
    <col min="12" max="12" width="21.1796875" customWidth="1"/>
  </cols>
  <sheetData>
    <row r="1" spans="1:13" ht="15.5" x14ac:dyDescent="0.35">
      <c r="A1" s="451" t="s">
        <v>79</v>
      </c>
      <c r="B1" s="451"/>
      <c r="C1" s="451"/>
      <c r="D1" s="451"/>
      <c r="E1" s="451"/>
      <c r="F1" s="451"/>
      <c r="G1" s="451"/>
    </row>
    <row r="2" spans="1:13" ht="18" x14ac:dyDescent="0.4">
      <c r="A2" s="147"/>
      <c r="B2" s="143" t="s">
        <v>67</v>
      </c>
      <c r="C2" s="146"/>
      <c r="D2" s="143" t="s">
        <v>42</v>
      </c>
      <c r="E2" s="146"/>
      <c r="F2" s="143" t="s">
        <v>62</v>
      </c>
      <c r="G2" s="144"/>
    </row>
    <row r="3" spans="1:13" ht="14.5" x14ac:dyDescent="0.3">
      <c r="A3" s="30"/>
      <c r="B3" s="125" t="s">
        <v>58</v>
      </c>
      <c r="C3" s="126"/>
      <c r="D3" s="369" t="s">
        <v>292</v>
      </c>
      <c r="E3" s="29"/>
      <c r="F3" s="29"/>
      <c r="G3" s="31"/>
    </row>
    <row r="4" spans="1:13" ht="20" x14ac:dyDescent="0.3">
      <c r="A4" s="30"/>
      <c r="B4" s="127" t="s">
        <v>68</v>
      </c>
      <c r="C4" s="126"/>
      <c r="D4" s="370" t="s">
        <v>293</v>
      </c>
      <c r="E4" s="29"/>
      <c r="F4" s="176">
        <v>80</v>
      </c>
      <c r="G4" s="177"/>
    </row>
    <row r="5" spans="1:13" x14ac:dyDescent="0.25">
      <c r="A5" s="8"/>
      <c r="B5" s="124"/>
      <c r="C5" s="124"/>
      <c r="D5" s="124"/>
      <c r="E5" s="124"/>
      <c r="F5" s="124"/>
      <c r="G5" s="9"/>
    </row>
    <row r="6" spans="1:13" ht="13" x14ac:dyDescent="0.3">
      <c r="B6" s="92"/>
      <c r="C6" s="29"/>
      <c r="E6" s="29"/>
      <c r="F6" s="29"/>
      <c r="G6" s="29"/>
      <c r="H6" s="29"/>
      <c r="I6" s="29"/>
    </row>
    <row r="7" spans="1:13" ht="18.5" thickBot="1" x14ac:dyDescent="0.45">
      <c r="A7" s="452" t="s">
        <v>69</v>
      </c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</row>
    <row r="8" spans="1:13" ht="18.5" thickTop="1" x14ac:dyDescent="0.4">
      <c r="A8" s="156"/>
      <c r="B8" s="157" t="s">
        <v>90</v>
      </c>
      <c r="C8" s="142"/>
      <c r="D8" s="157" t="s">
        <v>91</v>
      </c>
      <c r="E8" s="157"/>
      <c r="F8" s="157" t="s">
        <v>92</v>
      </c>
      <c r="G8" s="157"/>
      <c r="H8" s="157" t="s">
        <v>93</v>
      </c>
      <c r="I8" s="157"/>
      <c r="J8" s="157" t="s">
        <v>94</v>
      </c>
      <c r="K8" s="157"/>
      <c r="L8" s="160" t="s">
        <v>95</v>
      </c>
      <c r="M8" s="237"/>
    </row>
    <row r="9" spans="1:13" x14ac:dyDescent="0.25">
      <c r="M9" t="s">
        <v>63</v>
      </c>
    </row>
    <row r="10" spans="1:13" ht="15" x14ac:dyDescent="0.3">
      <c r="A10" s="145">
        <v>1</v>
      </c>
      <c r="B10" s="393" t="s">
        <v>299</v>
      </c>
      <c r="C10" s="183">
        <v>1</v>
      </c>
      <c r="D10" s="396" t="s">
        <v>331</v>
      </c>
      <c r="E10" s="183">
        <v>1</v>
      </c>
      <c r="F10" s="398" t="s">
        <v>363</v>
      </c>
      <c r="G10" s="145">
        <v>1</v>
      </c>
      <c r="H10" s="400" t="s">
        <v>395</v>
      </c>
      <c r="I10" s="145">
        <v>1</v>
      </c>
      <c r="J10" s="401" t="s">
        <v>426</v>
      </c>
      <c r="K10" s="145">
        <v>1</v>
      </c>
      <c r="L10" s="402" t="s">
        <v>456</v>
      </c>
      <c r="M10" t="s">
        <v>63</v>
      </c>
    </row>
    <row r="11" spans="1:13" ht="15" x14ac:dyDescent="0.3">
      <c r="A11" s="145">
        <v>2</v>
      </c>
      <c r="B11" s="393" t="s">
        <v>300</v>
      </c>
      <c r="C11" s="183">
        <v>2</v>
      </c>
      <c r="D11" s="396" t="s">
        <v>332</v>
      </c>
      <c r="E11" s="183">
        <v>2</v>
      </c>
      <c r="F11" s="398" t="s">
        <v>373</v>
      </c>
      <c r="G11" s="145">
        <v>2</v>
      </c>
      <c r="H11" s="400" t="s">
        <v>396</v>
      </c>
      <c r="I11" s="145">
        <v>2</v>
      </c>
      <c r="J11" s="401" t="s">
        <v>427</v>
      </c>
      <c r="K11" s="145">
        <v>2</v>
      </c>
      <c r="L11" s="402" t="s">
        <v>457</v>
      </c>
      <c r="M11" t="s">
        <v>63</v>
      </c>
    </row>
    <row r="12" spans="1:13" ht="15" x14ac:dyDescent="0.3">
      <c r="A12" s="145">
        <v>3</v>
      </c>
      <c r="B12" s="393" t="s">
        <v>301</v>
      </c>
      <c r="C12" s="183">
        <v>3</v>
      </c>
      <c r="D12" s="396" t="s">
        <v>333</v>
      </c>
      <c r="E12" s="183">
        <v>3</v>
      </c>
      <c r="F12" s="398" t="s">
        <v>364</v>
      </c>
      <c r="G12" s="145">
        <v>3</v>
      </c>
      <c r="H12" s="400" t="s">
        <v>397</v>
      </c>
      <c r="I12" s="145">
        <v>3</v>
      </c>
      <c r="J12" s="401" t="s">
        <v>428</v>
      </c>
      <c r="K12" s="145">
        <v>3</v>
      </c>
      <c r="L12" s="402" t="s">
        <v>458</v>
      </c>
      <c r="M12" t="s">
        <v>63</v>
      </c>
    </row>
    <row r="13" spans="1:13" ht="15" x14ac:dyDescent="0.3">
      <c r="A13" s="145">
        <v>4</v>
      </c>
      <c r="B13" s="393" t="s">
        <v>302</v>
      </c>
      <c r="C13" s="183">
        <v>4</v>
      </c>
      <c r="D13" s="396" t="s">
        <v>334</v>
      </c>
      <c r="E13" s="183">
        <v>4</v>
      </c>
      <c r="F13" s="398" t="s">
        <v>365</v>
      </c>
      <c r="G13" s="145">
        <v>4</v>
      </c>
      <c r="H13" s="400" t="s">
        <v>398</v>
      </c>
      <c r="I13" s="145">
        <v>4</v>
      </c>
      <c r="J13" s="401" t="s">
        <v>429</v>
      </c>
      <c r="K13" s="145">
        <v>4</v>
      </c>
      <c r="L13" s="402" t="s">
        <v>459</v>
      </c>
      <c r="M13" t="s">
        <v>63</v>
      </c>
    </row>
    <row r="14" spans="1:13" ht="15" x14ac:dyDescent="0.3">
      <c r="A14" s="145">
        <v>5</v>
      </c>
      <c r="B14" s="393" t="s">
        <v>303</v>
      </c>
      <c r="C14" s="183">
        <v>5</v>
      </c>
      <c r="D14" s="396" t="s">
        <v>335</v>
      </c>
      <c r="E14" s="183">
        <v>5</v>
      </c>
      <c r="F14" s="398" t="s">
        <v>366</v>
      </c>
      <c r="G14" s="145">
        <v>5</v>
      </c>
      <c r="H14" s="400" t="s">
        <v>399</v>
      </c>
      <c r="I14" s="145">
        <v>5</v>
      </c>
      <c r="J14" s="401" t="s">
        <v>430</v>
      </c>
      <c r="K14" s="145">
        <v>5</v>
      </c>
      <c r="L14" s="402" t="s">
        <v>460</v>
      </c>
      <c r="M14" t="s">
        <v>63</v>
      </c>
    </row>
    <row r="15" spans="1:13" ht="15" x14ac:dyDescent="0.3">
      <c r="A15" s="145">
        <v>6</v>
      </c>
      <c r="B15" s="393" t="s">
        <v>304</v>
      </c>
      <c r="C15" s="183">
        <v>6</v>
      </c>
      <c r="D15" s="396" t="s">
        <v>336</v>
      </c>
      <c r="E15" s="183">
        <v>6</v>
      </c>
      <c r="F15" s="398" t="s">
        <v>367</v>
      </c>
      <c r="G15" s="145">
        <v>6</v>
      </c>
      <c r="H15" s="400" t="s">
        <v>400</v>
      </c>
      <c r="I15" s="145">
        <v>6</v>
      </c>
      <c r="J15" s="401" t="s">
        <v>431</v>
      </c>
      <c r="K15" s="145">
        <v>6</v>
      </c>
      <c r="L15" s="402" t="s">
        <v>461</v>
      </c>
      <c r="M15" t="s">
        <v>63</v>
      </c>
    </row>
    <row r="16" spans="1:13" ht="15" x14ac:dyDescent="0.3">
      <c r="A16" s="145">
        <v>7</v>
      </c>
      <c r="B16" s="393" t="s">
        <v>305</v>
      </c>
      <c r="C16" s="183">
        <v>7</v>
      </c>
      <c r="D16" s="396" t="s">
        <v>337</v>
      </c>
      <c r="E16" s="183">
        <v>7</v>
      </c>
      <c r="F16" s="398" t="s">
        <v>368</v>
      </c>
      <c r="G16" s="145">
        <v>7</v>
      </c>
      <c r="H16" s="400" t="s">
        <v>401</v>
      </c>
      <c r="I16" s="145">
        <v>7</v>
      </c>
      <c r="J16" s="401" t="s">
        <v>432</v>
      </c>
      <c r="K16" s="145">
        <v>7</v>
      </c>
      <c r="L16" s="402" t="s">
        <v>462</v>
      </c>
      <c r="M16" t="s">
        <v>63</v>
      </c>
    </row>
    <row r="17" spans="1:13" ht="9.75" customHeight="1" x14ac:dyDescent="0.3">
      <c r="A17" s="145">
        <v>8</v>
      </c>
      <c r="B17" s="393" t="s">
        <v>306</v>
      </c>
      <c r="C17" s="183">
        <v>8</v>
      </c>
      <c r="D17" s="396" t="s">
        <v>338</v>
      </c>
      <c r="E17" s="183">
        <v>8</v>
      </c>
      <c r="F17" s="398" t="s">
        <v>369</v>
      </c>
      <c r="G17" s="145">
        <v>8</v>
      </c>
      <c r="H17" s="400" t="s">
        <v>402</v>
      </c>
      <c r="I17" s="145">
        <v>8</v>
      </c>
      <c r="J17" s="401" t="s">
        <v>433</v>
      </c>
      <c r="K17" s="145">
        <v>8</v>
      </c>
      <c r="L17" s="402" t="s">
        <v>463</v>
      </c>
      <c r="M17" t="s">
        <v>63</v>
      </c>
    </row>
    <row r="18" spans="1:13" ht="15" x14ac:dyDescent="0.3">
      <c r="A18" s="145">
        <v>9</v>
      </c>
      <c r="B18" s="393" t="s">
        <v>307</v>
      </c>
      <c r="C18" s="183">
        <v>9</v>
      </c>
      <c r="D18" s="396" t="s">
        <v>339</v>
      </c>
      <c r="E18" s="183">
        <v>9</v>
      </c>
      <c r="F18" s="398" t="s">
        <v>370</v>
      </c>
      <c r="G18" s="145">
        <v>9</v>
      </c>
      <c r="H18" s="400" t="s">
        <v>403</v>
      </c>
      <c r="I18" s="145">
        <v>9</v>
      </c>
      <c r="J18" s="401" t="s">
        <v>434</v>
      </c>
      <c r="K18" s="145">
        <v>9</v>
      </c>
      <c r="L18" s="402" t="s">
        <v>464</v>
      </c>
      <c r="M18" t="s">
        <v>63</v>
      </c>
    </row>
    <row r="19" spans="1:13" ht="15" x14ac:dyDescent="0.3">
      <c r="A19" s="145">
        <v>10</v>
      </c>
      <c r="B19" s="393" t="s">
        <v>308</v>
      </c>
      <c r="C19" s="183">
        <v>10</v>
      </c>
      <c r="D19" s="396" t="s">
        <v>340</v>
      </c>
      <c r="E19" s="183">
        <v>10</v>
      </c>
      <c r="F19" s="398" t="s">
        <v>371</v>
      </c>
      <c r="G19" s="145">
        <v>10</v>
      </c>
      <c r="H19" s="400" t="s">
        <v>404</v>
      </c>
      <c r="I19" s="145">
        <v>10</v>
      </c>
      <c r="J19" s="401" t="s">
        <v>435</v>
      </c>
      <c r="K19" s="145">
        <v>10</v>
      </c>
      <c r="L19" s="402" t="s">
        <v>465</v>
      </c>
      <c r="M19" t="s">
        <v>63</v>
      </c>
    </row>
    <row r="20" spans="1:13" ht="15" x14ac:dyDescent="0.3">
      <c r="A20" s="145">
        <v>11</v>
      </c>
      <c r="B20" s="393" t="s">
        <v>309</v>
      </c>
      <c r="C20" s="183">
        <v>11</v>
      </c>
      <c r="D20" s="396" t="s">
        <v>341</v>
      </c>
      <c r="E20" s="183">
        <v>11</v>
      </c>
      <c r="F20" s="398" t="s">
        <v>372</v>
      </c>
      <c r="G20" s="145">
        <v>11</v>
      </c>
      <c r="H20" s="400" t="s">
        <v>405</v>
      </c>
      <c r="I20" s="145">
        <v>11</v>
      </c>
      <c r="J20" s="401" t="s">
        <v>436</v>
      </c>
      <c r="K20" s="145">
        <v>11</v>
      </c>
      <c r="L20" s="402" t="s">
        <v>466</v>
      </c>
      <c r="M20" t="s">
        <v>63</v>
      </c>
    </row>
    <row r="21" spans="1:13" ht="15" x14ac:dyDescent="0.3">
      <c r="A21" s="145">
        <v>12</v>
      </c>
      <c r="B21" s="393" t="s">
        <v>310</v>
      </c>
      <c r="C21" s="183">
        <v>12</v>
      </c>
      <c r="D21" s="396" t="s">
        <v>342</v>
      </c>
      <c r="E21" s="183">
        <v>12</v>
      </c>
      <c r="F21" s="398" t="s">
        <v>374</v>
      </c>
      <c r="G21" s="145">
        <v>12</v>
      </c>
      <c r="H21" s="400" t="s">
        <v>406</v>
      </c>
      <c r="I21" s="145">
        <v>12</v>
      </c>
      <c r="J21" s="401" t="s">
        <v>437</v>
      </c>
      <c r="K21" s="145">
        <v>12</v>
      </c>
      <c r="L21" s="402" t="s">
        <v>467</v>
      </c>
      <c r="M21" t="s">
        <v>63</v>
      </c>
    </row>
    <row r="22" spans="1:13" ht="15" x14ac:dyDescent="0.3">
      <c r="A22" s="145">
        <v>13</v>
      </c>
      <c r="B22" s="393" t="s">
        <v>311</v>
      </c>
      <c r="C22" s="183">
        <v>13</v>
      </c>
      <c r="D22" s="396" t="s">
        <v>343</v>
      </c>
      <c r="E22" s="183">
        <v>13</v>
      </c>
      <c r="F22" s="398" t="s">
        <v>375</v>
      </c>
      <c r="G22" s="145">
        <v>13</v>
      </c>
      <c r="H22" s="400" t="s">
        <v>407</v>
      </c>
      <c r="I22" s="145">
        <v>13</v>
      </c>
      <c r="J22" s="401" t="s">
        <v>438</v>
      </c>
      <c r="K22" s="145">
        <v>13</v>
      </c>
      <c r="L22" s="402" t="s">
        <v>468</v>
      </c>
      <c r="M22" t="s">
        <v>63</v>
      </c>
    </row>
    <row r="23" spans="1:13" ht="15" x14ac:dyDescent="0.3">
      <c r="A23" s="145">
        <v>14</v>
      </c>
      <c r="B23" s="393" t="s">
        <v>312</v>
      </c>
      <c r="C23" s="183">
        <v>14</v>
      </c>
      <c r="D23" s="396" t="s">
        <v>344</v>
      </c>
      <c r="E23" s="183">
        <v>14</v>
      </c>
      <c r="F23" s="398" t="s">
        <v>376</v>
      </c>
      <c r="G23" s="145">
        <v>14</v>
      </c>
      <c r="H23" s="400" t="s">
        <v>408</v>
      </c>
      <c r="I23" s="145">
        <v>14</v>
      </c>
      <c r="J23" s="401" t="s">
        <v>439</v>
      </c>
      <c r="K23" s="145">
        <v>14</v>
      </c>
      <c r="L23" s="402" t="s">
        <v>469</v>
      </c>
      <c r="M23" t="s">
        <v>63</v>
      </c>
    </row>
    <row r="24" spans="1:13" ht="15" x14ac:dyDescent="0.3">
      <c r="A24" s="145">
        <v>15</v>
      </c>
      <c r="B24" s="393" t="s">
        <v>313</v>
      </c>
      <c r="C24" s="183">
        <v>15</v>
      </c>
      <c r="D24" s="396" t="s">
        <v>345</v>
      </c>
      <c r="E24" s="183">
        <v>15</v>
      </c>
      <c r="F24" s="398" t="s">
        <v>377</v>
      </c>
      <c r="G24" s="145">
        <v>15</v>
      </c>
      <c r="H24" s="400" t="s">
        <v>409</v>
      </c>
      <c r="I24" s="145">
        <v>15</v>
      </c>
      <c r="J24" s="401" t="s">
        <v>440</v>
      </c>
      <c r="K24" s="145">
        <v>15</v>
      </c>
      <c r="L24" s="402" t="s">
        <v>470</v>
      </c>
      <c r="M24" t="s">
        <v>63</v>
      </c>
    </row>
    <row r="25" spans="1:13" ht="15" x14ac:dyDescent="0.3">
      <c r="A25" s="145">
        <v>16</v>
      </c>
      <c r="B25" s="393" t="s">
        <v>314</v>
      </c>
      <c r="C25" s="183">
        <v>16</v>
      </c>
      <c r="D25" s="396" t="s">
        <v>346</v>
      </c>
      <c r="E25" s="183">
        <v>16</v>
      </c>
      <c r="F25" s="398" t="s">
        <v>378</v>
      </c>
      <c r="G25" s="145">
        <v>16</v>
      </c>
      <c r="H25" s="400" t="s">
        <v>410</v>
      </c>
      <c r="I25" s="145">
        <v>16</v>
      </c>
      <c r="J25" s="401" t="s">
        <v>441</v>
      </c>
      <c r="K25" s="145">
        <v>16</v>
      </c>
      <c r="L25" s="402" t="s">
        <v>471</v>
      </c>
      <c r="M25" t="s">
        <v>63</v>
      </c>
    </row>
    <row r="26" spans="1:13" ht="15" x14ac:dyDescent="0.3">
      <c r="A26" s="145">
        <v>17</v>
      </c>
      <c r="B26" s="393" t="s">
        <v>315</v>
      </c>
      <c r="C26" s="183">
        <v>17</v>
      </c>
      <c r="D26" s="396" t="s">
        <v>347</v>
      </c>
      <c r="E26" s="183">
        <v>17</v>
      </c>
      <c r="F26" s="398" t="s">
        <v>379</v>
      </c>
      <c r="G26" s="145">
        <v>17</v>
      </c>
      <c r="H26" s="400" t="s">
        <v>411</v>
      </c>
      <c r="I26" s="145">
        <v>17</v>
      </c>
      <c r="J26" s="401" t="s">
        <v>442</v>
      </c>
      <c r="K26" s="145">
        <v>17</v>
      </c>
      <c r="L26" s="402" t="s">
        <v>472</v>
      </c>
      <c r="M26" t="s">
        <v>63</v>
      </c>
    </row>
    <row r="27" spans="1:13" ht="15" x14ac:dyDescent="0.3">
      <c r="A27" s="145">
        <v>18</v>
      </c>
      <c r="B27" s="393" t="s">
        <v>316</v>
      </c>
      <c r="C27" s="183">
        <v>18</v>
      </c>
      <c r="D27" s="396" t="s">
        <v>348</v>
      </c>
      <c r="E27" s="183">
        <v>18</v>
      </c>
      <c r="F27" s="398" t="s">
        <v>380</v>
      </c>
      <c r="G27" s="145">
        <v>18</v>
      </c>
      <c r="H27" s="400" t="s">
        <v>412</v>
      </c>
      <c r="I27" s="145">
        <v>18</v>
      </c>
      <c r="J27" s="401" t="s">
        <v>443</v>
      </c>
      <c r="K27" s="145">
        <v>18</v>
      </c>
      <c r="L27" s="402" t="s">
        <v>473</v>
      </c>
      <c r="M27" t="s">
        <v>63</v>
      </c>
    </row>
    <row r="28" spans="1:13" ht="15" x14ac:dyDescent="0.3">
      <c r="A28" s="145">
        <v>19</v>
      </c>
      <c r="B28" s="393" t="s">
        <v>317</v>
      </c>
      <c r="C28" s="183">
        <v>19</v>
      </c>
      <c r="D28" s="396" t="s">
        <v>349</v>
      </c>
      <c r="E28" s="183">
        <v>19</v>
      </c>
      <c r="F28" s="398" t="s">
        <v>381</v>
      </c>
      <c r="G28" s="145">
        <v>19</v>
      </c>
      <c r="H28" s="400" t="s">
        <v>413</v>
      </c>
      <c r="I28" s="145">
        <v>19</v>
      </c>
      <c r="J28" s="401" t="s">
        <v>444</v>
      </c>
      <c r="K28" s="145">
        <v>19</v>
      </c>
      <c r="L28" s="402" t="s">
        <v>474</v>
      </c>
      <c r="M28" t="s">
        <v>63</v>
      </c>
    </row>
    <row r="29" spans="1:13" ht="15" x14ac:dyDescent="0.3">
      <c r="A29" s="145">
        <v>20</v>
      </c>
      <c r="B29" s="393" t="s">
        <v>318</v>
      </c>
      <c r="C29" s="183">
        <v>20</v>
      </c>
      <c r="D29" s="396" t="s">
        <v>350</v>
      </c>
      <c r="E29" s="183">
        <v>20</v>
      </c>
      <c r="F29" s="398" t="s">
        <v>382</v>
      </c>
      <c r="G29" s="145">
        <v>20</v>
      </c>
      <c r="H29" s="400" t="s">
        <v>414</v>
      </c>
      <c r="I29" s="145">
        <v>20</v>
      </c>
      <c r="J29" s="401" t="s">
        <v>445</v>
      </c>
      <c r="K29" s="145">
        <v>20</v>
      </c>
      <c r="L29" s="402" t="s">
        <v>475</v>
      </c>
      <c r="M29" t="s">
        <v>63</v>
      </c>
    </row>
    <row r="30" spans="1:13" ht="15" x14ac:dyDescent="0.3">
      <c r="A30" s="145">
        <v>21</v>
      </c>
      <c r="B30" s="393" t="s">
        <v>319</v>
      </c>
      <c r="C30" s="183">
        <v>21</v>
      </c>
      <c r="D30" s="396" t="s">
        <v>351</v>
      </c>
      <c r="E30" s="183">
        <v>21</v>
      </c>
      <c r="F30" s="398" t="s">
        <v>383</v>
      </c>
      <c r="G30" s="145">
        <v>21</v>
      </c>
      <c r="H30" s="400" t="s">
        <v>415</v>
      </c>
      <c r="I30" s="145">
        <v>21</v>
      </c>
      <c r="J30" s="401" t="s">
        <v>446</v>
      </c>
      <c r="K30" s="145">
        <v>21</v>
      </c>
      <c r="L30" s="402" t="s">
        <v>476</v>
      </c>
      <c r="M30" t="s">
        <v>63</v>
      </c>
    </row>
    <row r="31" spans="1:13" ht="15" x14ac:dyDescent="0.3">
      <c r="A31" s="145">
        <v>22</v>
      </c>
      <c r="B31" s="393" t="s">
        <v>320</v>
      </c>
      <c r="C31" s="183">
        <v>22</v>
      </c>
      <c r="D31" s="396" t="s">
        <v>352</v>
      </c>
      <c r="E31" s="183">
        <v>22</v>
      </c>
      <c r="F31" s="398" t="s">
        <v>384</v>
      </c>
      <c r="G31" s="145">
        <v>22</v>
      </c>
      <c r="H31" s="400" t="s">
        <v>416</v>
      </c>
      <c r="I31" s="145">
        <v>22</v>
      </c>
      <c r="J31" s="401" t="s">
        <v>447</v>
      </c>
      <c r="K31" s="145">
        <v>22</v>
      </c>
      <c r="L31" s="402" t="s">
        <v>477</v>
      </c>
      <c r="M31" t="s">
        <v>63</v>
      </c>
    </row>
    <row r="32" spans="1:13" ht="15" x14ac:dyDescent="0.3">
      <c r="A32" s="145">
        <v>23</v>
      </c>
      <c r="B32" s="393" t="s">
        <v>321</v>
      </c>
      <c r="C32" s="183">
        <v>23</v>
      </c>
      <c r="D32" s="396" t="s">
        <v>353</v>
      </c>
      <c r="E32" s="183">
        <v>23</v>
      </c>
      <c r="F32" s="398" t="s">
        <v>385</v>
      </c>
      <c r="G32" s="145">
        <v>23</v>
      </c>
      <c r="H32" s="400" t="s">
        <v>417</v>
      </c>
      <c r="I32" s="145">
        <v>23</v>
      </c>
      <c r="J32" s="401" t="s">
        <v>448</v>
      </c>
      <c r="K32" s="145">
        <v>23</v>
      </c>
      <c r="L32" s="402" t="s">
        <v>478</v>
      </c>
      <c r="M32" t="s">
        <v>63</v>
      </c>
    </row>
    <row r="33" spans="1:13" ht="15" x14ac:dyDescent="0.3">
      <c r="A33" s="145">
        <v>24</v>
      </c>
      <c r="B33" s="393" t="s">
        <v>322</v>
      </c>
      <c r="C33" s="183">
        <v>24</v>
      </c>
      <c r="D33" s="396" t="s">
        <v>354</v>
      </c>
      <c r="E33" s="183">
        <v>24</v>
      </c>
      <c r="F33" s="398" t="s">
        <v>386</v>
      </c>
      <c r="G33" s="145">
        <v>24</v>
      </c>
      <c r="H33" s="400" t="s">
        <v>418</v>
      </c>
      <c r="I33" s="145">
        <v>24</v>
      </c>
      <c r="J33" s="401" t="s">
        <v>449</v>
      </c>
      <c r="K33" s="145">
        <v>24</v>
      </c>
      <c r="L33" s="402" t="s">
        <v>479</v>
      </c>
      <c r="M33" t="s">
        <v>63</v>
      </c>
    </row>
    <row r="34" spans="1:13" ht="15" x14ac:dyDescent="0.3">
      <c r="A34" s="145">
        <v>25</v>
      </c>
      <c r="B34" s="393" t="s">
        <v>323</v>
      </c>
      <c r="C34" s="183">
        <v>25</v>
      </c>
      <c r="D34" s="396" t="s">
        <v>355</v>
      </c>
      <c r="E34" s="183">
        <v>25</v>
      </c>
      <c r="F34" s="398" t="s">
        <v>387</v>
      </c>
      <c r="G34" s="145">
        <v>25</v>
      </c>
      <c r="H34" s="400" t="s">
        <v>419</v>
      </c>
      <c r="I34" s="145">
        <v>25</v>
      </c>
      <c r="J34" s="401" t="s">
        <v>450</v>
      </c>
      <c r="K34" s="145">
        <v>25</v>
      </c>
      <c r="L34" s="402" t="s">
        <v>480</v>
      </c>
      <c r="M34" t="s">
        <v>63</v>
      </c>
    </row>
    <row r="35" spans="1:13" ht="15" x14ac:dyDescent="0.3">
      <c r="A35" s="145">
        <v>26</v>
      </c>
      <c r="B35" s="393" t="s">
        <v>324</v>
      </c>
      <c r="C35" s="183">
        <v>26</v>
      </c>
      <c r="D35" s="396" t="s">
        <v>356</v>
      </c>
      <c r="E35" s="183">
        <v>26</v>
      </c>
      <c r="F35" s="398" t="s">
        <v>388</v>
      </c>
      <c r="G35" s="145">
        <v>26</v>
      </c>
      <c r="H35" s="400" t="s">
        <v>420</v>
      </c>
      <c r="I35" s="145">
        <v>26</v>
      </c>
      <c r="J35" s="401" t="s">
        <v>451</v>
      </c>
      <c r="K35" s="145">
        <v>26</v>
      </c>
      <c r="L35" s="402" t="s">
        <v>481</v>
      </c>
      <c r="M35" t="s">
        <v>63</v>
      </c>
    </row>
    <row r="36" spans="1:13" ht="15" x14ac:dyDescent="0.3">
      <c r="A36" s="145">
        <v>27</v>
      </c>
      <c r="B36" s="393" t="s">
        <v>325</v>
      </c>
      <c r="C36" s="183">
        <v>27</v>
      </c>
      <c r="D36" s="396" t="s">
        <v>357</v>
      </c>
      <c r="E36" s="183">
        <v>27</v>
      </c>
      <c r="F36" s="399" t="s">
        <v>389</v>
      </c>
      <c r="G36" s="145">
        <v>27</v>
      </c>
      <c r="H36" s="400" t="s">
        <v>421</v>
      </c>
      <c r="I36" s="145">
        <v>27</v>
      </c>
      <c r="J36" s="401" t="s">
        <v>452</v>
      </c>
      <c r="K36" s="145">
        <v>27</v>
      </c>
      <c r="L36" s="402" t="s">
        <v>482</v>
      </c>
      <c r="M36" t="s">
        <v>63</v>
      </c>
    </row>
    <row r="37" spans="1:13" ht="15" x14ac:dyDescent="0.3">
      <c r="A37" s="145">
        <v>28</v>
      </c>
      <c r="B37" s="394" t="s">
        <v>326</v>
      </c>
      <c r="C37" s="183">
        <v>28</v>
      </c>
      <c r="D37" s="396" t="s">
        <v>358</v>
      </c>
      <c r="E37" s="183">
        <v>28</v>
      </c>
      <c r="F37" s="399" t="s">
        <v>390</v>
      </c>
      <c r="G37" s="145">
        <v>28</v>
      </c>
      <c r="H37" s="400" t="s">
        <v>422</v>
      </c>
      <c r="I37" s="145">
        <v>28</v>
      </c>
      <c r="J37" s="401" t="s">
        <v>453</v>
      </c>
      <c r="K37" s="145">
        <v>28</v>
      </c>
      <c r="L37" s="402" t="s">
        <v>483</v>
      </c>
      <c r="M37" t="s">
        <v>63</v>
      </c>
    </row>
    <row r="38" spans="1:13" ht="15" x14ac:dyDescent="0.3">
      <c r="A38" s="145">
        <v>29</v>
      </c>
      <c r="B38" s="393" t="s">
        <v>327</v>
      </c>
      <c r="C38" s="183">
        <v>29</v>
      </c>
      <c r="D38" s="396" t="s">
        <v>359</v>
      </c>
      <c r="E38" s="183">
        <v>29</v>
      </c>
      <c r="F38" s="398" t="s">
        <v>391</v>
      </c>
      <c r="G38" s="145">
        <v>29</v>
      </c>
      <c r="H38" s="400" t="s">
        <v>423</v>
      </c>
      <c r="I38" s="145">
        <v>29</v>
      </c>
      <c r="J38" s="401" t="s">
        <v>454</v>
      </c>
      <c r="K38" s="145">
        <v>29</v>
      </c>
      <c r="L38" s="402" t="s">
        <v>484</v>
      </c>
      <c r="M38" t="s">
        <v>63</v>
      </c>
    </row>
    <row r="39" spans="1:13" ht="15" x14ac:dyDescent="0.3">
      <c r="A39" s="145">
        <v>30</v>
      </c>
      <c r="B39" s="393" t="s">
        <v>328</v>
      </c>
      <c r="C39" s="183">
        <v>30</v>
      </c>
      <c r="D39" s="396" t="s">
        <v>360</v>
      </c>
      <c r="E39" s="183">
        <v>30</v>
      </c>
      <c r="F39" s="398" t="s">
        <v>392</v>
      </c>
      <c r="G39" s="145">
        <v>30</v>
      </c>
      <c r="H39" s="400" t="s">
        <v>424</v>
      </c>
      <c r="I39" s="145">
        <v>30</v>
      </c>
      <c r="J39" s="401" t="s">
        <v>455</v>
      </c>
      <c r="K39" s="145">
        <v>30</v>
      </c>
      <c r="L39" s="402" t="s">
        <v>485</v>
      </c>
      <c r="M39" t="s">
        <v>63</v>
      </c>
    </row>
    <row r="40" spans="1:13" ht="15" x14ac:dyDescent="0.3">
      <c r="A40" s="145">
        <v>31</v>
      </c>
      <c r="B40" s="393" t="s">
        <v>329</v>
      </c>
      <c r="C40" s="183">
        <v>31</v>
      </c>
      <c r="D40" s="396" t="s">
        <v>361</v>
      </c>
      <c r="E40" s="183">
        <v>31</v>
      </c>
      <c r="F40" s="398" t="s">
        <v>393</v>
      </c>
      <c r="G40" s="145">
        <v>31</v>
      </c>
      <c r="H40" s="400" t="s">
        <v>425</v>
      </c>
      <c r="I40" s="145">
        <v>31</v>
      </c>
      <c r="J40" s="373"/>
      <c r="K40" s="145">
        <v>31</v>
      </c>
      <c r="L40" s="323"/>
      <c r="M40" t="s">
        <v>63</v>
      </c>
    </row>
    <row r="41" spans="1:13" ht="15" x14ac:dyDescent="0.3">
      <c r="A41" s="145">
        <v>32</v>
      </c>
      <c r="B41" s="392" t="s">
        <v>330</v>
      </c>
      <c r="C41" s="264">
        <v>32</v>
      </c>
      <c r="D41" s="397" t="s">
        <v>362</v>
      </c>
      <c r="E41" s="264">
        <v>32</v>
      </c>
      <c r="F41" s="398" t="s">
        <v>394</v>
      </c>
      <c r="G41" s="265">
        <v>32</v>
      </c>
      <c r="H41" s="371"/>
      <c r="I41" s="265">
        <v>32</v>
      </c>
      <c r="J41" s="372"/>
      <c r="K41" s="265">
        <v>32</v>
      </c>
      <c r="L41" s="323"/>
    </row>
    <row r="42" spans="1:13" ht="15" x14ac:dyDescent="0.3">
      <c r="A42" s="145">
        <v>33</v>
      </c>
      <c r="B42" s="182"/>
      <c r="C42" s="183">
        <v>33</v>
      </c>
      <c r="D42" s="182"/>
      <c r="E42" s="183">
        <v>33</v>
      </c>
      <c r="F42" s="395" t="s">
        <v>198</v>
      </c>
      <c r="G42" s="145">
        <v>33</v>
      </c>
      <c r="H42" s="182"/>
      <c r="I42" s="145">
        <v>33</v>
      </c>
      <c r="J42" s="182"/>
      <c r="K42" s="145">
        <v>33</v>
      </c>
      <c r="L42" s="323"/>
    </row>
    <row r="43" spans="1:13" ht="15" x14ac:dyDescent="0.3">
      <c r="A43" s="145">
        <v>34</v>
      </c>
      <c r="B43" s="182"/>
      <c r="C43" s="183">
        <v>34</v>
      </c>
      <c r="D43" s="182"/>
      <c r="E43" s="183">
        <v>34</v>
      </c>
      <c r="F43" s="395" t="s">
        <v>198</v>
      </c>
      <c r="G43" s="145">
        <v>34</v>
      </c>
      <c r="H43" s="182"/>
      <c r="I43" s="145">
        <v>34</v>
      </c>
      <c r="J43" s="182"/>
      <c r="K43" s="145">
        <v>34</v>
      </c>
      <c r="L43" s="182"/>
    </row>
    <row r="46" spans="1:13" x14ac:dyDescent="0.25">
      <c r="A46" s="99" t="s">
        <v>294</v>
      </c>
    </row>
    <row r="48" spans="1:13" ht="13" x14ac:dyDescent="0.25">
      <c r="A48" s="277">
        <v>1</v>
      </c>
      <c r="B48" s="377" t="s">
        <v>102</v>
      </c>
      <c r="C48" s="277">
        <v>1</v>
      </c>
      <c r="D48" s="377" t="s">
        <v>134</v>
      </c>
      <c r="E48" s="277">
        <v>1</v>
      </c>
      <c r="F48" s="377" t="s">
        <v>166</v>
      </c>
      <c r="G48" s="277">
        <v>1</v>
      </c>
      <c r="H48" s="377" t="s">
        <v>199</v>
      </c>
      <c r="I48" s="277">
        <v>1</v>
      </c>
      <c r="J48" s="377" t="s">
        <v>230</v>
      </c>
      <c r="K48" s="277">
        <v>1</v>
      </c>
      <c r="L48" s="377" t="s">
        <v>262</v>
      </c>
      <c r="M48" s="378" t="s">
        <v>63</v>
      </c>
    </row>
    <row r="49" spans="1:13" ht="13" x14ac:dyDescent="0.25">
      <c r="A49" s="277">
        <v>2</v>
      </c>
      <c r="B49" s="377" t="s">
        <v>103</v>
      </c>
      <c r="C49" s="277">
        <v>2</v>
      </c>
      <c r="D49" s="377" t="s">
        <v>135</v>
      </c>
      <c r="E49" s="277">
        <v>2</v>
      </c>
      <c r="F49" s="377" t="s">
        <v>167</v>
      </c>
      <c r="G49" s="277">
        <v>2</v>
      </c>
      <c r="H49" s="377" t="s">
        <v>200</v>
      </c>
      <c r="I49" s="277">
        <v>2</v>
      </c>
      <c r="J49" s="377" t="s">
        <v>231</v>
      </c>
      <c r="K49" s="277">
        <v>2</v>
      </c>
      <c r="L49" s="377" t="s">
        <v>263</v>
      </c>
      <c r="M49" s="378" t="s">
        <v>63</v>
      </c>
    </row>
    <row r="50" spans="1:13" ht="13" x14ac:dyDescent="0.25">
      <c r="A50" s="277">
        <v>3</v>
      </c>
      <c r="B50" s="377" t="s">
        <v>104</v>
      </c>
      <c r="C50" s="277">
        <v>3</v>
      </c>
      <c r="D50" s="377" t="s">
        <v>136</v>
      </c>
      <c r="E50" s="277">
        <v>3</v>
      </c>
      <c r="F50" s="377" t="s">
        <v>168</v>
      </c>
      <c r="G50" s="277">
        <v>3</v>
      </c>
      <c r="H50" s="377" t="s">
        <v>201</v>
      </c>
      <c r="I50" s="277">
        <v>3</v>
      </c>
      <c r="J50" s="377" t="s">
        <v>232</v>
      </c>
      <c r="K50" s="277">
        <v>3</v>
      </c>
      <c r="L50" s="377" t="s">
        <v>264</v>
      </c>
      <c r="M50" s="378" t="s">
        <v>63</v>
      </c>
    </row>
    <row r="51" spans="1:13" ht="13" x14ac:dyDescent="0.25">
      <c r="A51" s="277">
        <v>4</v>
      </c>
      <c r="B51" s="377" t="s">
        <v>105</v>
      </c>
      <c r="C51" s="277">
        <v>4</v>
      </c>
      <c r="D51" s="377" t="s">
        <v>137</v>
      </c>
      <c r="E51" s="277">
        <v>4</v>
      </c>
      <c r="F51" s="377" t="s">
        <v>169</v>
      </c>
      <c r="G51" s="277">
        <v>4</v>
      </c>
      <c r="H51" s="377" t="s">
        <v>202</v>
      </c>
      <c r="I51" s="277">
        <v>4</v>
      </c>
      <c r="J51" s="377" t="s">
        <v>233</v>
      </c>
      <c r="K51" s="277">
        <v>4</v>
      </c>
      <c r="L51" s="377" t="s">
        <v>265</v>
      </c>
      <c r="M51" s="379" t="s">
        <v>63</v>
      </c>
    </row>
    <row r="52" spans="1:13" ht="13" x14ac:dyDescent="0.25">
      <c r="A52" s="277">
        <v>5</v>
      </c>
      <c r="B52" s="377" t="s">
        <v>106</v>
      </c>
      <c r="C52" s="277">
        <v>5</v>
      </c>
      <c r="D52" s="377" t="s">
        <v>138</v>
      </c>
      <c r="E52" s="277">
        <v>5</v>
      </c>
      <c r="F52" s="377" t="s">
        <v>170</v>
      </c>
      <c r="G52" s="277">
        <v>5</v>
      </c>
      <c r="H52" s="377" t="s">
        <v>203</v>
      </c>
      <c r="I52" s="277">
        <v>5</v>
      </c>
      <c r="J52" s="377" t="s">
        <v>234</v>
      </c>
      <c r="K52" s="277">
        <v>5</v>
      </c>
      <c r="L52" s="377" t="s">
        <v>266</v>
      </c>
      <c r="M52" s="379" t="s">
        <v>63</v>
      </c>
    </row>
    <row r="53" spans="1:13" ht="13" x14ac:dyDescent="0.25">
      <c r="A53" s="277">
        <v>6</v>
      </c>
      <c r="B53" s="377" t="s">
        <v>107</v>
      </c>
      <c r="C53" s="277">
        <v>6</v>
      </c>
      <c r="D53" s="377" t="s">
        <v>139</v>
      </c>
      <c r="E53" s="277">
        <v>6</v>
      </c>
      <c r="F53" s="377" t="s">
        <v>171</v>
      </c>
      <c r="G53" s="277">
        <v>6</v>
      </c>
      <c r="H53" s="377" t="s">
        <v>204</v>
      </c>
      <c r="I53" s="277">
        <v>6</v>
      </c>
      <c r="J53" s="377" t="s">
        <v>235</v>
      </c>
      <c r="K53" s="277">
        <v>6</v>
      </c>
      <c r="L53" s="377" t="s">
        <v>267</v>
      </c>
      <c r="M53" s="379" t="s">
        <v>63</v>
      </c>
    </row>
    <row r="54" spans="1:13" ht="13" x14ac:dyDescent="0.25">
      <c r="A54" s="277">
        <v>7</v>
      </c>
      <c r="B54" s="377" t="s">
        <v>108</v>
      </c>
      <c r="C54" s="277">
        <v>7</v>
      </c>
      <c r="D54" s="377" t="s">
        <v>140</v>
      </c>
      <c r="E54" s="277">
        <v>7</v>
      </c>
      <c r="F54" s="377" t="s">
        <v>172</v>
      </c>
      <c r="G54" s="277">
        <v>7</v>
      </c>
      <c r="H54" s="377" t="s">
        <v>205</v>
      </c>
      <c r="I54" s="277">
        <v>7</v>
      </c>
      <c r="J54" s="377" t="s">
        <v>236</v>
      </c>
      <c r="K54" s="277">
        <v>7</v>
      </c>
      <c r="L54" s="377" t="s">
        <v>268</v>
      </c>
      <c r="M54" s="379" t="s">
        <v>63</v>
      </c>
    </row>
    <row r="55" spans="1:13" ht="13" x14ac:dyDescent="0.25">
      <c r="A55" s="277">
        <v>8</v>
      </c>
      <c r="B55" s="377" t="s">
        <v>109</v>
      </c>
      <c r="C55" s="277">
        <v>8</v>
      </c>
      <c r="D55" s="377" t="s">
        <v>141</v>
      </c>
      <c r="E55" s="277">
        <v>8</v>
      </c>
      <c r="F55" s="377" t="s">
        <v>173</v>
      </c>
      <c r="G55" s="277">
        <v>8</v>
      </c>
      <c r="H55" s="377" t="s">
        <v>206</v>
      </c>
      <c r="I55" s="277">
        <v>8</v>
      </c>
      <c r="J55" s="377" t="s">
        <v>237</v>
      </c>
      <c r="K55" s="277">
        <v>8</v>
      </c>
      <c r="L55" s="377" t="s">
        <v>269</v>
      </c>
      <c r="M55" s="379" t="s">
        <v>63</v>
      </c>
    </row>
    <row r="56" spans="1:13" ht="13" x14ac:dyDescent="0.25">
      <c r="A56" s="277">
        <v>9</v>
      </c>
      <c r="B56" s="377" t="s">
        <v>110</v>
      </c>
      <c r="C56" s="277">
        <v>9</v>
      </c>
      <c r="D56" s="377" t="s">
        <v>142</v>
      </c>
      <c r="E56" s="277">
        <v>9</v>
      </c>
      <c r="F56" s="377" t="s">
        <v>174</v>
      </c>
      <c r="G56" s="277">
        <v>9</v>
      </c>
      <c r="H56" s="377" t="s">
        <v>207</v>
      </c>
      <c r="I56" s="277">
        <v>9</v>
      </c>
      <c r="J56" s="377" t="s">
        <v>238</v>
      </c>
      <c r="K56" s="277">
        <v>9</v>
      </c>
      <c r="L56" s="377" t="s">
        <v>270</v>
      </c>
      <c r="M56" s="379" t="s">
        <v>63</v>
      </c>
    </row>
    <row r="57" spans="1:13" ht="13" x14ac:dyDescent="0.25">
      <c r="A57" s="277">
        <v>10</v>
      </c>
      <c r="B57" s="377" t="s">
        <v>111</v>
      </c>
      <c r="C57" s="277">
        <v>10</v>
      </c>
      <c r="D57" s="377" t="s">
        <v>143</v>
      </c>
      <c r="E57" s="277">
        <v>10</v>
      </c>
      <c r="F57" s="377" t="s">
        <v>175</v>
      </c>
      <c r="G57" s="277">
        <v>10</v>
      </c>
      <c r="H57" s="380" t="s">
        <v>295</v>
      </c>
      <c r="I57" s="277">
        <v>10</v>
      </c>
      <c r="J57" s="377" t="s">
        <v>239</v>
      </c>
      <c r="K57" s="277">
        <v>10</v>
      </c>
      <c r="L57" s="377" t="s">
        <v>271</v>
      </c>
      <c r="M57" s="379" t="s">
        <v>63</v>
      </c>
    </row>
    <row r="58" spans="1:13" ht="13" x14ac:dyDescent="0.25">
      <c r="A58" s="277">
        <v>11</v>
      </c>
      <c r="B58" s="377" t="s">
        <v>112</v>
      </c>
      <c r="C58" s="277">
        <v>11</v>
      </c>
      <c r="D58" s="377" t="s">
        <v>144</v>
      </c>
      <c r="E58" s="277">
        <v>11</v>
      </c>
      <c r="F58" s="377" t="s">
        <v>176</v>
      </c>
      <c r="G58" s="277">
        <v>11</v>
      </c>
      <c r="H58" s="377" t="s">
        <v>208</v>
      </c>
      <c r="I58" s="277">
        <v>11</v>
      </c>
      <c r="J58" s="377" t="s">
        <v>240</v>
      </c>
      <c r="K58" s="277">
        <v>11</v>
      </c>
      <c r="L58" s="377" t="s">
        <v>272</v>
      </c>
      <c r="M58" s="379" t="s">
        <v>63</v>
      </c>
    </row>
    <row r="59" spans="1:13" ht="13" x14ac:dyDescent="0.25">
      <c r="A59" s="277">
        <v>12</v>
      </c>
      <c r="B59" s="377" t="s">
        <v>113</v>
      </c>
      <c r="C59" s="277">
        <v>12</v>
      </c>
      <c r="D59" s="377" t="s">
        <v>145</v>
      </c>
      <c r="E59" s="277">
        <v>12</v>
      </c>
      <c r="F59" s="377" t="s">
        <v>177</v>
      </c>
      <c r="G59" s="277">
        <v>12</v>
      </c>
      <c r="H59" s="377" t="s">
        <v>209</v>
      </c>
      <c r="I59" s="277">
        <v>12</v>
      </c>
      <c r="J59" s="377" t="s">
        <v>241</v>
      </c>
      <c r="K59" s="277">
        <v>12</v>
      </c>
      <c r="L59" s="377" t="s">
        <v>273</v>
      </c>
      <c r="M59" s="379" t="s">
        <v>63</v>
      </c>
    </row>
    <row r="60" spans="1:13" ht="13" x14ac:dyDescent="0.25">
      <c r="A60" s="277">
        <v>13</v>
      </c>
      <c r="B60" s="377" t="s">
        <v>114</v>
      </c>
      <c r="C60" s="277">
        <v>13</v>
      </c>
      <c r="D60" s="377" t="s">
        <v>146</v>
      </c>
      <c r="E60" s="277">
        <v>13</v>
      </c>
      <c r="F60" s="377" t="s">
        <v>178</v>
      </c>
      <c r="G60" s="277">
        <v>13</v>
      </c>
      <c r="H60" s="377" t="s">
        <v>210</v>
      </c>
      <c r="I60" s="277">
        <v>13</v>
      </c>
      <c r="J60" s="377" t="s">
        <v>242</v>
      </c>
      <c r="K60" s="277">
        <v>13</v>
      </c>
      <c r="L60" s="377" t="s">
        <v>274</v>
      </c>
      <c r="M60" s="379" t="s">
        <v>63</v>
      </c>
    </row>
    <row r="61" spans="1:13" ht="13" x14ac:dyDescent="0.25">
      <c r="A61" s="277">
        <v>14</v>
      </c>
      <c r="B61" s="377" t="s">
        <v>115</v>
      </c>
      <c r="C61" s="277">
        <v>14</v>
      </c>
      <c r="D61" s="377" t="s">
        <v>147</v>
      </c>
      <c r="E61" s="277">
        <v>14</v>
      </c>
      <c r="F61" s="377" t="s">
        <v>179</v>
      </c>
      <c r="G61" s="277">
        <v>14</v>
      </c>
      <c r="H61" s="377" t="s">
        <v>211</v>
      </c>
      <c r="I61" s="277">
        <v>14</v>
      </c>
      <c r="J61" s="377" t="s">
        <v>243</v>
      </c>
      <c r="K61" s="277">
        <v>14</v>
      </c>
      <c r="L61" s="377" t="s">
        <v>275</v>
      </c>
      <c r="M61" s="379" t="s">
        <v>63</v>
      </c>
    </row>
    <row r="62" spans="1:13" ht="13" x14ac:dyDescent="0.25">
      <c r="A62" s="277">
        <v>15</v>
      </c>
      <c r="B62" s="377" t="s">
        <v>116</v>
      </c>
      <c r="C62" s="277">
        <v>15</v>
      </c>
      <c r="D62" s="377" t="s">
        <v>148</v>
      </c>
      <c r="E62" s="277">
        <v>15</v>
      </c>
      <c r="F62" s="377" t="s">
        <v>180</v>
      </c>
      <c r="G62" s="277">
        <v>15</v>
      </c>
      <c r="H62" s="377" t="s">
        <v>212</v>
      </c>
      <c r="I62" s="277">
        <v>15</v>
      </c>
      <c r="J62" s="377" t="s">
        <v>244</v>
      </c>
      <c r="K62" s="277">
        <v>15</v>
      </c>
      <c r="L62" s="377" t="s">
        <v>276</v>
      </c>
      <c r="M62" s="379" t="s">
        <v>63</v>
      </c>
    </row>
    <row r="63" spans="1:13" ht="13" x14ac:dyDescent="0.25">
      <c r="A63" s="277">
        <v>16</v>
      </c>
      <c r="B63" s="377" t="s">
        <v>117</v>
      </c>
      <c r="C63" s="277">
        <v>16</v>
      </c>
      <c r="D63" s="377" t="s">
        <v>149</v>
      </c>
      <c r="E63" s="277">
        <v>16</v>
      </c>
      <c r="F63" s="377" t="s">
        <v>181</v>
      </c>
      <c r="G63" s="277">
        <v>16</v>
      </c>
      <c r="H63" s="377" t="s">
        <v>213</v>
      </c>
      <c r="I63" s="277">
        <v>16</v>
      </c>
      <c r="J63" s="377" t="s">
        <v>245</v>
      </c>
      <c r="K63" s="277">
        <v>16</v>
      </c>
      <c r="L63" s="377" t="s">
        <v>277</v>
      </c>
      <c r="M63" s="379" t="s">
        <v>63</v>
      </c>
    </row>
    <row r="64" spans="1:13" ht="13" x14ac:dyDescent="0.25">
      <c r="A64" s="277">
        <v>17</v>
      </c>
      <c r="B64" s="377" t="s">
        <v>118</v>
      </c>
      <c r="C64" s="277">
        <v>17</v>
      </c>
      <c r="D64" s="377" t="s">
        <v>150</v>
      </c>
      <c r="E64" s="277">
        <v>17</v>
      </c>
      <c r="F64" s="377" t="s">
        <v>182</v>
      </c>
      <c r="G64" s="277">
        <v>17</v>
      </c>
      <c r="H64" s="377" t="s">
        <v>214</v>
      </c>
      <c r="I64" s="277">
        <v>17</v>
      </c>
      <c r="J64" s="377" t="s">
        <v>246</v>
      </c>
      <c r="K64" s="277">
        <v>17</v>
      </c>
      <c r="L64" s="377" t="s">
        <v>278</v>
      </c>
      <c r="M64" s="379" t="s">
        <v>63</v>
      </c>
    </row>
    <row r="65" spans="1:13" ht="13" x14ac:dyDescent="0.25">
      <c r="A65" s="277">
        <v>18</v>
      </c>
      <c r="B65" s="377" t="s">
        <v>119</v>
      </c>
      <c r="C65" s="277">
        <v>18</v>
      </c>
      <c r="D65" s="377" t="s">
        <v>151</v>
      </c>
      <c r="E65" s="277">
        <v>18</v>
      </c>
      <c r="F65" s="377" t="s">
        <v>183</v>
      </c>
      <c r="G65" s="277">
        <v>18</v>
      </c>
      <c r="H65" s="377" t="s">
        <v>215</v>
      </c>
      <c r="I65" s="277">
        <v>18</v>
      </c>
      <c r="J65" s="377" t="s">
        <v>247</v>
      </c>
      <c r="K65" s="277">
        <v>18</v>
      </c>
      <c r="L65" s="377" t="s">
        <v>279</v>
      </c>
      <c r="M65" s="379" t="s">
        <v>63</v>
      </c>
    </row>
    <row r="66" spans="1:13" ht="13" x14ac:dyDescent="0.25">
      <c r="A66" s="277">
        <v>19</v>
      </c>
      <c r="B66" s="377" t="s">
        <v>120</v>
      </c>
      <c r="C66" s="277">
        <v>19</v>
      </c>
      <c r="D66" s="377" t="s">
        <v>152</v>
      </c>
      <c r="E66" s="277">
        <v>19</v>
      </c>
      <c r="F66" s="377" t="s">
        <v>184</v>
      </c>
      <c r="G66" s="277">
        <v>19</v>
      </c>
      <c r="H66" s="377" t="s">
        <v>216</v>
      </c>
      <c r="I66" s="277">
        <v>19</v>
      </c>
      <c r="J66" s="377" t="s">
        <v>248</v>
      </c>
      <c r="K66" s="277">
        <v>19</v>
      </c>
      <c r="L66" s="377" t="s">
        <v>280</v>
      </c>
      <c r="M66" s="379" t="s">
        <v>63</v>
      </c>
    </row>
    <row r="67" spans="1:13" ht="13" x14ac:dyDescent="0.25">
      <c r="A67" s="277">
        <v>20</v>
      </c>
      <c r="B67" s="377" t="s">
        <v>121</v>
      </c>
      <c r="C67" s="277">
        <v>20</v>
      </c>
      <c r="D67" s="377" t="s">
        <v>153</v>
      </c>
      <c r="E67" s="277">
        <v>20</v>
      </c>
      <c r="F67" s="377" t="s">
        <v>185</v>
      </c>
      <c r="G67" s="277">
        <v>20</v>
      </c>
      <c r="H67" s="377" t="s">
        <v>217</v>
      </c>
      <c r="I67" s="277">
        <v>20</v>
      </c>
      <c r="J67" s="377" t="s">
        <v>249</v>
      </c>
      <c r="K67" s="277">
        <v>20</v>
      </c>
      <c r="L67" s="377" t="s">
        <v>281</v>
      </c>
      <c r="M67" s="379" t="s">
        <v>63</v>
      </c>
    </row>
    <row r="68" spans="1:13" ht="13" x14ac:dyDescent="0.25">
      <c r="A68" s="277">
        <v>21</v>
      </c>
      <c r="B68" s="377" t="s">
        <v>122</v>
      </c>
      <c r="C68" s="277">
        <v>21</v>
      </c>
      <c r="D68" s="377" t="s">
        <v>154</v>
      </c>
      <c r="E68" s="277">
        <v>21</v>
      </c>
      <c r="F68" s="377" t="s">
        <v>186</v>
      </c>
      <c r="G68" s="277">
        <v>21</v>
      </c>
      <c r="H68" s="377" t="s">
        <v>218</v>
      </c>
      <c r="I68" s="277">
        <v>21</v>
      </c>
      <c r="J68" s="377" t="s">
        <v>250</v>
      </c>
      <c r="K68" s="277">
        <v>21</v>
      </c>
      <c r="L68" s="377" t="s">
        <v>282</v>
      </c>
      <c r="M68" s="379" t="s">
        <v>63</v>
      </c>
    </row>
    <row r="69" spans="1:13" ht="13" x14ac:dyDescent="0.25">
      <c r="A69" s="277">
        <v>22</v>
      </c>
      <c r="B69" s="377" t="s">
        <v>123</v>
      </c>
      <c r="C69" s="277">
        <v>22</v>
      </c>
      <c r="D69" s="377" t="s">
        <v>155</v>
      </c>
      <c r="E69" s="277">
        <v>22</v>
      </c>
      <c r="F69" s="377" t="s">
        <v>187</v>
      </c>
      <c r="G69" s="277">
        <v>22</v>
      </c>
      <c r="H69" s="377" t="s">
        <v>219</v>
      </c>
      <c r="I69" s="277">
        <v>22</v>
      </c>
      <c r="J69" s="377" t="s">
        <v>251</v>
      </c>
      <c r="K69" s="277">
        <v>22</v>
      </c>
      <c r="L69" s="377" t="s">
        <v>283</v>
      </c>
      <c r="M69" s="379" t="s">
        <v>63</v>
      </c>
    </row>
    <row r="70" spans="1:13" ht="13" x14ac:dyDescent="0.25">
      <c r="A70" s="277">
        <v>23</v>
      </c>
      <c r="B70" s="377" t="s">
        <v>124</v>
      </c>
      <c r="C70" s="277">
        <v>23</v>
      </c>
      <c r="D70" s="377" t="s">
        <v>156</v>
      </c>
      <c r="E70" s="277">
        <v>23</v>
      </c>
      <c r="F70" s="377" t="s">
        <v>188</v>
      </c>
      <c r="G70" s="277">
        <v>23</v>
      </c>
      <c r="H70" s="377" t="s">
        <v>220</v>
      </c>
      <c r="I70" s="277">
        <v>23</v>
      </c>
      <c r="J70" s="377" t="s">
        <v>252</v>
      </c>
      <c r="K70" s="277">
        <v>23</v>
      </c>
      <c r="L70" s="377" t="s">
        <v>284</v>
      </c>
      <c r="M70" s="379" t="s">
        <v>63</v>
      </c>
    </row>
    <row r="71" spans="1:13" ht="13" x14ac:dyDescent="0.25">
      <c r="A71" s="277">
        <v>24</v>
      </c>
      <c r="B71" s="377" t="s">
        <v>125</v>
      </c>
      <c r="C71" s="277">
        <v>24</v>
      </c>
      <c r="D71" s="377" t="s">
        <v>157</v>
      </c>
      <c r="E71" s="277">
        <v>24</v>
      </c>
      <c r="F71" s="377" t="s">
        <v>189</v>
      </c>
      <c r="G71" s="277">
        <v>24</v>
      </c>
      <c r="H71" s="377" t="s">
        <v>221</v>
      </c>
      <c r="I71" s="277">
        <v>24</v>
      </c>
      <c r="J71" s="377" t="s">
        <v>253</v>
      </c>
      <c r="K71" s="277">
        <v>24</v>
      </c>
      <c r="L71" s="377" t="s">
        <v>285</v>
      </c>
      <c r="M71" s="379" t="s">
        <v>63</v>
      </c>
    </row>
    <row r="72" spans="1:13" ht="13" x14ac:dyDescent="0.25">
      <c r="A72" s="277">
        <v>25</v>
      </c>
      <c r="B72" s="377" t="s">
        <v>126</v>
      </c>
      <c r="C72" s="277">
        <v>25</v>
      </c>
      <c r="D72" s="377" t="s">
        <v>158</v>
      </c>
      <c r="E72" s="277">
        <v>25</v>
      </c>
      <c r="F72" s="377" t="s">
        <v>190</v>
      </c>
      <c r="G72" s="277">
        <v>25</v>
      </c>
      <c r="H72" s="377" t="s">
        <v>222</v>
      </c>
      <c r="I72" s="277">
        <v>25</v>
      </c>
      <c r="J72" s="377" t="s">
        <v>254</v>
      </c>
      <c r="K72" s="277">
        <v>25</v>
      </c>
      <c r="L72" s="377" t="s">
        <v>286</v>
      </c>
      <c r="M72" s="379" t="s">
        <v>63</v>
      </c>
    </row>
    <row r="73" spans="1:13" ht="13" x14ac:dyDescent="0.25">
      <c r="A73" s="277">
        <v>26</v>
      </c>
      <c r="B73" s="377" t="s">
        <v>127</v>
      </c>
      <c r="C73" s="277">
        <v>26</v>
      </c>
      <c r="D73" s="377" t="s">
        <v>159</v>
      </c>
      <c r="E73" s="277">
        <v>26</v>
      </c>
      <c r="F73" s="377" t="s">
        <v>191</v>
      </c>
      <c r="G73" s="277">
        <v>26</v>
      </c>
      <c r="H73" s="377" t="s">
        <v>223</v>
      </c>
      <c r="I73" s="277">
        <v>26</v>
      </c>
      <c r="J73" s="377" t="s">
        <v>255</v>
      </c>
      <c r="K73" s="277">
        <v>26</v>
      </c>
      <c r="L73" s="377" t="s">
        <v>287</v>
      </c>
      <c r="M73" s="379" t="s">
        <v>63</v>
      </c>
    </row>
    <row r="74" spans="1:13" ht="13" x14ac:dyDescent="0.25">
      <c r="A74" s="277">
        <v>27</v>
      </c>
      <c r="B74" s="377" t="s">
        <v>128</v>
      </c>
      <c r="C74" s="277">
        <v>27</v>
      </c>
      <c r="D74" s="377" t="s">
        <v>160</v>
      </c>
      <c r="E74" s="277">
        <v>27</v>
      </c>
      <c r="F74" s="377" t="s">
        <v>192</v>
      </c>
      <c r="G74" s="277">
        <v>27</v>
      </c>
      <c r="H74" s="377" t="s">
        <v>224</v>
      </c>
      <c r="I74" s="277">
        <v>27</v>
      </c>
      <c r="J74" s="377" t="s">
        <v>256</v>
      </c>
      <c r="K74" s="277">
        <v>27</v>
      </c>
      <c r="L74" s="377" t="s">
        <v>288</v>
      </c>
      <c r="M74" s="379" t="s">
        <v>63</v>
      </c>
    </row>
    <row r="75" spans="1:13" ht="13" x14ac:dyDescent="0.25">
      <c r="A75" s="277">
        <v>28</v>
      </c>
      <c r="B75" s="377" t="s">
        <v>129</v>
      </c>
      <c r="C75" s="277">
        <v>28</v>
      </c>
      <c r="D75" s="377" t="s">
        <v>161</v>
      </c>
      <c r="E75" s="277">
        <v>28</v>
      </c>
      <c r="F75" s="377" t="s">
        <v>193</v>
      </c>
      <c r="G75" s="277">
        <v>28</v>
      </c>
      <c r="H75" s="377" t="s">
        <v>225</v>
      </c>
      <c r="I75" s="277">
        <v>28</v>
      </c>
      <c r="J75" s="377" t="s">
        <v>257</v>
      </c>
      <c r="K75" s="277">
        <v>28</v>
      </c>
      <c r="L75" s="377" t="s">
        <v>289</v>
      </c>
      <c r="M75" s="379" t="s">
        <v>63</v>
      </c>
    </row>
    <row r="76" spans="1:13" ht="13" x14ac:dyDescent="0.25">
      <c r="A76" s="277">
        <v>29</v>
      </c>
      <c r="B76" s="377" t="s">
        <v>130</v>
      </c>
      <c r="C76" s="277">
        <v>29</v>
      </c>
      <c r="D76" s="377" t="s">
        <v>162</v>
      </c>
      <c r="E76" s="277">
        <v>29</v>
      </c>
      <c r="F76" s="377" t="s">
        <v>194</v>
      </c>
      <c r="G76" s="277">
        <v>29</v>
      </c>
      <c r="H76" s="377" t="s">
        <v>226</v>
      </c>
      <c r="I76" s="277">
        <v>29</v>
      </c>
      <c r="J76" s="377" t="s">
        <v>258</v>
      </c>
      <c r="K76" s="277">
        <v>29</v>
      </c>
      <c r="L76" s="377" t="s">
        <v>290</v>
      </c>
      <c r="M76" s="379" t="s">
        <v>63</v>
      </c>
    </row>
    <row r="77" spans="1:13" ht="13" x14ac:dyDescent="0.25">
      <c r="A77" s="277">
        <v>30</v>
      </c>
      <c r="B77" s="377" t="s">
        <v>131</v>
      </c>
      <c r="C77" s="277">
        <v>30</v>
      </c>
      <c r="D77" s="377" t="s">
        <v>163</v>
      </c>
      <c r="E77" s="277">
        <v>30</v>
      </c>
      <c r="F77" s="377" t="s">
        <v>195</v>
      </c>
      <c r="G77" s="277">
        <v>30</v>
      </c>
      <c r="H77" s="377" t="s">
        <v>227</v>
      </c>
      <c r="I77" s="277">
        <v>30</v>
      </c>
      <c r="J77" s="377" t="s">
        <v>259</v>
      </c>
      <c r="K77" s="277">
        <v>30</v>
      </c>
      <c r="L77" s="377" t="s">
        <v>291</v>
      </c>
      <c r="M77" s="379" t="s">
        <v>63</v>
      </c>
    </row>
    <row r="78" spans="1:13" ht="13" x14ac:dyDescent="0.25">
      <c r="A78" s="277">
        <v>31</v>
      </c>
      <c r="B78" s="377" t="s">
        <v>132</v>
      </c>
      <c r="C78" s="277">
        <v>31</v>
      </c>
      <c r="D78" s="377" t="s">
        <v>164</v>
      </c>
      <c r="E78" s="277">
        <v>31</v>
      </c>
      <c r="F78" s="377" t="s">
        <v>196</v>
      </c>
      <c r="G78" s="277">
        <v>31</v>
      </c>
      <c r="H78" s="377" t="s">
        <v>228</v>
      </c>
      <c r="I78" s="277">
        <v>31</v>
      </c>
      <c r="J78" s="377" t="s">
        <v>260</v>
      </c>
      <c r="K78" s="277">
        <v>31</v>
      </c>
      <c r="M78" s="379" t="s">
        <v>63</v>
      </c>
    </row>
    <row r="79" spans="1:13" ht="13" x14ac:dyDescent="0.25">
      <c r="A79" s="277">
        <v>32</v>
      </c>
      <c r="B79" s="377" t="s">
        <v>133</v>
      </c>
      <c r="C79" s="277">
        <v>32</v>
      </c>
      <c r="D79" s="377" t="s">
        <v>165</v>
      </c>
      <c r="E79" s="277">
        <v>32</v>
      </c>
      <c r="F79" s="377" t="s">
        <v>197</v>
      </c>
      <c r="G79" s="277">
        <v>32</v>
      </c>
      <c r="H79" s="377" t="s">
        <v>229</v>
      </c>
      <c r="I79" s="277">
        <v>32</v>
      </c>
      <c r="J79" s="377" t="s">
        <v>261</v>
      </c>
      <c r="K79" s="277">
        <v>32</v>
      </c>
      <c r="M79" s="379" t="s">
        <v>63</v>
      </c>
    </row>
    <row r="80" spans="1:13" x14ac:dyDescent="0.25">
      <c r="M80" s="379" t="s">
        <v>63</v>
      </c>
    </row>
    <row r="82" spans="1:12" ht="13" x14ac:dyDescent="0.25">
      <c r="A82" s="277">
        <v>1</v>
      </c>
      <c r="B82" s="377" t="str">
        <f>IF(B48=B10,"SAMA","TDK SAMA")</f>
        <v>TDK SAMA</v>
      </c>
      <c r="C82" s="277">
        <v>1</v>
      </c>
      <c r="D82" s="377" t="str">
        <f>IF(D48=D10,"SAMA","TDK SAMA")</f>
        <v>TDK SAMA</v>
      </c>
      <c r="E82" s="277">
        <v>1</v>
      </c>
      <c r="F82" s="377" t="str">
        <f t="shared" ref="F82:F113" si="0">IF(F48=F10,"SAMA","TDK SAMA")</f>
        <v>TDK SAMA</v>
      </c>
      <c r="G82" s="277">
        <v>1</v>
      </c>
      <c r="H82" s="377" t="str">
        <f t="shared" ref="H82:H113" si="1">IF(H48=H10,"SAMA","TDK SAMA")</f>
        <v>TDK SAMA</v>
      </c>
      <c r="I82" s="277">
        <v>1</v>
      </c>
      <c r="J82" s="377" t="str">
        <f t="shared" ref="J82:J113" si="2">IF(J48=J10,"SAMA","TDK SAMA")</f>
        <v>TDK SAMA</v>
      </c>
      <c r="K82" s="277">
        <v>1</v>
      </c>
      <c r="L82" s="377" t="str">
        <f t="shared" ref="L82:L113" si="3">IF(L48=L10,"SAMA","TDK SAMA")</f>
        <v>TDK SAMA</v>
      </c>
    </row>
    <row r="83" spans="1:12" ht="13" x14ac:dyDescent="0.25">
      <c r="A83" s="277">
        <v>2</v>
      </c>
      <c r="B83" s="377" t="str">
        <f t="shared" ref="B83:D113" si="4">IF(B49=B11,"SAMA","TDK SAMA")</f>
        <v>TDK SAMA</v>
      </c>
      <c r="C83" s="277">
        <v>2</v>
      </c>
      <c r="D83" s="377" t="str">
        <f t="shared" si="4"/>
        <v>TDK SAMA</v>
      </c>
      <c r="E83" s="277">
        <v>2</v>
      </c>
      <c r="F83" s="377" t="str">
        <f t="shared" ref="F83:F91" si="5">IF(F49=F12,"SAMA","TDK SAMA")</f>
        <v>TDK SAMA</v>
      </c>
      <c r="G83" s="277">
        <v>2</v>
      </c>
      <c r="H83" s="377" t="str">
        <f t="shared" si="1"/>
        <v>TDK SAMA</v>
      </c>
      <c r="I83" s="277">
        <v>2</v>
      </c>
      <c r="J83" s="377" t="str">
        <f t="shared" si="2"/>
        <v>TDK SAMA</v>
      </c>
      <c r="K83" s="277">
        <v>2</v>
      </c>
      <c r="L83" s="377" t="str">
        <f t="shared" si="3"/>
        <v>TDK SAMA</v>
      </c>
    </row>
    <row r="84" spans="1:12" ht="13" x14ac:dyDescent="0.25">
      <c r="A84" s="277">
        <v>3</v>
      </c>
      <c r="B84" s="377" t="str">
        <f t="shared" si="4"/>
        <v>TDK SAMA</v>
      </c>
      <c r="C84" s="277">
        <v>3</v>
      </c>
      <c r="D84" s="377" t="str">
        <f t="shared" si="4"/>
        <v>TDK SAMA</v>
      </c>
      <c r="E84" s="277">
        <v>3</v>
      </c>
      <c r="F84" s="377" t="str">
        <f t="shared" si="5"/>
        <v>TDK SAMA</v>
      </c>
      <c r="G84" s="277">
        <v>3</v>
      </c>
      <c r="H84" s="377" t="str">
        <f t="shared" si="1"/>
        <v>TDK SAMA</v>
      </c>
      <c r="I84" s="277">
        <v>3</v>
      </c>
      <c r="J84" s="377" t="str">
        <f t="shared" si="2"/>
        <v>TDK SAMA</v>
      </c>
      <c r="K84" s="277">
        <v>3</v>
      </c>
      <c r="L84" s="377" t="str">
        <f t="shared" si="3"/>
        <v>TDK SAMA</v>
      </c>
    </row>
    <row r="85" spans="1:12" ht="13" x14ac:dyDescent="0.25">
      <c r="A85" s="277">
        <v>4</v>
      </c>
      <c r="B85" s="377" t="str">
        <f t="shared" si="4"/>
        <v>TDK SAMA</v>
      </c>
      <c r="C85" s="277">
        <v>4</v>
      </c>
      <c r="D85" s="377" t="str">
        <f t="shared" si="4"/>
        <v>TDK SAMA</v>
      </c>
      <c r="E85" s="277">
        <v>4</v>
      </c>
      <c r="F85" s="377" t="str">
        <f t="shared" si="5"/>
        <v>TDK SAMA</v>
      </c>
      <c r="G85" s="277">
        <v>4</v>
      </c>
      <c r="H85" s="377" t="str">
        <f t="shared" si="1"/>
        <v>TDK SAMA</v>
      </c>
      <c r="I85" s="277">
        <v>4</v>
      </c>
      <c r="J85" s="377" t="str">
        <f t="shared" si="2"/>
        <v>TDK SAMA</v>
      </c>
      <c r="K85" s="277">
        <v>4</v>
      </c>
      <c r="L85" s="377" t="str">
        <f t="shared" si="3"/>
        <v>TDK SAMA</v>
      </c>
    </row>
    <row r="86" spans="1:12" ht="13" x14ac:dyDescent="0.25">
      <c r="A86" s="277">
        <v>5</v>
      </c>
      <c r="B86" s="377" t="str">
        <f t="shared" si="4"/>
        <v>TDK SAMA</v>
      </c>
      <c r="C86" s="277">
        <v>5</v>
      </c>
      <c r="D86" s="377" t="str">
        <f t="shared" si="4"/>
        <v>TDK SAMA</v>
      </c>
      <c r="E86" s="277">
        <v>5</v>
      </c>
      <c r="F86" s="377" t="str">
        <f t="shared" si="5"/>
        <v>TDK SAMA</v>
      </c>
      <c r="G86" s="277">
        <v>5</v>
      </c>
      <c r="H86" s="377" t="str">
        <f t="shared" si="1"/>
        <v>TDK SAMA</v>
      </c>
      <c r="I86" s="277">
        <v>5</v>
      </c>
      <c r="J86" s="377" t="str">
        <f t="shared" si="2"/>
        <v>TDK SAMA</v>
      </c>
      <c r="K86" s="277">
        <v>5</v>
      </c>
      <c r="L86" s="377" t="str">
        <f t="shared" si="3"/>
        <v>TDK SAMA</v>
      </c>
    </row>
    <row r="87" spans="1:12" ht="13" x14ac:dyDescent="0.25">
      <c r="A87" s="277">
        <v>6</v>
      </c>
      <c r="B87" s="377" t="str">
        <f t="shared" si="4"/>
        <v>TDK SAMA</v>
      </c>
      <c r="C87" s="277">
        <v>6</v>
      </c>
      <c r="D87" s="377" t="str">
        <f t="shared" si="4"/>
        <v>TDK SAMA</v>
      </c>
      <c r="E87" s="277">
        <v>6</v>
      </c>
      <c r="F87" s="377" t="str">
        <f t="shared" si="5"/>
        <v>TDK SAMA</v>
      </c>
      <c r="G87" s="277">
        <v>6</v>
      </c>
      <c r="H87" s="377" t="str">
        <f t="shared" si="1"/>
        <v>TDK SAMA</v>
      </c>
      <c r="I87" s="277">
        <v>6</v>
      </c>
      <c r="J87" s="377" t="str">
        <f t="shared" si="2"/>
        <v>TDK SAMA</v>
      </c>
      <c r="K87" s="277">
        <v>6</v>
      </c>
      <c r="L87" s="377" t="str">
        <f t="shared" si="3"/>
        <v>TDK SAMA</v>
      </c>
    </row>
    <row r="88" spans="1:12" ht="13" x14ac:dyDescent="0.25">
      <c r="A88" s="277">
        <v>7</v>
      </c>
      <c r="B88" s="377" t="str">
        <f t="shared" si="4"/>
        <v>TDK SAMA</v>
      </c>
      <c r="C88" s="277">
        <v>7</v>
      </c>
      <c r="D88" s="377" t="str">
        <f t="shared" si="4"/>
        <v>TDK SAMA</v>
      </c>
      <c r="E88" s="277">
        <v>7</v>
      </c>
      <c r="F88" s="377" t="str">
        <f t="shared" si="5"/>
        <v>TDK SAMA</v>
      </c>
      <c r="G88" s="277">
        <v>7</v>
      </c>
      <c r="H88" s="377" t="str">
        <f t="shared" si="1"/>
        <v>TDK SAMA</v>
      </c>
      <c r="I88" s="277">
        <v>7</v>
      </c>
      <c r="J88" s="377" t="str">
        <f t="shared" si="2"/>
        <v>TDK SAMA</v>
      </c>
      <c r="K88" s="277">
        <v>7</v>
      </c>
      <c r="L88" s="377" t="str">
        <f t="shared" si="3"/>
        <v>TDK SAMA</v>
      </c>
    </row>
    <row r="89" spans="1:12" ht="13" x14ac:dyDescent="0.25">
      <c r="A89" s="277">
        <v>8</v>
      </c>
      <c r="B89" s="377" t="str">
        <f t="shared" si="4"/>
        <v>TDK SAMA</v>
      </c>
      <c r="C89" s="277">
        <v>8</v>
      </c>
      <c r="D89" s="377" t="str">
        <f t="shared" si="4"/>
        <v>TDK SAMA</v>
      </c>
      <c r="E89" s="277">
        <v>8</v>
      </c>
      <c r="F89" s="377" t="str">
        <f t="shared" si="5"/>
        <v>TDK SAMA</v>
      </c>
      <c r="G89" s="277">
        <v>8</v>
      </c>
      <c r="H89" s="377" t="str">
        <f t="shared" si="1"/>
        <v>TDK SAMA</v>
      </c>
      <c r="I89" s="277">
        <v>8</v>
      </c>
      <c r="J89" s="377" t="str">
        <f t="shared" si="2"/>
        <v>TDK SAMA</v>
      </c>
      <c r="K89" s="277">
        <v>8</v>
      </c>
      <c r="L89" s="377" t="str">
        <f t="shared" si="3"/>
        <v>TDK SAMA</v>
      </c>
    </row>
    <row r="90" spans="1:12" ht="13" x14ac:dyDescent="0.25">
      <c r="A90" s="277">
        <v>9</v>
      </c>
      <c r="B90" s="377" t="str">
        <f t="shared" si="4"/>
        <v>TDK SAMA</v>
      </c>
      <c r="C90" s="277">
        <v>9</v>
      </c>
      <c r="D90" s="377" t="str">
        <f t="shared" si="4"/>
        <v>TDK SAMA</v>
      </c>
      <c r="E90" s="277">
        <v>9</v>
      </c>
      <c r="F90" s="377" t="str">
        <f t="shared" si="5"/>
        <v>TDK SAMA</v>
      </c>
      <c r="G90" s="277">
        <v>9</v>
      </c>
      <c r="H90" s="377" t="str">
        <f t="shared" si="1"/>
        <v>TDK SAMA</v>
      </c>
      <c r="I90" s="277">
        <v>9</v>
      </c>
      <c r="J90" s="377" t="str">
        <f t="shared" si="2"/>
        <v>TDK SAMA</v>
      </c>
      <c r="K90" s="277">
        <v>9</v>
      </c>
      <c r="L90" s="377" t="str">
        <f t="shared" si="3"/>
        <v>TDK SAMA</v>
      </c>
    </row>
    <row r="91" spans="1:12" ht="13" x14ac:dyDescent="0.25">
      <c r="A91" s="277">
        <v>10</v>
      </c>
      <c r="B91" s="377" t="str">
        <f t="shared" si="4"/>
        <v>TDK SAMA</v>
      </c>
      <c r="C91" s="277">
        <v>10</v>
      </c>
      <c r="D91" s="377" t="str">
        <f t="shared" si="4"/>
        <v>TDK SAMA</v>
      </c>
      <c r="E91" s="277">
        <v>10</v>
      </c>
      <c r="F91" s="377" t="str">
        <f t="shared" si="5"/>
        <v>TDK SAMA</v>
      </c>
      <c r="G91" s="277">
        <v>10</v>
      </c>
      <c r="H91" s="377" t="str">
        <f t="shared" si="1"/>
        <v>TDK SAMA</v>
      </c>
      <c r="I91" s="277">
        <v>10</v>
      </c>
      <c r="J91" s="377" t="str">
        <f t="shared" si="2"/>
        <v>TDK SAMA</v>
      </c>
      <c r="K91" s="277">
        <v>10</v>
      </c>
      <c r="L91" s="377" t="str">
        <f t="shared" si="3"/>
        <v>TDK SAMA</v>
      </c>
    </row>
    <row r="92" spans="1:12" ht="13" x14ac:dyDescent="0.25">
      <c r="A92" s="277">
        <v>11</v>
      </c>
      <c r="B92" s="377" t="str">
        <f t="shared" si="4"/>
        <v>TDK SAMA</v>
      </c>
      <c r="C92" s="277">
        <v>11</v>
      </c>
      <c r="D92" s="377" t="str">
        <f t="shared" si="4"/>
        <v>TDK SAMA</v>
      </c>
      <c r="E92" s="277">
        <v>11</v>
      </c>
      <c r="F92" s="377" t="str">
        <f>IF(F58=F11,"SAMA","TDK SAMA")</f>
        <v>TDK SAMA</v>
      </c>
      <c r="G92" s="277">
        <v>11</v>
      </c>
      <c r="H92" s="377" t="str">
        <f t="shared" si="1"/>
        <v>TDK SAMA</v>
      </c>
      <c r="I92" s="277">
        <v>11</v>
      </c>
      <c r="J92" s="377" t="str">
        <f t="shared" si="2"/>
        <v>TDK SAMA</v>
      </c>
      <c r="K92" s="277">
        <v>11</v>
      </c>
      <c r="L92" s="377" t="str">
        <f t="shared" si="3"/>
        <v>TDK SAMA</v>
      </c>
    </row>
    <row r="93" spans="1:12" ht="13" x14ac:dyDescent="0.25">
      <c r="A93" s="277">
        <v>12</v>
      </c>
      <c r="B93" s="377" t="str">
        <f t="shared" si="4"/>
        <v>TDK SAMA</v>
      </c>
      <c r="C93" s="277">
        <v>12</v>
      </c>
      <c r="D93" s="377" t="str">
        <f t="shared" si="4"/>
        <v>TDK SAMA</v>
      </c>
      <c r="E93" s="277">
        <v>12</v>
      </c>
      <c r="F93" s="377" t="str">
        <f t="shared" si="0"/>
        <v>TDK SAMA</v>
      </c>
      <c r="G93" s="277">
        <v>12</v>
      </c>
      <c r="H93" s="377" t="str">
        <f t="shared" si="1"/>
        <v>TDK SAMA</v>
      </c>
      <c r="I93" s="277">
        <v>12</v>
      </c>
      <c r="J93" s="377" t="str">
        <f t="shared" si="2"/>
        <v>TDK SAMA</v>
      </c>
      <c r="K93" s="277">
        <v>12</v>
      </c>
      <c r="L93" s="377" t="str">
        <f t="shared" si="3"/>
        <v>TDK SAMA</v>
      </c>
    </row>
    <row r="94" spans="1:12" ht="13" x14ac:dyDescent="0.25">
      <c r="A94" s="277">
        <v>13</v>
      </c>
      <c r="B94" s="377" t="str">
        <f t="shared" si="4"/>
        <v>TDK SAMA</v>
      </c>
      <c r="C94" s="277">
        <v>13</v>
      </c>
      <c r="D94" s="377" t="str">
        <f t="shared" si="4"/>
        <v>TDK SAMA</v>
      </c>
      <c r="E94" s="277">
        <v>13</v>
      </c>
      <c r="F94" s="377" t="str">
        <f t="shared" si="0"/>
        <v>TDK SAMA</v>
      </c>
      <c r="G94" s="277">
        <v>13</v>
      </c>
      <c r="H94" s="377" t="str">
        <f t="shared" si="1"/>
        <v>TDK SAMA</v>
      </c>
      <c r="I94" s="277">
        <v>13</v>
      </c>
      <c r="J94" s="377" t="str">
        <f t="shared" si="2"/>
        <v>TDK SAMA</v>
      </c>
      <c r="K94" s="277">
        <v>13</v>
      </c>
      <c r="L94" s="377" t="str">
        <f t="shared" si="3"/>
        <v>TDK SAMA</v>
      </c>
    </row>
    <row r="95" spans="1:12" ht="13" x14ac:dyDescent="0.25">
      <c r="A95" s="277">
        <v>14</v>
      </c>
      <c r="B95" s="377" t="str">
        <f t="shared" si="4"/>
        <v>TDK SAMA</v>
      </c>
      <c r="C95" s="277">
        <v>14</v>
      </c>
      <c r="D95" s="377" t="str">
        <f t="shared" si="4"/>
        <v>TDK SAMA</v>
      </c>
      <c r="E95" s="277">
        <v>14</v>
      </c>
      <c r="F95" s="377" t="str">
        <f t="shared" si="0"/>
        <v>TDK SAMA</v>
      </c>
      <c r="G95" s="277">
        <v>14</v>
      </c>
      <c r="H95" s="377" t="str">
        <f t="shared" si="1"/>
        <v>TDK SAMA</v>
      </c>
      <c r="I95" s="277">
        <v>14</v>
      </c>
      <c r="J95" s="377" t="str">
        <f t="shared" si="2"/>
        <v>TDK SAMA</v>
      </c>
      <c r="K95" s="277">
        <v>14</v>
      </c>
      <c r="L95" s="377" t="str">
        <f t="shared" si="3"/>
        <v>TDK SAMA</v>
      </c>
    </row>
    <row r="96" spans="1:12" ht="13" x14ac:dyDescent="0.25">
      <c r="A96" s="277">
        <v>15</v>
      </c>
      <c r="B96" s="377" t="str">
        <f t="shared" si="4"/>
        <v>TDK SAMA</v>
      </c>
      <c r="C96" s="277">
        <v>15</v>
      </c>
      <c r="D96" s="377" t="str">
        <f t="shared" si="4"/>
        <v>TDK SAMA</v>
      </c>
      <c r="E96" s="277">
        <v>15</v>
      </c>
      <c r="F96" s="377" t="str">
        <f t="shared" si="0"/>
        <v>TDK SAMA</v>
      </c>
      <c r="G96" s="277">
        <v>15</v>
      </c>
      <c r="H96" s="377" t="str">
        <f t="shared" si="1"/>
        <v>TDK SAMA</v>
      </c>
      <c r="I96" s="277">
        <v>15</v>
      </c>
      <c r="J96" s="377" t="str">
        <f t="shared" si="2"/>
        <v>TDK SAMA</v>
      </c>
      <c r="K96" s="277">
        <v>15</v>
      </c>
      <c r="L96" s="377" t="str">
        <f t="shared" si="3"/>
        <v>TDK SAMA</v>
      </c>
    </row>
    <row r="97" spans="1:12" ht="13" x14ac:dyDescent="0.25">
      <c r="A97" s="277">
        <v>16</v>
      </c>
      <c r="B97" s="377" t="str">
        <f t="shared" si="4"/>
        <v>TDK SAMA</v>
      </c>
      <c r="C97" s="277">
        <v>16</v>
      </c>
      <c r="D97" s="377" t="str">
        <f t="shared" si="4"/>
        <v>TDK SAMA</v>
      </c>
      <c r="E97" s="277">
        <v>16</v>
      </c>
      <c r="F97" s="377" t="str">
        <f t="shared" si="0"/>
        <v>TDK SAMA</v>
      </c>
      <c r="G97" s="277">
        <v>16</v>
      </c>
      <c r="H97" s="377" t="str">
        <f t="shared" si="1"/>
        <v>TDK SAMA</v>
      </c>
      <c r="I97" s="277">
        <v>16</v>
      </c>
      <c r="J97" s="377" t="str">
        <f t="shared" si="2"/>
        <v>TDK SAMA</v>
      </c>
      <c r="K97" s="277">
        <v>16</v>
      </c>
      <c r="L97" s="377" t="str">
        <f t="shared" si="3"/>
        <v>TDK SAMA</v>
      </c>
    </row>
    <row r="98" spans="1:12" ht="13" x14ac:dyDescent="0.25">
      <c r="A98" s="277">
        <v>17</v>
      </c>
      <c r="B98" s="377" t="str">
        <f t="shared" si="4"/>
        <v>TDK SAMA</v>
      </c>
      <c r="C98" s="277">
        <v>17</v>
      </c>
      <c r="D98" s="377" t="str">
        <f t="shared" si="4"/>
        <v>TDK SAMA</v>
      </c>
      <c r="E98" s="277">
        <v>17</v>
      </c>
      <c r="F98" s="377" t="str">
        <f t="shared" si="0"/>
        <v>TDK SAMA</v>
      </c>
      <c r="G98" s="277">
        <v>17</v>
      </c>
      <c r="H98" s="377" t="str">
        <f t="shared" si="1"/>
        <v>TDK SAMA</v>
      </c>
      <c r="I98" s="277">
        <v>17</v>
      </c>
      <c r="J98" s="377" t="str">
        <f t="shared" si="2"/>
        <v>TDK SAMA</v>
      </c>
      <c r="K98" s="277">
        <v>17</v>
      </c>
      <c r="L98" s="377" t="str">
        <f t="shared" si="3"/>
        <v>TDK SAMA</v>
      </c>
    </row>
    <row r="99" spans="1:12" ht="13" x14ac:dyDescent="0.25">
      <c r="A99" s="277">
        <v>18</v>
      </c>
      <c r="B99" s="377" t="str">
        <f t="shared" si="4"/>
        <v>TDK SAMA</v>
      </c>
      <c r="C99" s="277">
        <v>18</v>
      </c>
      <c r="D99" s="377" t="str">
        <f t="shared" si="4"/>
        <v>TDK SAMA</v>
      </c>
      <c r="E99" s="277">
        <v>18</v>
      </c>
      <c r="F99" s="377" t="str">
        <f t="shared" si="0"/>
        <v>TDK SAMA</v>
      </c>
      <c r="G99" s="277">
        <v>18</v>
      </c>
      <c r="H99" s="377" t="str">
        <f t="shared" si="1"/>
        <v>TDK SAMA</v>
      </c>
      <c r="I99" s="277">
        <v>18</v>
      </c>
      <c r="J99" s="377" t="str">
        <f t="shared" si="2"/>
        <v>TDK SAMA</v>
      </c>
      <c r="K99" s="277">
        <v>18</v>
      </c>
      <c r="L99" s="377" t="str">
        <f t="shared" si="3"/>
        <v>TDK SAMA</v>
      </c>
    </row>
    <row r="100" spans="1:12" ht="13" x14ac:dyDescent="0.25">
      <c r="A100" s="277">
        <v>19</v>
      </c>
      <c r="B100" s="377" t="str">
        <f t="shared" si="4"/>
        <v>TDK SAMA</v>
      </c>
      <c r="C100" s="277">
        <v>19</v>
      </c>
      <c r="D100" s="377" t="str">
        <f t="shared" si="4"/>
        <v>TDK SAMA</v>
      </c>
      <c r="E100" s="277">
        <v>19</v>
      </c>
      <c r="F100" s="377" t="str">
        <f t="shared" si="0"/>
        <v>TDK SAMA</v>
      </c>
      <c r="G100" s="277">
        <v>19</v>
      </c>
      <c r="H100" s="377" t="str">
        <f t="shared" si="1"/>
        <v>TDK SAMA</v>
      </c>
      <c r="I100" s="277">
        <v>19</v>
      </c>
      <c r="J100" s="377" t="str">
        <f t="shared" si="2"/>
        <v>TDK SAMA</v>
      </c>
      <c r="K100" s="277">
        <v>19</v>
      </c>
      <c r="L100" s="377" t="str">
        <f t="shared" si="3"/>
        <v>TDK SAMA</v>
      </c>
    </row>
    <row r="101" spans="1:12" ht="13" x14ac:dyDescent="0.25">
      <c r="A101" s="277">
        <v>20</v>
      </c>
      <c r="B101" s="377" t="str">
        <f t="shared" si="4"/>
        <v>TDK SAMA</v>
      </c>
      <c r="C101" s="277">
        <v>20</v>
      </c>
      <c r="D101" s="377" t="str">
        <f t="shared" si="4"/>
        <v>TDK SAMA</v>
      </c>
      <c r="E101" s="277">
        <v>20</v>
      </c>
      <c r="F101" s="377" t="str">
        <f t="shared" si="0"/>
        <v>TDK SAMA</v>
      </c>
      <c r="G101" s="277">
        <v>20</v>
      </c>
      <c r="H101" s="377" t="str">
        <f t="shared" si="1"/>
        <v>TDK SAMA</v>
      </c>
      <c r="I101" s="277">
        <v>20</v>
      </c>
      <c r="J101" s="377" t="str">
        <f t="shared" si="2"/>
        <v>TDK SAMA</v>
      </c>
      <c r="K101" s="277">
        <v>20</v>
      </c>
      <c r="L101" s="377" t="str">
        <f t="shared" si="3"/>
        <v>TDK SAMA</v>
      </c>
    </row>
    <row r="102" spans="1:12" ht="13" x14ac:dyDescent="0.25">
      <c r="A102" s="277">
        <v>21</v>
      </c>
      <c r="B102" s="377" t="str">
        <f t="shared" si="4"/>
        <v>TDK SAMA</v>
      </c>
      <c r="C102" s="277">
        <v>21</v>
      </c>
      <c r="D102" s="377" t="str">
        <f t="shared" si="4"/>
        <v>TDK SAMA</v>
      </c>
      <c r="E102" s="277">
        <v>21</v>
      </c>
      <c r="F102" s="377" t="str">
        <f t="shared" si="0"/>
        <v>TDK SAMA</v>
      </c>
      <c r="G102" s="277">
        <v>21</v>
      </c>
      <c r="H102" s="377" t="str">
        <f t="shared" si="1"/>
        <v>TDK SAMA</v>
      </c>
      <c r="I102" s="277">
        <v>21</v>
      </c>
      <c r="J102" s="377" t="str">
        <f t="shared" si="2"/>
        <v>TDK SAMA</v>
      </c>
      <c r="K102" s="277">
        <v>21</v>
      </c>
      <c r="L102" s="377" t="str">
        <f t="shared" si="3"/>
        <v>TDK SAMA</v>
      </c>
    </row>
    <row r="103" spans="1:12" ht="13" x14ac:dyDescent="0.25">
      <c r="A103" s="277">
        <v>22</v>
      </c>
      <c r="B103" s="377" t="str">
        <f t="shared" si="4"/>
        <v>TDK SAMA</v>
      </c>
      <c r="C103" s="277">
        <v>22</v>
      </c>
      <c r="D103" s="377" t="str">
        <f t="shared" si="4"/>
        <v>TDK SAMA</v>
      </c>
      <c r="E103" s="277">
        <v>22</v>
      </c>
      <c r="F103" s="377" t="str">
        <f t="shared" si="0"/>
        <v>TDK SAMA</v>
      </c>
      <c r="G103" s="277">
        <v>22</v>
      </c>
      <c r="H103" s="377" t="str">
        <f t="shared" si="1"/>
        <v>TDK SAMA</v>
      </c>
      <c r="I103" s="277">
        <v>22</v>
      </c>
      <c r="J103" s="377" t="str">
        <f t="shared" si="2"/>
        <v>TDK SAMA</v>
      </c>
      <c r="K103" s="277">
        <v>22</v>
      </c>
      <c r="L103" s="377" t="str">
        <f t="shared" si="3"/>
        <v>TDK SAMA</v>
      </c>
    </row>
    <row r="104" spans="1:12" ht="13" x14ac:dyDescent="0.25">
      <c r="A104" s="277">
        <v>23</v>
      </c>
      <c r="B104" s="377" t="str">
        <f t="shared" si="4"/>
        <v>TDK SAMA</v>
      </c>
      <c r="C104" s="277">
        <v>23</v>
      </c>
      <c r="D104" s="377" t="str">
        <f t="shared" si="4"/>
        <v>TDK SAMA</v>
      </c>
      <c r="E104" s="277">
        <v>23</v>
      </c>
      <c r="F104" s="377" t="str">
        <f t="shared" si="0"/>
        <v>TDK SAMA</v>
      </c>
      <c r="G104" s="277">
        <v>23</v>
      </c>
      <c r="H104" s="377" t="str">
        <f t="shared" si="1"/>
        <v>TDK SAMA</v>
      </c>
      <c r="I104" s="277">
        <v>23</v>
      </c>
      <c r="J104" s="377" t="str">
        <f t="shared" si="2"/>
        <v>TDK SAMA</v>
      </c>
      <c r="K104" s="277">
        <v>23</v>
      </c>
      <c r="L104" s="377" t="str">
        <f t="shared" si="3"/>
        <v>TDK SAMA</v>
      </c>
    </row>
    <row r="105" spans="1:12" ht="13" x14ac:dyDescent="0.25">
      <c r="A105" s="277">
        <v>24</v>
      </c>
      <c r="B105" s="377" t="str">
        <f t="shared" si="4"/>
        <v>TDK SAMA</v>
      </c>
      <c r="C105" s="277">
        <v>24</v>
      </c>
      <c r="D105" s="377" t="str">
        <f t="shared" si="4"/>
        <v>TDK SAMA</v>
      </c>
      <c r="E105" s="277">
        <v>24</v>
      </c>
      <c r="F105" s="377" t="str">
        <f t="shared" si="0"/>
        <v>TDK SAMA</v>
      </c>
      <c r="G105" s="277">
        <v>24</v>
      </c>
      <c r="H105" s="377" t="str">
        <f t="shared" si="1"/>
        <v>TDK SAMA</v>
      </c>
      <c r="I105" s="277">
        <v>24</v>
      </c>
      <c r="J105" s="377" t="str">
        <f t="shared" si="2"/>
        <v>TDK SAMA</v>
      </c>
      <c r="K105" s="277">
        <v>24</v>
      </c>
      <c r="L105" s="377" t="str">
        <f t="shared" si="3"/>
        <v>TDK SAMA</v>
      </c>
    </row>
    <row r="106" spans="1:12" ht="13" x14ac:dyDescent="0.25">
      <c r="A106" s="277">
        <v>25</v>
      </c>
      <c r="B106" s="377" t="str">
        <f t="shared" si="4"/>
        <v>TDK SAMA</v>
      </c>
      <c r="C106" s="277">
        <v>25</v>
      </c>
      <c r="D106" s="377" t="str">
        <f t="shared" si="4"/>
        <v>TDK SAMA</v>
      </c>
      <c r="E106" s="277">
        <v>25</v>
      </c>
      <c r="F106" s="377" t="str">
        <f t="shared" si="0"/>
        <v>TDK SAMA</v>
      </c>
      <c r="G106" s="277">
        <v>25</v>
      </c>
      <c r="H106" s="377" t="str">
        <f t="shared" si="1"/>
        <v>TDK SAMA</v>
      </c>
      <c r="I106" s="277">
        <v>25</v>
      </c>
      <c r="J106" s="377" t="str">
        <f t="shared" si="2"/>
        <v>TDK SAMA</v>
      </c>
      <c r="K106" s="277">
        <v>25</v>
      </c>
      <c r="L106" s="377" t="str">
        <f t="shared" si="3"/>
        <v>TDK SAMA</v>
      </c>
    </row>
    <row r="107" spans="1:12" ht="13" x14ac:dyDescent="0.25">
      <c r="A107" s="277">
        <v>26</v>
      </c>
      <c r="B107" s="377" t="str">
        <f t="shared" si="4"/>
        <v>TDK SAMA</v>
      </c>
      <c r="C107" s="277">
        <v>26</v>
      </c>
      <c r="D107" s="377" t="str">
        <f t="shared" si="4"/>
        <v>TDK SAMA</v>
      </c>
      <c r="E107" s="277">
        <v>26</v>
      </c>
      <c r="F107" s="377" t="str">
        <f t="shared" si="0"/>
        <v>TDK SAMA</v>
      </c>
      <c r="G107" s="277">
        <v>26</v>
      </c>
      <c r="H107" s="377" t="str">
        <f t="shared" si="1"/>
        <v>TDK SAMA</v>
      </c>
      <c r="I107" s="277">
        <v>26</v>
      </c>
      <c r="J107" s="377" t="str">
        <f t="shared" si="2"/>
        <v>TDK SAMA</v>
      </c>
      <c r="K107" s="277">
        <v>26</v>
      </c>
      <c r="L107" s="377" t="str">
        <f t="shared" si="3"/>
        <v>TDK SAMA</v>
      </c>
    </row>
    <row r="108" spans="1:12" ht="13" x14ac:dyDescent="0.25">
      <c r="A108" s="277">
        <v>27</v>
      </c>
      <c r="B108" s="377" t="str">
        <f t="shared" si="4"/>
        <v>TDK SAMA</v>
      </c>
      <c r="C108" s="277">
        <v>27</v>
      </c>
      <c r="D108" s="377" t="str">
        <f t="shared" si="4"/>
        <v>TDK SAMA</v>
      </c>
      <c r="E108" s="277">
        <v>27</v>
      </c>
      <c r="F108" s="377" t="str">
        <f t="shared" si="0"/>
        <v>TDK SAMA</v>
      </c>
      <c r="G108" s="277">
        <v>27</v>
      </c>
      <c r="H108" s="377" t="str">
        <f t="shared" si="1"/>
        <v>TDK SAMA</v>
      </c>
      <c r="I108" s="277">
        <v>27</v>
      </c>
      <c r="J108" s="377" t="str">
        <f t="shared" si="2"/>
        <v>TDK SAMA</v>
      </c>
      <c r="K108" s="277">
        <v>27</v>
      </c>
      <c r="L108" s="377" t="str">
        <f t="shared" si="3"/>
        <v>TDK SAMA</v>
      </c>
    </row>
    <row r="109" spans="1:12" ht="13" x14ac:dyDescent="0.25">
      <c r="A109" s="277">
        <v>28</v>
      </c>
      <c r="B109" s="377" t="str">
        <f t="shared" si="4"/>
        <v>TDK SAMA</v>
      </c>
      <c r="C109" s="277">
        <v>28</v>
      </c>
      <c r="D109" s="377" t="str">
        <f t="shared" si="4"/>
        <v>TDK SAMA</v>
      </c>
      <c r="E109" s="277">
        <v>28</v>
      </c>
      <c r="F109" s="377" t="str">
        <f t="shared" si="0"/>
        <v>TDK SAMA</v>
      </c>
      <c r="G109" s="277">
        <v>28</v>
      </c>
      <c r="H109" s="377" t="str">
        <f t="shared" si="1"/>
        <v>TDK SAMA</v>
      </c>
      <c r="I109" s="277">
        <v>28</v>
      </c>
      <c r="J109" s="377" t="str">
        <f t="shared" si="2"/>
        <v>TDK SAMA</v>
      </c>
      <c r="K109" s="277">
        <v>28</v>
      </c>
      <c r="L109" s="377" t="str">
        <f t="shared" si="3"/>
        <v>TDK SAMA</v>
      </c>
    </row>
    <row r="110" spans="1:12" ht="13" x14ac:dyDescent="0.25">
      <c r="A110" s="277">
        <v>29</v>
      </c>
      <c r="B110" s="377" t="str">
        <f t="shared" si="4"/>
        <v>TDK SAMA</v>
      </c>
      <c r="C110" s="277">
        <v>29</v>
      </c>
      <c r="D110" s="377" t="str">
        <f t="shared" si="4"/>
        <v>TDK SAMA</v>
      </c>
      <c r="E110" s="277">
        <v>29</v>
      </c>
      <c r="F110" s="377" t="str">
        <f t="shared" si="0"/>
        <v>TDK SAMA</v>
      </c>
      <c r="G110" s="277">
        <v>29</v>
      </c>
      <c r="H110" s="377" t="str">
        <f t="shared" si="1"/>
        <v>TDK SAMA</v>
      </c>
      <c r="I110" s="277">
        <v>29</v>
      </c>
      <c r="J110" s="377" t="str">
        <f t="shared" si="2"/>
        <v>TDK SAMA</v>
      </c>
      <c r="K110" s="277">
        <v>29</v>
      </c>
      <c r="L110" s="377" t="str">
        <f t="shared" si="3"/>
        <v>TDK SAMA</v>
      </c>
    </row>
    <row r="111" spans="1:12" ht="13" x14ac:dyDescent="0.25">
      <c r="A111" s="277">
        <v>30</v>
      </c>
      <c r="B111" s="377" t="str">
        <f t="shared" si="4"/>
        <v>TDK SAMA</v>
      </c>
      <c r="C111" s="277">
        <v>30</v>
      </c>
      <c r="D111" s="377" t="str">
        <f t="shared" si="4"/>
        <v>TDK SAMA</v>
      </c>
      <c r="E111" s="277">
        <v>30</v>
      </c>
      <c r="F111" s="377" t="str">
        <f t="shared" si="0"/>
        <v>TDK SAMA</v>
      </c>
      <c r="G111" s="277">
        <v>30</v>
      </c>
      <c r="H111" s="377" t="str">
        <f t="shared" si="1"/>
        <v>TDK SAMA</v>
      </c>
      <c r="I111" s="277">
        <v>30</v>
      </c>
      <c r="J111" s="377" t="str">
        <f t="shared" si="2"/>
        <v>TDK SAMA</v>
      </c>
      <c r="K111" s="277">
        <v>30</v>
      </c>
      <c r="L111" s="377" t="str">
        <f t="shared" si="3"/>
        <v>TDK SAMA</v>
      </c>
    </row>
    <row r="112" spans="1:12" ht="13" x14ac:dyDescent="0.25">
      <c r="A112" s="277">
        <v>31</v>
      </c>
      <c r="B112" s="377" t="str">
        <f t="shared" si="4"/>
        <v>TDK SAMA</v>
      </c>
      <c r="C112" s="277">
        <v>31</v>
      </c>
      <c r="D112" s="377" t="str">
        <f t="shared" si="4"/>
        <v>TDK SAMA</v>
      </c>
      <c r="E112" s="277">
        <v>31</v>
      </c>
      <c r="F112" s="377" t="str">
        <f t="shared" si="0"/>
        <v>TDK SAMA</v>
      </c>
      <c r="G112" s="277">
        <v>31</v>
      </c>
      <c r="H112" s="377" t="str">
        <f t="shared" si="1"/>
        <v>TDK SAMA</v>
      </c>
      <c r="I112" s="277">
        <v>31</v>
      </c>
      <c r="J112" s="377" t="str">
        <f t="shared" si="2"/>
        <v>TDK SAMA</v>
      </c>
      <c r="K112" s="277">
        <v>31</v>
      </c>
      <c r="L112" s="377" t="str">
        <f t="shared" si="3"/>
        <v>SAMA</v>
      </c>
    </row>
    <row r="113" spans="1:12" ht="13" x14ac:dyDescent="0.25">
      <c r="A113" s="277">
        <v>32</v>
      </c>
      <c r="B113" s="377" t="str">
        <f t="shared" si="4"/>
        <v>TDK SAMA</v>
      </c>
      <c r="C113" s="277">
        <v>32</v>
      </c>
      <c r="D113" s="377" t="str">
        <f t="shared" si="4"/>
        <v>TDK SAMA</v>
      </c>
      <c r="E113" s="277">
        <v>32</v>
      </c>
      <c r="F113" s="377" t="str">
        <f t="shared" si="0"/>
        <v>TDK SAMA</v>
      </c>
      <c r="G113" s="277">
        <v>32</v>
      </c>
      <c r="H113" s="377" t="str">
        <f t="shared" si="1"/>
        <v>TDK SAMA</v>
      </c>
      <c r="I113" s="277">
        <v>32</v>
      </c>
      <c r="J113" s="377" t="str">
        <f t="shared" si="2"/>
        <v>TDK SAMA</v>
      </c>
      <c r="K113" s="277">
        <v>32</v>
      </c>
      <c r="L113" s="377" t="str">
        <f t="shared" si="3"/>
        <v>SAMA</v>
      </c>
    </row>
  </sheetData>
  <mergeCells count="2">
    <mergeCell ref="A1:G1"/>
    <mergeCell ref="A7:L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2B03-6DD1-4ADA-9AC7-B9ED25253D43}">
  <dimension ref="A1:X282"/>
  <sheetViews>
    <sheetView topLeftCell="A199" zoomScaleNormal="100" workbookViewId="0">
      <selection activeCell="D149" sqref="D149:D179"/>
    </sheetView>
  </sheetViews>
  <sheetFormatPr defaultRowHeight="12.5" x14ac:dyDescent="0.25"/>
  <cols>
    <col min="1" max="1" width="2.81640625" customWidth="1"/>
    <col min="2" max="2" width="3.54296875" customWidth="1"/>
    <col min="3" max="3" width="17.81640625" customWidth="1"/>
    <col min="4" max="4" width="4.453125" customWidth="1"/>
    <col min="5" max="6" width="4.26953125" customWidth="1"/>
    <col min="7" max="7" width="4.453125" customWidth="1"/>
    <col min="8" max="8" width="3.1796875" customWidth="1"/>
    <col min="9" max="9" width="6" customWidth="1"/>
    <col min="10" max="10" width="6.81640625" customWidth="1"/>
    <col min="11" max="11" width="9.453125" customWidth="1"/>
    <col min="12" max="12" width="6.1796875" customWidth="1"/>
    <col min="13" max="13" width="25.54296875" customWidth="1"/>
    <col min="14" max="14" width="3.54296875" customWidth="1"/>
    <col min="15" max="15" width="2.54296875" customWidth="1"/>
    <col min="16" max="16" width="2.7265625" customWidth="1"/>
    <col min="17" max="17" width="17.1796875" customWidth="1"/>
    <col min="18" max="18" width="6.81640625" customWidth="1"/>
    <col min="19" max="19" width="3.7265625" customWidth="1"/>
    <col min="20" max="20" width="23.81640625" customWidth="1"/>
  </cols>
  <sheetData>
    <row r="1" spans="1:20" ht="12" customHeight="1" x14ac:dyDescent="0.25">
      <c r="A1" s="456" t="s">
        <v>298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8"/>
      <c r="Q1" s="456" t="s">
        <v>40</v>
      </c>
      <c r="R1" s="457"/>
      <c r="S1" s="457"/>
      <c r="T1" s="458"/>
    </row>
    <row r="2" spans="1:20" ht="12" customHeight="1" x14ac:dyDescent="0.25">
      <c r="A2" s="453" t="s">
        <v>487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5"/>
      <c r="Q2" s="453" t="s">
        <v>61</v>
      </c>
      <c r="R2" s="454"/>
      <c r="S2" s="454"/>
      <c r="T2" s="455"/>
    </row>
    <row r="3" spans="1:20" ht="12" customHeight="1" x14ac:dyDescent="0.25">
      <c r="O3" t="s">
        <v>63</v>
      </c>
    </row>
    <row r="4" spans="1:20" ht="12" customHeight="1" x14ac:dyDescent="0.25">
      <c r="A4" s="99" t="s">
        <v>65</v>
      </c>
      <c r="C4" s="102" t="str">
        <f>DATA!B8</f>
        <v>9A</v>
      </c>
      <c r="D4" t="s">
        <v>297</v>
      </c>
      <c r="F4" s="178">
        <v>1</v>
      </c>
      <c r="I4" t="s">
        <v>20</v>
      </c>
      <c r="J4" s="90"/>
      <c r="K4" s="88">
        <v>45877</v>
      </c>
      <c r="M4" s="1" t="s">
        <v>60</v>
      </c>
      <c r="N4" s="91">
        <f>F4</f>
        <v>1</v>
      </c>
      <c r="Q4" t="s">
        <v>28</v>
      </c>
      <c r="R4" s="470">
        <f>K4+7</f>
        <v>45884</v>
      </c>
      <c r="S4" s="470"/>
    </row>
    <row r="5" spans="1:20" ht="12" customHeight="1" x14ac:dyDescent="0.25">
      <c r="A5" s="2"/>
      <c r="B5" s="2"/>
      <c r="C5" s="3" t="s">
        <v>7</v>
      </c>
      <c r="D5" s="32">
        <v>1</v>
      </c>
      <c r="E5" s="33">
        <v>2</v>
      </c>
      <c r="F5" s="33">
        <v>3</v>
      </c>
      <c r="G5" s="33">
        <v>4</v>
      </c>
      <c r="H5" s="34">
        <v>5</v>
      </c>
      <c r="I5" s="35" t="s">
        <v>3</v>
      </c>
      <c r="J5" s="4" t="s">
        <v>4</v>
      </c>
      <c r="K5" s="53" t="s">
        <v>83</v>
      </c>
      <c r="L5" s="35" t="s">
        <v>43</v>
      </c>
      <c r="M5" s="459" t="s">
        <v>9</v>
      </c>
      <c r="N5" s="460"/>
      <c r="O5" s="461"/>
      <c r="Q5" s="2"/>
      <c r="R5" s="35" t="s">
        <v>24</v>
      </c>
      <c r="S5" s="60"/>
      <c r="T5" s="61"/>
    </row>
    <row r="6" spans="1:20" ht="12" customHeight="1" x14ac:dyDescent="0.25">
      <c r="A6" s="6" t="s">
        <v>0</v>
      </c>
      <c r="B6" s="6" t="s">
        <v>1</v>
      </c>
      <c r="C6" s="5" t="s">
        <v>8</v>
      </c>
      <c r="D6" s="55">
        <v>30</v>
      </c>
      <c r="E6" s="56">
        <v>40</v>
      </c>
      <c r="F6" s="56">
        <v>30</v>
      </c>
      <c r="G6" s="56"/>
      <c r="H6" s="57"/>
      <c r="I6" s="21">
        <f>SUM(D6:H6)</f>
        <v>100</v>
      </c>
      <c r="J6" s="6" t="s">
        <v>5</v>
      </c>
      <c r="K6" s="52" t="s">
        <v>22</v>
      </c>
      <c r="L6" s="11" t="s">
        <v>44</v>
      </c>
      <c r="M6" s="462"/>
      <c r="N6" s="463"/>
      <c r="O6" s="464"/>
      <c r="Q6" s="6" t="s">
        <v>2</v>
      </c>
      <c r="R6" s="11" t="s">
        <v>25</v>
      </c>
      <c r="S6" s="468" t="s">
        <v>27</v>
      </c>
      <c r="T6" s="469"/>
    </row>
    <row r="7" spans="1:20" ht="12" customHeight="1" x14ac:dyDescent="0.25">
      <c r="A7" s="6"/>
      <c r="B7" s="6"/>
      <c r="C7" s="51" t="s">
        <v>2</v>
      </c>
      <c r="D7" s="36"/>
      <c r="E7" s="37"/>
      <c r="F7" s="37"/>
      <c r="G7" s="37"/>
      <c r="H7" s="38"/>
      <c r="I7" s="11"/>
      <c r="J7" s="6" t="s">
        <v>6</v>
      </c>
      <c r="K7" s="54"/>
      <c r="L7" s="59" t="s">
        <v>45</v>
      </c>
      <c r="M7" s="465"/>
      <c r="N7" s="466"/>
      <c r="O7" s="467"/>
      <c r="Q7" s="7"/>
      <c r="R7" s="59" t="s">
        <v>26</v>
      </c>
      <c r="S7" s="8"/>
      <c r="T7" s="9"/>
    </row>
    <row r="8" spans="1:20" ht="12" customHeight="1" x14ac:dyDescent="0.25">
      <c r="A8" s="20">
        <v>1</v>
      </c>
      <c r="B8" s="18"/>
      <c r="C8" s="81" t="str">
        <f>DATA!B10</f>
        <v>Affan Bagus Ramadhani</v>
      </c>
      <c r="D8" s="131">
        <v>10</v>
      </c>
      <c r="E8" s="40"/>
      <c r="F8" s="40"/>
      <c r="G8" s="40"/>
      <c r="H8" s="41"/>
      <c r="I8" s="180">
        <f>SUM(D8:H8)</f>
        <v>10</v>
      </c>
      <c r="J8" s="46">
        <f>I8</f>
        <v>10</v>
      </c>
      <c r="K8" s="21" t="str">
        <f>IF(J8&lt;$N$10,"tdk tuntas","tuntas")</f>
        <v>tdk tuntas</v>
      </c>
      <c r="L8" s="209" t="str">
        <f>IF(J8&lt;=39.9,"80",IF(J8&lt;=59.9,"81",IF(J8&lt;=69.9,"82",IF(J8&lt;=74.9,"83",IF(J8&lt;=78.9,"84",IF(J8&lt;=78.9,"85",IF(J8&gt;=78.9,J8," ")))))))</f>
        <v>80</v>
      </c>
      <c r="M8" s="23"/>
      <c r="N8" s="23"/>
      <c r="O8" s="13"/>
      <c r="Q8" s="67" t="str">
        <f>C8</f>
        <v>Affan Bagus Ramadhani</v>
      </c>
      <c r="R8" s="21" t="str">
        <f>IF(I8&lt;$N$10,"80","")</f>
        <v>80</v>
      </c>
      <c r="S8" s="12"/>
      <c r="T8" s="13"/>
    </row>
    <row r="9" spans="1:20" ht="12" customHeight="1" x14ac:dyDescent="0.25">
      <c r="A9" s="21">
        <v>2</v>
      </c>
      <c r="B9" s="19"/>
      <c r="C9" s="82" t="str">
        <f>DATA!B11</f>
        <v>Affansa Rayya Assalafi</v>
      </c>
      <c r="D9" s="248">
        <v>20</v>
      </c>
      <c r="E9" s="43"/>
      <c r="F9" s="43"/>
      <c r="G9" s="43"/>
      <c r="H9" s="44"/>
      <c r="I9" s="181">
        <f t="shared" ref="I9:I39" si="0">SUM(D9:H9)</f>
        <v>20</v>
      </c>
      <c r="J9" s="45">
        <f t="shared" ref="J9:J34" si="1">I9</f>
        <v>20</v>
      </c>
      <c r="K9" s="21" t="str">
        <f t="shared" ref="K9:K34" si="2">IF(J9&lt;$N$10,"tdk tuntas","tuntas")</f>
        <v>tdk tuntas</v>
      </c>
      <c r="L9" s="210" t="str">
        <f t="shared" ref="L9:L40" si="3">IF(J9&lt;=39.9,"80",IF(J9&lt;=59.9,"81",IF(J9&lt;=69.9,"82",IF(J9&lt;=74.9,"83",IF(J9&lt;=78.9,"84",IF(J9&lt;=78.9,"85",IF(J9&gt;=78.9,J9," ")))))))</f>
        <v>80</v>
      </c>
      <c r="M9" s="24"/>
      <c r="N9" s="24"/>
      <c r="O9" s="15"/>
      <c r="Q9" s="68" t="str">
        <f t="shared" ref="Q9:Q38" si="4">C9</f>
        <v>Affansa Rayya Assalafi</v>
      </c>
      <c r="R9" s="21" t="str">
        <f>IF(I9&lt;$N$10,"81","")</f>
        <v>81</v>
      </c>
      <c r="S9" s="14" t="s">
        <v>29</v>
      </c>
      <c r="T9" s="15"/>
    </row>
    <row r="10" spans="1:20" ht="12" customHeight="1" thickBot="1" x14ac:dyDescent="0.35">
      <c r="A10" s="21">
        <v>3</v>
      </c>
      <c r="B10" s="19"/>
      <c r="C10" s="82" t="str">
        <f>DATA!B12</f>
        <v>Agel Fransiska</v>
      </c>
      <c r="D10" s="248">
        <v>50</v>
      </c>
      <c r="E10" s="43"/>
      <c r="F10" s="43"/>
      <c r="G10" s="43"/>
      <c r="H10" s="44"/>
      <c r="I10" s="181">
        <f t="shared" si="0"/>
        <v>50</v>
      </c>
      <c r="J10" s="45">
        <f t="shared" si="1"/>
        <v>50</v>
      </c>
      <c r="K10" s="21" t="str">
        <f t="shared" si="2"/>
        <v>tdk tuntas</v>
      </c>
      <c r="L10" s="210" t="str">
        <f t="shared" si="3"/>
        <v>81</v>
      </c>
      <c r="M10" s="340" t="s">
        <v>62</v>
      </c>
      <c r="N10" s="76">
        <f>DATA!F4</f>
        <v>80</v>
      </c>
      <c r="O10" s="15"/>
      <c r="Q10" s="68" t="str">
        <f t="shared" si="4"/>
        <v>Agel Fransiska</v>
      </c>
      <c r="R10" s="21" t="str">
        <f>IF(I10&lt;$N$10,"81","")</f>
        <v>81</v>
      </c>
      <c r="S10" s="26"/>
      <c r="T10" s="15"/>
    </row>
    <row r="11" spans="1:20" ht="12" customHeight="1" thickTop="1" thickBot="1" x14ac:dyDescent="0.3">
      <c r="A11" s="21">
        <v>4</v>
      </c>
      <c r="B11" s="19"/>
      <c r="C11" s="82" t="str">
        <f>DATA!B13</f>
        <v>Alfin Putra Firmansyah</v>
      </c>
      <c r="D11" s="248">
        <v>60</v>
      </c>
      <c r="E11" s="43"/>
      <c r="F11" s="43"/>
      <c r="G11" s="43"/>
      <c r="H11" s="44"/>
      <c r="I11" s="181">
        <f t="shared" si="0"/>
        <v>60</v>
      </c>
      <c r="J11" s="45">
        <f t="shared" si="1"/>
        <v>60</v>
      </c>
      <c r="K11" s="21" t="str">
        <f t="shared" si="2"/>
        <v>tdk tuntas</v>
      </c>
      <c r="L11" s="210" t="str">
        <f t="shared" si="3"/>
        <v>82</v>
      </c>
      <c r="M11" s="24"/>
      <c r="N11" s="24"/>
      <c r="O11" s="15"/>
      <c r="Q11" s="68" t="str">
        <f t="shared" si="4"/>
        <v>Alfin Putra Firmansyah</v>
      </c>
      <c r="R11" s="21" t="str">
        <f>IF(I11&lt;$N$10,"84","")</f>
        <v>84</v>
      </c>
      <c r="S11" s="62"/>
      <c r="T11" s="15" t="s">
        <v>35</v>
      </c>
    </row>
    <row r="12" spans="1:20" ht="12" customHeight="1" thickTop="1" thickBot="1" x14ac:dyDescent="0.3">
      <c r="A12" s="21">
        <v>5</v>
      </c>
      <c r="B12" s="19"/>
      <c r="C12" s="82" t="str">
        <f>DATA!B14</f>
        <v>Almira Sadia Qonitah</v>
      </c>
      <c r="D12" s="248">
        <v>80</v>
      </c>
      <c r="E12" s="43"/>
      <c r="F12" s="43"/>
      <c r="G12" s="43"/>
      <c r="H12" s="44"/>
      <c r="I12" s="181">
        <f t="shared" si="0"/>
        <v>80</v>
      </c>
      <c r="J12" s="45">
        <f t="shared" si="1"/>
        <v>80</v>
      </c>
      <c r="K12" s="21" t="str">
        <f t="shared" si="2"/>
        <v>tuntas</v>
      </c>
      <c r="L12" s="210">
        <f t="shared" si="3"/>
        <v>80</v>
      </c>
      <c r="M12" s="24"/>
      <c r="N12" s="24"/>
      <c r="O12" s="15"/>
      <c r="Q12" s="68" t="str">
        <f t="shared" si="4"/>
        <v>Almira Sadia Qonitah</v>
      </c>
      <c r="R12" s="21" t="str">
        <f>IF(I12&lt;$N$10,"87","")</f>
        <v/>
      </c>
      <c r="S12" s="62"/>
      <c r="T12" s="15" t="s">
        <v>38</v>
      </c>
    </row>
    <row r="13" spans="1:20" ht="12" customHeight="1" thickTop="1" thickBot="1" x14ac:dyDescent="0.3">
      <c r="A13" s="21">
        <v>6</v>
      </c>
      <c r="B13" s="19"/>
      <c r="C13" s="82" t="str">
        <f>DATA!B15</f>
        <v>Arif Perdana Putra</v>
      </c>
      <c r="D13" s="134">
        <v>0</v>
      </c>
      <c r="E13" s="43"/>
      <c r="F13" s="43"/>
      <c r="G13" s="43"/>
      <c r="H13" s="44"/>
      <c r="I13" s="181">
        <f t="shared" si="0"/>
        <v>0</v>
      </c>
      <c r="J13" s="45">
        <f t="shared" si="1"/>
        <v>0</v>
      </c>
      <c r="K13" s="21" t="str">
        <f t="shared" si="2"/>
        <v>tdk tuntas</v>
      </c>
      <c r="L13" s="210" t="str">
        <f t="shared" si="3"/>
        <v>80</v>
      </c>
      <c r="M13" s="24" t="s">
        <v>10</v>
      </c>
      <c r="N13" s="24"/>
      <c r="O13" s="15"/>
      <c r="Q13" s="68" t="str">
        <f t="shared" si="4"/>
        <v>Arif Perdana Putra</v>
      </c>
      <c r="R13" s="21" t="str">
        <f>IF(I13&lt;$N$10,"82","")</f>
        <v>82</v>
      </c>
      <c r="S13" s="14"/>
      <c r="T13" s="15" t="s">
        <v>39</v>
      </c>
    </row>
    <row r="14" spans="1:20" ht="12" customHeight="1" thickTop="1" thickBot="1" x14ac:dyDescent="0.35">
      <c r="A14" s="21">
        <v>7</v>
      </c>
      <c r="B14" s="19"/>
      <c r="C14" s="82" t="str">
        <f>DATA!B16</f>
        <v>Asifa Nariyati</v>
      </c>
      <c r="D14" s="248">
        <v>30</v>
      </c>
      <c r="E14" s="43"/>
      <c r="F14" s="43"/>
      <c r="G14" s="43"/>
      <c r="H14" s="44"/>
      <c r="I14" s="181">
        <f t="shared" si="0"/>
        <v>30</v>
      </c>
      <c r="J14" s="45">
        <f t="shared" si="1"/>
        <v>30</v>
      </c>
      <c r="K14" s="21" t="str">
        <f t="shared" si="2"/>
        <v>tdk tuntas</v>
      </c>
      <c r="L14" s="210" t="str">
        <f t="shared" si="3"/>
        <v>80</v>
      </c>
      <c r="M14" s="24"/>
      <c r="N14" s="24"/>
      <c r="O14" s="15"/>
      <c r="Q14" s="68" t="str">
        <f t="shared" si="4"/>
        <v>Asifa Nariyati</v>
      </c>
      <c r="R14" s="21" t="str">
        <f>IF(I14&lt;$N$10,"80","")</f>
        <v>80</v>
      </c>
      <c r="S14" s="71" t="s">
        <v>46</v>
      </c>
      <c r="T14" s="119" t="s">
        <v>36</v>
      </c>
    </row>
    <row r="15" spans="1:20" ht="12" customHeight="1" thickTop="1" x14ac:dyDescent="0.3">
      <c r="A15" s="21">
        <v>8</v>
      </c>
      <c r="B15" s="19"/>
      <c r="C15" s="82" t="str">
        <f>DATA!B17</f>
        <v>Calvin Mandala Putra</v>
      </c>
      <c r="D15" s="134">
        <v>30</v>
      </c>
      <c r="E15" s="43"/>
      <c r="F15" s="43"/>
      <c r="G15" s="43"/>
      <c r="H15" s="44"/>
      <c r="I15" s="181">
        <f t="shared" si="0"/>
        <v>30</v>
      </c>
      <c r="J15" s="45">
        <f t="shared" si="1"/>
        <v>30</v>
      </c>
      <c r="K15" s="21" t="str">
        <f t="shared" si="2"/>
        <v>tdk tuntas</v>
      </c>
      <c r="L15" s="210" t="str">
        <f t="shared" si="3"/>
        <v>80</v>
      </c>
      <c r="M15" s="341" t="s">
        <v>51</v>
      </c>
      <c r="N15" s="24"/>
      <c r="O15" s="15"/>
      <c r="Q15" s="68" t="str">
        <f t="shared" si="4"/>
        <v>Calvin Mandala Putra</v>
      </c>
      <c r="R15" s="21" t="str">
        <f>IF(I15&lt;$N$10,"84","")</f>
        <v>84</v>
      </c>
      <c r="S15" s="70"/>
      <c r="T15" s="119" t="s">
        <v>37</v>
      </c>
    </row>
    <row r="16" spans="1:20" ht="12" customHeight="1" x14ac:dyDescent="0.25">
      <c r="A16" s="21">
        <v>9</v>
      </c>
      <c r="B16" s="19"/>
      <c r="C16" s="82" t="str">
        <f>DATA!B18</f>
        <v>Decha Rifqoh Alma Dhini</v>
      </c>
      <c r="D16" s="134">
        <v>30</v>
      </c>
      <c r="E16" s="43"/>
      <c r="F16" s="43"/>
      <c r="G16" s="43"/>
      <c r="H16" s="44"/>
      <c r="I16" s="181">
        <f t="shared" si="0"/>
        <v>30</v>
      </c>
      <c r="J16" s="45">
        <f t="shared" si="1"/>
        <v>30</v>
      </c>
      <c r="K16" s="21" t="str">
        <f t="shared" si="2"/>
        <v>tdk tuntas</v>
      </c>
      <c r="L16" s="210" t="str">
        <f t="shared" si="3"/>
        <v>80</v>
      </c>
      <c r="N16" s="24"/>
      <c r="O16" s="15"/>
      <c r="Q16" s="68" t="str">
        <f t="shared" si="4"/>
        <v>Decha Rifqoh Alma Dhini</v>
      </c>
      <c r="R16" s="21" t="str">
        <f>IF(I16&lt;$N$10,"88","")</f>
        <v>88</v>
      </c>
      <c r="S16" s="14"/>
      <c r="T16" s="15"/>
    </row>
    <row r="17" spans="1:20" ht="12" customHeight="1" x14ac:dyDescent="0.25">
      <c r="A17" s="21">
        <v>10</v>
      </c>
      <c r="B17" s="19"/>
      <c r="C17" s="82" t="str">
        <f>DATA!B19</f>
        <v>Fathir Hibatullah Harahap</v>
      </c>
      <c r="D17" s="248">
        <v>0</v>
      </c>
      <c r="E17" s="43"/>
      <c r="F17" s="43"/>
      <c r="G17" s="43"/>
      <c r="H17" s="44"/>
      <c r="I17" s="181">
        <f t="shared" si="0"/>
        <v>0</v>
      </c>
      <c r="J17" s="45">
        <f t="shared" si="1"/>
        <v>0</v>
      </c>
      <c r="K17" s="21" t="str">
        <f t="shared" si="2"/>
        <v>tdk tuntas</v>
      </c>
      <c r="L17" s="210" t="str">
        <f t="shared" si="3"/>
        <v>80</v>
      </c>
      <c r="M17" s="24"/>
      <c r="N17" s="24"/>
      <c r="O17" s="15"/>
      <c r="Q17" s="68" t="str">
        <f t="shared" si="4"/>
        <v>Fathir Hibatullah Harahap</v>
      </c>
      <c r="R17" s="21" t="str">
        <f t="shared" ref="R17:R22" si="5">IF(I17&lt;$N$10,"85","")</f>
        <v>85</v>
      </c>
      <c r="S17" s="14" t="s">
        <v>30</v>
      </c>
      <c r="T17" s="15"/>
    </row>
    <row r="18" spans="1:20" ht="12" customHeight="1" thickBot="1" x14ac:dyDescent="0.3">
      <c r="A18" s="21">
        <v>11</v>
      </c>
      <c r="B18" s="19"/>
      <c r="C18" s="82" t="str">
        <f>DATA!B20</f>
        <v>Gendhis Putri Ayreanti</v>
      </c>
      <c r="D18" s="248">
        <v>40</v>
      </c>
      <c r="E18" s="43"/>
      <c r="F18" s="43"/>
      <c r="G18" s="43"/>
      <c r="H18" s="44"/>
      <c r="I18" s="181">
        <f t="shared" si="0"/>
        <v>40</v>
      </c>
      <c r="J18" s="45">
        <f t="shared" si="1"/>
        <v>40</v>
      </c>
      <c r="K18" s="21" t="str">
        <f t="shared" si="2"/>
        <v>tdk tuntas</v>
      </c>
      <c r="L18" s="210" t="str">
        <f t="shared" si="3"/>
        <v>81</v>
      </c>
      <c r="M18" s="24"/>
      <c r="N18" s="24"/>
      <c r="O18" s="15"/>
      <c r="Q18" s="68" t="str">
        <f t="shared" si="4"/>
        <v>Gendhis Putri Ayreanti</v>
      </c>
      <c r="R18" s="21" t="str">
        <f t="shared" si="5"/>
        <v>85</v>
      </c>
      <c r="T18" s="15"/>
    </row>
    <row r="19" spans="1:20" ht="12" customHeight="1" thickTop="1" thickBot="1" x14ac:dyDescent="0.35">
      <c r="A19" s="21">
        <v>12</v>
      </c>
      <c r="B19" s="19"/>
      <c r="C19" s="82" t="str">
        <f>DATA!B21</f>
        <v>Habibi Lazuardi</v>
      </c>
      <c r="D19" s="248">
        <v>90</v>
      </c>
      <c r="E19" s="43"/>
      <c r="F19" s="43"/>
      <c r="G19" s="43"/>
      <c r="H19" s="44"/>
      <c r="I19" s="181">
        <f t="shared" si="0"/>
        <v>90</v>
      </c>
      <c r="J19" s="45">
        <f t="shared" si="1"/>
        <v>90</v>
      </c>
      <c r="K19" s="21" t="str">
        <f t="shared" si="2"/>
        <v>tuntas</v>
      </c>
      <c r="L19" s="210">
        <f t="shared" si="3"/>
        <v>90</v>
      </c>
      <c r="M19" s="24" t="s">
        <v>11</v>
      </c>
      <c r="N19" s="58">
        <f>K46</f>
        <v>32</v>
      </c>
      <c r="O19" s="15"/>
      <c r="Q19" s="68" t="str">
        <f t="shared" si="4"/>
        <v>Habibi Lazuardi</v>
      </c>
      <c r="R19" s="21" t="str">
        <f t="shared" si="5"/>
        <v/>
      </c>
      <c r="S19" s="71" t="s">
        <v>46</v>
      </c>
      <c r="T19" s="119" t="s">
        <v>31</v>
      </c>
    </row>
    <row r="20" spans="1:20" ht="12" customHeight="1" thickTop="1" thickBot="1" x14ac:dyDescent="0.35">
      <c r="A20" s="21">
        <v>13</v>
      </c>
      <c r="B20" s="19"/>
      <c r="C20" s="82" t="str">
        <f>DATA!B22</f>
        <v>Herina Sasha Rasati</v>
      </c>
      <c r="D20" s="248">
        <v>0</v>
      </c>
      <c r="E20" s="43"/>
      <c r="F20" s="43"/>
      <c r="G20" s="43"/>
      <c r="H20" s="44"/>
      <c r="I20" s="181">
        <f t="shared" si="0"/>
        <v>0</v>
      </c>
      <c r="J20" s="45">
        <f t="shared" si="1"/>
        <v>0</v>
      </c>
      <c r="K20" s="21" t="str">
        <f t="shared" si="2"/>
        <v>tdk tuntas</v>
      </c>
      <c r="L20" s="210" t="str">
        <f t="shared" si="3"/>
        <v>80</v>
      </c>
      <c r="M20" s="24" t="s">
        <v>12</v>
      </c>
      <c r="N20" s="58">
        <f>K44</f>
        <v>8</v>
      </c>
      <c r="O20" s="15"/>
      <c r="Q20" s="68" t="str">
        <f t="shared" si="4"/>
        <v>Herina Sasha Rasati</v>
      </c>
      <c r="R20" s="21" t="str">
        <f t="shared" si="5"/>
        <v>85</v>
      </c>
      <c r="S20" s="70"/>
      <c r="T20" s="119" t="s">
        <v>32</v>
      </c>
    </row>
    <row r="21" spans="1:20" ht="12" customHeight="1" thickTop="1" thickBot="1" x14ac:dyDescent="0.35">
      <c r="A21" s="21">
        <v>14</v>
      </c>
      <c r="B21" s="19"/>
      <c r="C21" s="82" t="str">
        <f>DATA!B23</f>
        <v>Ivan Adi Saputra</v>
      </c>
      <c r="D21" s="134">
        <v>10</v>
      </c>
      <c r="E21" s="43"/>
      <c r="F21" s="43"/>
      <c r="G21" s="43"/>
      <c r="H21" s="44"/>
      <c r="I21" s="181">
        <f t="shared" si="0"/>
        <v>10</v>
      </c>
      <c r="J21" s="45">
        <f t="shared" si="1"/>
        <v>10</v>
      </c>
      <c r="K21" s="21" t="str">
        <f t="shared" si="2"/>
        <v>tdk tuntas</v>
      </c>
      <c r="L21" s="210" t="str">
        <f t="shared" si="3"/>
        <v>80</v>
      </c>
      <c r="M21" s="24" t="s">
        <v>13</v>
      </c>
      <c r="N21" s="58">
        <f>N20/N19*100</f>
        <v>25</v>
      </c>
      <c r="O21" s="15" t="s">
        <v>4</v>
      </c>
      <c r="Q21" s="68" t="str">
        <f t="shared" si="4"/>
        <v>Ivan Adi Saputra</v>
      </c>
      <c r="R21" s="21" t="str">
        <f t="shared" si="5"/>
        <v>85</v>
      </c>
      <c r="S21" s="62"/>
      <c r="T21" s="15" t="s">
        <v>33</v>
      </c>
    </row>
    <row r="22" spans="1:20" ht="12" customHeight="1" thickTop="1" x14ac:dyDescent="0.25">
      <c r="A22" s="21">
        <v>15</v>
      </c>
      <c r="B22" s="19"/>
      <c r="C22" s="82" t="str">
        <f>DATA!B24</f>
        <v>Ivander Veda Ardyanta</v>
      </c>
      <c r="D22" s="134">
        <v>90</v>
      </c>
      <c r="E22" s="43"/>
      <c r="F22" s="43"/>
      <c r="G22" s="43"/>
      <c r="H22" s="44"/>
      <c r="I22" s="181">
        <f t="shared" si="0"/>
        <v>90</v>
      </c>
      <c r="J22" s="45">
        <f t="shared" si="1"/>
        <v>90</v>
      </c>
      <c r="K22" s="21" t="str">
        <f t="shared" si="2"/>
        <v>tuntas</v>
      </c>
      <c r="L22" s="210">
        <f t="shared" si="3"/>
        <v>90</v>
      </c>
      <c r="M22" s="24"/>
      <c r="N22" s="24"/>
      <c r="O22" s="15"/>
      <c r="Q22" s="68" t="str">
        <f t="shared" si="4"/>
        <v>Ivander Veda Ardyanta</v>
      </c>
      <c r="R22" s="21" t="str">
        <f t="shared" si="5"/>
        <v/>
      </c>
      <c r="S22" s="14"/>
      <c r="T22" s="15" t="s">
        <v>34</v>
      </c>
    </row>
    <row r="23" spans="1:20" ht="12" customHeight="1" x14ac:dyDescent="0.25">
      <c r="A23" s="21">
        <v>16</v>
      </c>
      <c r="B23" s="19"/>
      <c r="C23" s="82" t="str">
        <f>DATA!B25</f>
        <v>Keysa Lutfi Yana Putri</v>
      </c>
      <c r="D23" s="248">
        <v>0</v>
      </c>
      <c r="E23" s="43"/>
      <c r="F23" s="43"/>
      <c r="G23" s="43"/>
      <c r="H23" s="44"/>
      <c r="I23" s="181">
        <f t="shared" si="0"/>
        <v>0</v>
      </c>
      <c r="J23" s="45">
        <f t="shared" si="1"/>
        <v>0</v>
      </c>
      <c r="K23" s="21" t="str">
        <f t="shared" si="2"/>
        <v>tdk tuntas</v>
      </c>
      <c r="L23" s="210" t="str">
        <f t="shared" si="3"/>
        <v>80</v>
      </c>
      <c r="M23" s="24" t="s">
        <v>52</v>
      </c>
      <c r="N23" s="24"/>
      <c r="O23" s="15"/>
      <c r="Q23" s="68" t="str">
        <f t="shared" si="4"/>
        <v>Keysa Lutfi Yana Putri</v>
      </c>
      <c r="R23" s="21" t="str">
        <f>IF(I23&lt;$N$10,"84","")</f>
        <v>84</v>
      </c>
      <c r="S23" s="14"/>
      <c r="T23" s="15"/>
    </row>
    <row r="24" spans="1:20" ht="12" customHeight="1" x14ac:dyDescent="0.25">
      <c r="A24" s="21">
        <v>17</v>
      </c>
      <c r="B24" s="19"/>
      <c r="C24" s="82" t="str">
        <f>DATA!B26</f>
        <v>Khanaya Putri Emeyliana</v>
      </c>
      <c r="D24" s="134">
        <v>10</v>
      </c>
      <c r="E24" s="43"/>
      <c r="F24" s="43"/>
      <c r="G24" s="43"/>
      <c r="H24" s="44"/>
      <c r="I24" s="181">
        <f t="shared" si="0"/>
        <v>10</v>
      </c>
      <c r="J24" s="45">
        <f t="shared" si="1"/>
        <v>10</v>
      </c>
      <c r="K24" s="21" t="str">
        <f t="shared" si="2"/>
        <v>tdk tuntas</v>
      </c>
      <c r="L24" s="210" t="str">
        <f t="shared" si="3"/>
        <v>80</v>
      </c>
      <c r="N24" s="24"/>
      <c r="O24" s="15"/>
      <c r="Q24" s="68" t="str">
        <f t="shared" si="4"/>
        <v>Khanaya Putri Emeyliana</v>
      </c>
      <c r="R24" s="21" t="str">
        <f t="shared" ref="R24:R30" si="6">IF(I24&lt;$N$10,"82","")</f>
        <v>82</v>
      </c>
      <c r="S24" s="14"/>
      <c r="T24" s="63" t="s">
        <v>41</v>
      </c>
    </row>
    <row r="25" spans="1:20" ht="12" customHeight="1" x14ac:dyDescent="0.25">
      <c r="A25" s="21">
        <v>18</v>
      </c>
      <c r="B25" s="19"/>
      <c r="C25" s="82" t="str">
        <f>DATA!B27</f>
        <v>Khoirul Rodzikin</v>
      </c>
      <c r="D25" s="134">
        <v>30</v>
      </c>
      <c r="E25" s="43"/>
      <c r="F25" s="43"/>
      <c r="G25" s="43"/>
      <c r="H25" s="44"/>
      <c r="I25" s="181">
        <f t="shared" si="0"/>
        <v>30</v>
      </c>
      <c r="J25" s="45">
        <f t="shared" si="1"/>
        <v>30</v>
      </c>
      <c r="K25" s="21" t="str">
        <f t="shared" si="2"/>
        <v>tdk tuntas</v>
      </c>
      <c r="L25" s="210" t="str">
        <f t="shared" si="3"/>
        <v>80</v>
      </c>
      <c r="M25" s="24"/>
      <c r="N25" s="24"/>
      <c r="O25" s="15"/>
      <c r="Q25" s="68" t="str">
        <f t="shared" si="4"/>
        <v>Khoirul Rodzikin</v>
      </c>
      <c r="R25" s="21" t="str">
        <f t="shared" si="6"/>
        <v>82</v>
      </c>
      <c r="S25" s="14"/>
      <c r="T25" s="63"/>
    </row>
    <row r="26" spans="1:20" ht="12" customHeight="1" x14ac:dyDescent="0.25">
      <c r="A26" s="21">
        <v>19</v>
      </c>
      <c r="B26" s="19"/>
      <c r="C26" s="82" t="str">
        <f>DATA!B28</f>
        <v>Livia Mozavina</v>
      </c>
      <c r="D26" s="248">
        <v>50</v>
      </c>
      <c r="E26" s="43"/>
      <c r="F26" s="43"/>
      <c r="G26" s="43"/>
      <c r="H26" s="44"/>
      <c r="I26" s="181">
        <f t="shared" si="0"/>
        <v>50</v>
      </c>
      <c r="J26" s="45">
        <f t="shared" si="1"/>
        <v>50</v>
      </c>
      <c r="K26" s="21" t="str">
        <f t="shared" si="2"/>
        <v>tdk tuntas</v>
      </c>
      <c r="L26" s="210" t="str">
        <f t="shared" si="3"/>
        <v>81</v>
      </c>
      <c r="M26" s="159" t="s">
        <v>63</v>
      </c>
      <c r="N26" s="24"/>
      <c r="O26" s="15"/>
      <c r="Q26" s="68" t="str">
        <f t="shared" si="4"/>
        <v>Livia Mozavina</v>
      </c>
      <c r="R26" s="21" t="str">
        <f t="shared" si="6"/>
        <v>82</v>
      </c>
      <c r="S26" s="14"/>
      <c r="T26" s="63"/>
    </row>
    <row r="27" spans="1:20" ht="12" customHeight="1" x14ac:dyDescent="0.25">
      <c r="A27" s="21">
        <v>20</v>
      </c>
      <c r="B27" s="19"/>
      <c r="C27" s="82" t="str">
        <f>DATA!B29</f>
        <v>Milatul Ulya Azzahra</v>
      </c>
      <c r="D27" s="134">
        <v>100</v>
      </c>
      <c r="E27" s="43"/>
      <c r="F27" s="43"/>
      <c r="G27" s="43"/>
      <c r="H27" s="44"/>
      <c r="I27" s="181">
        <f t="shared" si="0"/>
        <v>100</v>
      </c>
      <c r="J27" s="45">
        <f t="shared" si="1"/>
        <v>100</v>
      </c>
      <c r="K27" s="21" t="str">
        <f t="shared" si="2"/>
        <v>tuntas</v>
      </c>
      <c r="L27" s="210">
        <f t="shared" si="3"/>
        <v>100</v>
      </c>
      <c r="M27" s="24" t="s">
        <v>53</v>
      </c>
      <c r="N27" s="78">
        <f>I44</f>
        <v>1340</v>
      </c>
      <c r="O27" s="15"/>
      <c r="Q27" s="68" t="str">
        <f t="shared" si="4"/>
        <v>Milatul Ulya Azzahra</v>
      </c>
      <c r="R27" s="21" t="str">
        <f t="shared" si="6"/>
        <v/>
      </c>
      <c r="S27" s="14"/>
      <c r="T27" s="63"/>
    </row>
    <row r="28" spans="1:20" ht="12" customHeight="1" x14ac:dyDescent="0.25">
      <c r="A28" s="21">
        <v>21</v>
      </c>
      <c r="B28" s="19"/>
      <c r="C28" s="82" t="str">
        <f>DATA!B30</f>
        <v>Muhammad Arif Pratama</v>
      </c>
      <c r="D28" s="248">
        <v>0</v>
      </c>
      <c r="E28" s="43"/>
      <c r="F28" s="43"/>
      <c r="G28" s="43"/>
      <c r="H28" s="44"/>
      <c r="I28" s="181">
        <f t="shared" si="0"/>
        <v>0</v>
      </c>
      <c r="J28" s="45">
        <f t="shared" si="1"/>
        <v>0</v>
      </c>
      <c r="K28" s="21" t="str">
        <f t="shared" si="2"/>
        <v>tdk tuntas</v>
      </c>
      <c r="L28" s="210" t="str">
        <f t="shared" si="3"/>
        <v>80</v>
      </c>
      <c r="M28" s="24" t="s">
        <v>54</v>
      </c>
      <c r="N28" s="78">
        <f>I45</f>
        <v>3200</v>
      </c>
      <c r="O28" s="15"/>
      <c r="Q28" s="68" t="str">
        <f t="shared" si="4"/>
        <v>Muhammad Arif Pratama</v>
      </c>
      <c r="R28" s="21" t="str">
        <f t="shared" si="6"/>
        <v>82</v>
      </c>
      <c r="S28" s="14"/>
      <c r="T28" s="63" t="str">
        <f>DATA!B3</f>
        <v>KASMIN, S.Pd</v>
      </c>
    </row>
    <row r="29" spans="1:20" ht="12" customHeight="1" x14ac:dyDescent="0.25">
      <c r="A29" s="21">
        <v>22</v>
      </c>
      <c r="B29" s="19"/>
      <c r="C29" s="82" t="str">
        <f>DATA!B31</f>
        <v>Muhammad Fahri Khoirudin</v>
      </c>
      <c r="D29" s="248">
        <v>60</v>
      </c>
      <c r="E29" s="43"/>
      <c r="F29" s="43"/>
      <c r="G29" s="43"/>
      <c r="H29" s="44"/>
      <c r="I29" s="181">
        <f t="shared" si="0"/>
        <v>60</v>
      </c>
      <c r="J29" s="45">
        <f t="shared" si="1"/>
        <v>60</v>
      </c>
      <c r="K29" s="21" t="str">
        <f t="shared" si="2"/>
        <v>tdk tuntas</v>
      </c>
      <c r="L29" s="210" t="str">
        <f t="shared" si="3"/>
        <v>82</v>
      </c>
      <c r="M29" s="24" t="s">
        <v>13</v>
      </c>
      <c r="N29" s="84">
        <f>N27/N28*100</f>
        <v>41.875</v>
      </c>
      <c r="O29" s="79" t="s">
        <v>4</v>
      </c>
      <c r="Q29" s="68" t="str">
        <f t="shared" si="4"/>
        <v>Muhammad Fahri Khoirudin</v>
      </c>
      <c r="R29" s="21" t="str">
        <f t="shared" si="6"/>
        <v>82</v>
      </c>
      <c r="S29" s="14"/>
      <c r="T29" s="83" t="str">
        <f>DATA!B4</f>
        <v>NIP : 196609141990031007</v>
      </c>
    </row>
    <row r="30" spans="1:20" ht="12" customHeight="1" x14ac:dyDescent="0.25">
      <c r="A30" s="21">
        <v>23</v>
      </c>
      <c r="B30" s="19"/>
      <c r="C30" s="82" t="str">
        <f>DATA!B32</f>
        <v>Muhammad Rakha Razansyah</v>
      </c>
      <c r="D30" s="248">
        <v>100</v>
      </c>
      <c r="E30" s="43"/>
      <c r="F30" s="43"/>
      <c r="G30" s="43"/>
      <c r="H30" s="44"/>
      <c r="I30" s="181">
        <f t="shared" si="0"/>
        <v>100</v>
      </c>
      <c r="J30" s="45">
        <f t="shared" si="1"/>
        <v>100</v>
      </c>
      <c r="K30" s="21" t="str">
        <f t="shared" si="2"/>
        <v>tuntas</v>
      </c>
      <c r="L30" s="210">
        <f t="shared" si="3"/>
        <v>100</v>
      </c>
      <c r="M30" s="24"/>
      <c r="N30" s="24"/>
      <c r="O30" s="15"/>
      <c r="Q30" s="68" t="str">
        <f t="shared" si="4"/>
        <v>Muhammad Rakha Razansyah</v>
      </c>
      <c r="R30" s="21" t="str">
        <f t="shared" si="6"/>
        <v/>
      </c>
      <c r="S30" s="14"/>
      <c r="T30" s="15"/>
    </row>
    <row r="31" spans="1:20" ht="12" customHeight="1" x14ac:dyDescent="0.25">
      <c r="A31" s="21">
        <v>24</v>
      </c>
      <c r="B31" s="19"/>
      <c r="C31" s="82" t="str">
        <f>DATA!B33</f>
        <v>Mutiara Dewi Khusna</v>
      </c>
      <c r="D31" s="248">
        <v>60</v>
      </c>
      <c r="E31" s="43"/>
      <c r="F31" s="43"/>
      <c r="G31" s="43"/>
      <c r="H31" s="44"/>
      <c r="I31" s="181">
        <f t="shared" si="0"/>
        <v>60</v>
      </c>
      <c r="J31" s="45">
        <f>I31</f>
        <v>60</v>
      </c>
      <c r="K31" s="21" t="str">
        <f t="shared" si="2"/>
        <v>tdk tuntas</v>
      </c>
      <c r="L31" s="210" t="str">
        <f t="shared" si="3"/>
        <v>82</v>
      </c>
      <c r="M31" s="24"/>
      <c r="N31" s="24"/>
      <c r="O31" s="15"/>
      <c r="Q31" s="68" t="str">
        <f t="shared" si="4"/>
        <v>Mutiara Dewi Khusna</v>
      </c>
      <c r="R31" s="21" t="str">
        <f>IF(I31&lt;$N$10,"85","")</f>
        <v>85</v>
      </c>
      <c r="S31" s="14"/>
      <c r="T31" s="63" t="s">
        <v>42</v>
      </c>
    </row>
    <row r="32" spans="1:20" ht="12" customHeight="1" x14ac:dyDescent="0.25">
      <c r="A32" s="21">
        <v>25</v>
      </c>
      <c r="B32" s="19"/>
      <c r="C32" s="82" t="str">
        <f>DATA!B34</f>
        <v>Qeysya Nabila Maharani</v>
      </c>
      <c r="D32" s="248">
        <v>70</v>
      </c>
      <c r="E32" s="43"/>
      <c r="F32" s="43"/>
      <c r="G32" s="43"/>
      <c r="H32" s="44"/>
      <c r="I32" s="181">
        <f t="shared" si="0"/>
        <v>70</v>
      </c>
      <c r="J32" s="45">
        <f t="shared" si="1"/>
        <v>70</v>
      </c>
      <c r="K32" s="21" t="str">
        <f t="shared" si="2"/>
        <v>tdk tuntas</v>
      </c>
      <c r="L32" s="210" t="str">
        <f t="shared" si="3"/>
        <v>83</v>
      </c>
      <c r="M32" s="24" t="s">
        <v>14</v>
      </c>
      <c r="N32" s="24"/>
      <c r="O32" s="15"/>
      <c r="Q32" s="68" t="str">
        <f t="shared" si="4"/>
        <v>Qeysya Nabila Maharani</v>
      </c>
      <c r="R32" s="21" t="str">
        <f>IF(I32&lt;$N$10,"81","")</f>
        <v>81</v>
      </c>
      <c r="S32" s="14"/>
      <c r="T32" s="63"/>
    </row>
    <row r="33" spans="1:20" ht="12" customHeight="1" x14ac:dyDescent="0.25">
      <c r="A33" s="21">
        <v>26</v>
      </c>
      <c r="B33" s="19"/>
      <c r="C33" s="82" t="str">
        <f>DATA!B35</f>
        <v>Raihan Akbar Ramadhan</v>
      </c>
      <c r="D33" s="248">
        <v>0</v>
      </c>
      <c r="E33" s="43"/>
      <c r="F33" s="43"/>
      <c r="G33" s="43"/>
      <c r="H33" s="44"/>
      <c r="I33" s="181">
        <f t="shared" si="0"/>
        <v>0</v>
      </c>
      <c r="J33" s="45">
        <f t="shared" si="1"/>
        <v>0</v>
      </c>
      <c r="K33" s="21" t="str">
        <f t="shared" si="2"/>
        <v>tdk tuntas</v>
      </c>
      <c r="L33" s="210" t="str">
        <f t="shared" si="3"/>
        <v>80</v>
      </c>
      <c r="M33" s="24" t="s">
        <v>15</v>
      </c>
      <c r="N33" s="24"/>
      <c r="O33" s="15"/>
      <c r="Q33" s="68" t="str">
        <f t="shared" si="4"/>
        <v>Raihan Akbar Ramadhan</v>
      </c>
      <c r="R33" s="21" t="str">
        <f>IF(I33&lt;$N$10,"82","")</f>
        <v>82</v>
      </c>
      <c r="S33" s="14"/>
      <c r="T33" s="63"/>
    </row>
    <row r="34" spans="1:20" ht="12" customHeight="1" x14ac:dyDescent="0.3">
      <c r="A34" s="21">
        <v>27</v>
      </c>
      <c r="B34" s="19"/>
      <c r="C34" s="82" t="str">
        <f>DATA!B36</f>
        <v>Ramadhani</v>
      </c>
      <c r="D34" s="248">
        <v>10</v>
      </c>
      <c r="E34" s="43"/>
      <c r="F34" s="43"/>
      <c r="G34" s="43"/>
      <c r="H34" s="44"/>
      <c r="I34" s="181">
        <f t="shared" si="0"/>
        <v>10</v>
      </c>
      <c r="J34" s="45">
        <f t="shared" si="1"/>
        <v>10</v>
      </c>
      <c r="K34" s="21" t="str">
        <f t="shared" si="2"/>
        <v>tdk tuntas</v>
      </c>
      <c r="L34" s="210" t="str">
        <f t="shared" si="3"/>
        <v>80</v>
      </c>
      <c r="M34" s="159" t="s">
        <v>80</v>
      </c>
      <c r="N34" s="24"/>
      <c r="O34" s="15"/>
      <c r="Q34" s="68" t="str">
        <f t="shared" si="4"/>
        <v>Ramadhani</v>
      </c>
      <c r="R34" s="21" t="str">
        <f>IF(I34&lt;$N$10,"82","")</f>
        <v>82</v>
      </c>
      <c r="S34" s="14"/>
      <c r="T34" s="63"/>
    </row>
    <row r="35" spans="1:20" ht="12" customHeight="1" x14ac:dyDescent="0.25">
      <c r="A35" s="21">
        <v>28</v>
      </c>
      <c r="B35" s="19"/>
      <c r="C35" s="82" t="str">
        <f>DATA!B37</f>
        <v>Rangga Putra Raditya</v>
      </c>
      <c r="D35" s="134">
        <v>20</v>
      </c>
      <c r="E35" s="43"/>
      <c r="F35" s="43"/>
      <c r="G35" s="43"/>
      <c r="H35" s="44"/>
      <c r="I35" s="181">
        <f t="shared" si="0"/>
        <v>20</v>
      </c>
      <c r="J35" s="45">
        <f>I35</f>
        <v>20</v>
      </c>
      <c r="K35" s="21" t="str">
        <f>IF(J35&lt;$N$10,"tdk tuntas","tuntas")</f>
        <v>tdk tuntas</v>
      </c>
      <c r="L35" s="210" t="str">
        <f t="shared" si="3"/>
        <v>80</v>
      </c>
      <c r="M35" s="24"/>
      <c r="N35" s="24"/>
      <c r="O35" s="15"/>
      <c r="Q35" s="68" t="str">
        <f t="shared" si="4"/>
        <v>Rangga Putra Raditya</v>
      </c>
      <c r="R35" s="21" t="str">
        <f>IF(I35&lt;$N$10,"81","")</f>
        <v>81</v>
      </c>
      <c r="S35" s="14"/>
      <c r="T35" s="63"/>
    </row>
    <row r="36" spans="1:20" ht="12" customHeight="1" x14ac:dyDescent="0.25">
      <c r="A36" s="21">
        <v>29</v>
      </c>
      <c r="B36" s="19"/>
      <c r="C36" s="82" t="str">
        <f>DATA!B38</f>
        <v>Safa Nasila Anajwa</v>
      </c>
      <c r="D36" s="134">
        <v>100</v>
      </c>
      <c r="E36" s="43"/>
      <c r="F36" s="43"/>
      <c r="G36" s="43"/>
      <c r="H36" s="44"/>
      <c r="I36" s="181">
        <f t="shared" si="0"/>
        <v>100</v>
      </c>
      <c r="J36" s="45">
        <f>I36</f>
        <v>100</v>
      </c>
      <c r="K36" s="21" t="str">
        <f>IF(J36&lt;$N$10,"tdk tuntas","tuntas")</f>
        <v>tuntas</v>
      </c>
      <c r="L36" s="210">
        <f t="shared" si="3"/>
        <v>100</v>
      </c>
      <c r="M36" s="24"/>
      <c r="N36" s="24"/>
      <c r="O36" s="15"/>
      <c r="Q36" s="68" t="str">
        <f t="shared" si="4"/>
        <v>Safa Nasila Anajwa</v>
      </c>
      <c r="R36" s="21" t="str">
        <f>IF(I36&lt;$N$10,"85","")</f>
        <v/>
      </c>
      <c r="S36" s="14"/>
      <c r="T36" s="63"/>
    </row>
    <row r="37" spans="1:20" ht="12" customHeight="1" x14ac:dyDescent="0.25">
      <c r="A37" s="21">
        <v>30</v>
      </c>
      <c r="B37" s="19"/>
      <c r="C37" s="82" t="str">
        <f>DATA!B39</f>
        <v>Sila Ayu Kurnia</v>
      </c>
      <c r="D37" s="248">
        <v>90</v>
      </c>
      <c r="E37" s="43"/>
      <c r="F37" s="43"/>
      <c r="G37" s="43"/>
      <c r="H37" s="44"/>
      <c r="I37" s="181">
        <f t="shared" si="0"/>
        <v>90</v>
      </c>
      <c r="J37" s="45">
        <f>I37</f>
        <v>90</v>
      </c>
      <c r="K37" s="21" t="str">
        <f>IF(J37&lt;$N$10,"tdk tuntas","tuntas")</f>
        <v>tuntas</v>
      </c>
      <c r="L37" s="210">
        <f t="shared" si="3"/>
        <v>90</v>
      </c>
      <c r="M37" s="24"/>
      <c r="N37" s="24"/>
      <c r="O37" s="15"/>
      <c r="Q37" s="68" t="str">
        <f t="shared" si="4"/>
        <v>Sila Ayu Kurnia</v>
      </c>
      <c r="R37" s="21" t="str">
        <f>IF(I37&lt;$N$10,"84","")</f>
        <v/>
      </c>
      <c r="S37" s="14"/>
      <c r="T37" s="63" t="str">
        <f>DATA!D3</f>
        <v>Dra. BAROKAH GUNIARTI</v>
      </c>
    </row>
    <row r="38" spans="1:20" ht="12" customHeight="1" x14ac:dyDescent="0.25">
      <c r="A38" s="21">
        <v>31</v>
      </c>
      <c r="B38" s="19"/>
      <c r="C38" s="82" t="str">
        <f>DATA!B40</f>
        <v>Sindhi Nandha Lusia</v>
      </c>
      <c r="D38" s="134">
        <v>0</v>
      </c>
      <c r="E38" s="43"/>
      <c r="F38" s="43"/>
      <c r="G38" s="43"/>
      <c r="H38" s="44"/>
      <c r="I38" s="181">
        <f t="shared" si="0"/>
        <v>0</v>
      </c>
      <c r="J38" s="45">
        <f>I38</f>
        <v>0</v>
      </c>
      <c r="K38" s="21" t="str">
        <f>IF(J38&lt;$N$10,"tdk tuntas","tuntas")</f>
        <v>tdk tuntas</v>
      </c>
      <c r="L38" s="210" t="str">
        <f t="shared" si="3"/>
        <v>80</v>
      </c>
      <c r="M38" s="24" t="s">
        <v>56</v>
      </c>
      <c r="N38" s="24"/>
      <c r="O38" s="15"/>
      <c r="Q38" s="68" t="str">
        <f t="shared" si="4"/>
        <v>Sindhi Nandha Lusia</v>
      </c>
      <c r="R38" s="21" t="str">
        <f>IF(I38&lt;$N$10,"84","")</f>
        <v>84</v>
      </c>
      <c r="S38" s="14"/>
      <c r="T38" s="63" t="str">
        <f>DATA!D4</f>
        <v>NIP : 196901081996122004</v>
      </c>
    </row>
    <row r="39" spans="1:20" ht="12" customHeight="1" x14ac:dyDescent="0.25">
      <c r="A39" s="21">
        <v>32</v>
      </c>
      <c r="B39" s="19"/>
      <c r="C39" s="82" t="str">
        <f>DATA!B41</f>
        <v>Siti Alfiani</v>
      </c>
      <c r="D39" s="248">
        <v>100</v>
      </c>
      <c r="E39" s="43"/>
      <c r="F39" s="43"/>
      <c r="G39" s="43"/>
      <c r="H39" s="44"/>
      <c r="I39" s="246">
        <f t="shared" si="0"/>
        <v>100</v>
      </c>
      <c r="J39" s="45">
        <f>I39</f>
        <v>100</v>
      </c>
      <c r="K39" s="21" t="str">
        <f>IF(J39&lt;$N$10,"tdk tuntas","tuntas")</f>
        <v>tuntas</v>
      </c>
      <c r="L39" s="210">
        <f t="shared" si="3"/>
        <v>100</v>
      </c>
      <c r="M39" s="24"/>
      <c r="N39" s="24"/>
      <c r="O39" s="15"/>
      <c r="Q39" s="68"/>
      <c r="R39" s="21"/>
      <c r="S39" s="14"/>
      <c r="T39" s="15"/>
    </row>
    <row r="40" spans="1:20" ht="12" customHeight="1" x14ac:dyDescent="0.25">
      <c r="A40" s="21">
        <v>33</v>
      </c>
      <c r="B40" s="19"/>
      <c r="C40" s="82"/>
      <c r="D40" s="42" t="s">
        <v>63</v>
      </c>
      <c r="E40" s="43"/>
      <c r="F40" s="43"/>
      <c r="G40" s="43"/>
      <c r="H40" s="44"/>
      <c r="I40" s="21"/>
      <c r="J40" s="45"/>
      <c r="K40" s="21"/>
      <c r="L40" s="210" t="str">
        <f t="shared" si="3"/>
        <v>80</v>
      </c>
      <c r="M40" s="24" t="s">
        <v>16</v>
      </c>
      <c r="N40" s="24"/>
      <c r="O40" s="15"/>
      <c r="Q40" s="68"/>
      <c r="R40" s="21"/>
      <c r="S40" s="14"/>
      <c r="T40" s="15"/>
    </row>
    <row r="41" spans="1:20" ht="12" customHeight="1" x14ac:dyDescent="0.25">
      <c r="A41" s="21">
        <v>34</v>
      </c>
      <c r="B41" s="19"/>
      <c r="C41" s="82"/>
      <c r="D41" s="42" t="s">
        <v>63</v>
      </c>
      <c r="E41" s="43"/>
      <c r="F41" s="43"/>
      <c r="G41" s="43"/>
      <c r="H41" s="44"/>
      <c r="I41" s="21"/>
      <c r="J41" s="45"/>
      <c r="K41" s="21"/>
      <c r="L41" s="210"/>
      <c r="M41" s="24" t="s">
        <v>82</v>
      </c>
      <c r="N41" s="24">
        <f>N10</f>
        <v>80</v>
      </c>
      <c r="O41" s="15"/>
      <c r="Q41" s="68"/>
      <c r="R41" s="21"/>
      <c r="S41" s="14"/>
      <c r="T41" s="15"/>
    </row>
    <row r="42" spans="1:20" ht="12" customHeight="1" x14ac:dyDescent="0.25">
      <c r="A42" s="21">
        <v>35</v>
      </c>
      <c r="B42" s="22"/>
      <c r="C42" s="162"/>
      <c r="D42" s="136" t="s">
        <v>63</v>
      </c>
      <c r="E42" s="137"/>
      <c r="F42" s="137"/>
      <c r="G42" s="137"/>
      <c r="H42" s="138"/>
      <c r="I42" s="21"/>
      <c r="J42" s="45"/>
      <c r="K42" s="21"/>
      <c r="L42" s="247"/>
      <c r="M42" s="24" t="s">
        <v>23</v>
      </c>
      <c r="N42" s="24"/>
      <c r="O42" s="15"/>
      <c r="Q42" s="68"/>
      <c r="R42" s="21"/>
      <c r="S42" s="16"/>
      <c r="T42" s="17"/>
    </row>
    <row r="43" spans="1:20" ht="12" customHeight="1" x14ac:dyDescent="0.25">
      <c r="A43" s="101" t="s">
        <v>64</v>
      </c>
      <c r="B43" s="96"/>
      <c r="C43" s="97"/>
      <c r="D43" s="93"/>
      <c r="E43" s="94"/>
      <c r="F43" s="94"/>
      <c r="G43" s="94"/>
      <c r="H43" s="95"/>
      <c r="I43" s="98">
        <f>AVERAGE(I8:I42)</f>
        <v>41.875</v>
      </c>
      <c r="J43" s="74"/>
      <c r="K43" s="47"/>
      <c r="L43" s="65"/>
      <c r="M43" s="14"/>
      <c r="N43" s="24"/>
      <c r="O43" s="15"/>
      <c r="Q43" s="60" t="s">
        <v>63</v>
      </c>
      <c r="R43" s="471" t="str">
        <f>C4</f>
        <v>9A</v>
      </c>
      <c r="S43" s="471"/>
      <c r="T43" s="61"/>
    </row>
    <row r="44" spans="1:20" ht="12" customHeight="1" x14ac:dyDescent="0.25">
      <c r="A44" s="14" t="s">
        <v>17</v>
      </c>
      <c r="B44" s="24"/>
      <c r="C44" s="15"/>
      <c r="D44" s="42">
        <f>SUM(D8:D42)</f>
        <v>1340</v>
      </c>
      <c r="E44" s="43">
        <f>SUM(E8:E42)</f>
        <v>0</v>
      </c>
      <c r="F44" s="43">
        <f>SUM(F8:F42)</f>
        <v>0</v>
      </c>
      <c r="G44" s="43">
        <f>SUM(G8:G42)</f>
        <v>0</v>
      </c>
      <c r="H44" s="44"/>
      <c r="I44" s="80">
        <f>SUM(D44:H44)</f>
        <v>1340</v>
      </c>
      <c r="J44" s="85" t="s">
        <v>49</v>
      </c>
      <c r="K44" s="48">
        <f>COUNTIF(K8:K42,J44)</f>
        <v>8</v>
      </c>
      <c r="L44" s="64"/>
      <c r="M44" s="14" t="s">
        <v>47</v>
      </c>
      <c r="N44" s="24"/>
      <c r="O44" s="15"/>
      <c r="Q44" s="30"/>
      <c r="R44" s="472"/>
      <c r="S44" s="472"/>
      <c r="T44" s="31"/>
    </row>
    <row r="45" spans="1:20" ht="12" customHeight="1" x14ac:dyDescent="0.25">
      <c r="A45" s="14" t="s">
        <v>18</v>
      </c>
      <c r="B45" s="24"/>
      <c r="C45" s="15"/>
      <c r="D45" s="42">
        <f>D6*K46</f>
        <v>960</v>
      </c>
      <c r="E45" s="43">
        <f>E6*K46</f>
        <v>1280</v>
      </c>
      <c r="F45" s="43">
        <f>F6*K46</f>
        <v>960</v>
      </c>
      <c r="G45" s="43">
        <f>G6*K46</f>
        <v>0</v>
      </c>
      <c r="H45" s="44"/>
      <c r="I45" s="80">
        <f>SUM(D45:H45)</f>
        <v>3200</v>
      </c>
      <c r="J45" s="86" t="s">
        <v>50</v>
      </c>
      <c r="K45" s="48">
        <f>COUNTIF(K8:K42,J45)</f>
        <v>24</v>
      </c>
      <c r="L45" s="64"/>
      <c r="M45" s="14" t="s">
        <v>48</v>
      </c>
      <c r="N45" s="100"/>
      <c r="O45" s="15"/>
      <c r="Q45" s="30"/>
      <c r="R45" s="472"/>
      <c r="S45" s="472"/>
      <c r="T45" s="31"/>
    </row>
    <row r="46" spans="1:20" ht="12" customHeight="1" x14ac:dyDescent="0.25">
      <c r="A46" s="26" t="s">
        <v>19</v>
      </c>
      <c r="B46" s="27"/>
      <c r="C46" s="28"/>
      <c r="D46" s="136">
        <f t="shared" ref="D46:I46" si="7">D44/D45*100</f>
        <v>139.58333333333331</v>
      </c>
      <c r="E46" s="137">
        <f t="shared" si="7"/>
        <v>0</v>
      </c>
      <c r="F46" s="137">
        <f t="shared" si="7"/>
        <v>0</v>
      </c>
      <c r="G46" s="137" t="e">
        <f t="shared" si="7"/>
        <v>#DIV/0!</v>
      </c>
      <c r="H46" s="138"/>
      <c r="I46" s="50">
        <f t="shared" si="7"/>
        <v>41.875</v>
      </c>
      <c r="J46" s="75" t="s">
        <v>57</v>
      </c>
      <c r="K46" s="49">
        <f>SUM(K44:K45)</f>
        <v>32</v>
      </c>
      <c r="L46" s="66"/>
      <c r="M46" s="16"/>
      <c r="N46" s="25"/>
      <c r="O46" s="17"/>
      <c r="Q46" s="8"/>
      <c r="R46" s="473"/>
      <c r="S46" s="473"/>
      <c r="T46" s="9"/>
    </row>
    <row r="47" spans="1:20" ht="11.1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20" ht="12" customHeight="1" x14ac:dyDescent="0.25">
      <c r="A48" s="456" t="str">
        <f>A1</f>
        <v>ANALISA HASIL PH MATEMATIKA KLS IX  SMT GENAP</v>
      </c>
      <c r="B48" s="457"/>
      <c r="C48" s="457"/>
      <c r="D48" s="457"/>
      <c r="E48" s="457"/>
      <c r="F48" s="457"/>
      <c r="G48" s="457"/>
      <c r="H48" s="457"/>
      <c r="I48" s="457"/>
      <c r="J48" s="457"/>
      <c r="K48" s="457"/>
      <c r="L48" s="457"/>
      <c r="M48" s="457"/>
      <c r="N48" s="457"/>
      <c r="O48" s="458"/>
      <c r="Q48" s="456" t="s">
        <v>40</v>
      </c>
      <c r="R48" s="457"/>
      <c r="S48" s="457"/>
      <c r="T48" s="458"/>
    </row>
    <row r="49" spans="1:20" ht="12" customHeight="1" x14ac:dyDescent="0.25">
      <c r="A49" s="453" t="str">
        <f>A2</f>
        <v>SMP I LIMBANGAN  TH 2025/2026</v>
      </c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  <c r="O49" s="455"/>
      <c r="Q49" s="453" t="s">
        <v>61</v>
      </c>
      <c r="R49" s="454"/>
      <c r="S49" s="454"/>
      <c r="T49" s="455"/>
    </row>
    <row r="50" spans="1:20" ht="12" customHeight="1" x14ac:dyDescent="0.25"/>
    <row r="51" spans="1:20" ht="12" customHeight="1" x14ac:dyDescent="0.25">
      <c r="A51" s="99" t="s">
        <v>66</v>
      </c>
      <c r="C51" s="102" t="str">
        <f>DATA!D8</f>
        <v>9B</v>
      </c>
      <c r="D51" t="s">
        <v>297</v>
      </c>
      <c r="F51" s="179">
        <f>F4</f>
        <v>1</v>
      </c>
      <c r="I51" t="s">
        <v>20</v>
      </c>
      <c r="K51" s="72">
        <v>45875</v>
      </c>
      <c r="M51" s="1" t="s">
        <v>60</v>
      </c>
      <c r="N51" s="87">
        <f>N4</f>
        <v>1</v>
      </c>
      <c r="Q51" t="s">
        <v>28</v>
      </c>
      <c r="R51" s="470">
        <f>K51+7</f>
        <v>45882</v>
      </c>
      <c r="S51" s="470"/>
    </row>
    <row r="52" spans="1:20" ht="12" customHeight="1" x14ac:dyDescent="0.25">
      <c r="A52" s="2"/>
      <c r="B52" s="2"/>
      <c r="C52" s="3" t="s">
        <v>7</v>
      </c>
      <c r="D52" s="32">
        <v>1</v>
      </c>
      <c r="E52" s="33">
        <v>2</v>
      </c>
      <c r="F52" s="33">
        <v>3</v>
      </c>
      <c r="G52" s="33">
        <v>4</v>
      </c>
      <c r="H52" s="34">
        <v>5</v>
      </c>
      <c r="I52" s="35" t="s">
        <v>3</v>
      </c>
      <c r="J52" s="4" t="s">
        <v>4</v>
      </c>
      <c r="K52" s="53" t="s">
        <v>83</v>
      </c>
      <c r="L52" s="35" t="s">
        <v>43</v>
      </c>
      <c r="M52" s="459" t="s">
        <v>9</v>
      </c>
      <c r="N52" s="460"/>
      <c r="O52" s="461"/>
      <c r="Q52" s="2"/>
      <c r="R52" s="35" t="s">
        <v>24</v>
      </c>
      <c r="S52" s="60"/>
      <c r="T52" s="61"/>
    </row>
    <row r="53" spans="1:20" ht="12" customHeight="1" x14ac:dyDescent="0.25">
      <c r="A53" s="6" t="s">
        <v>0</v>
      </c>
      <c r="B53" s="6" t="s">
        <v>1</v>
      </c>
      <c r="C53" s="5" t="s">
        <v>8</v>
      </c>
      <c r="D53" s="55">
        <f>D6</f>
        <v>30</v>
      </c>
      <c r="E53" s="55">
        <f>E6</f>
        <v>40</v>
      </c>
      <c r="F53" s="55">
        <f>F6</f>
        <v>30</v>
      </c>
      <c r="G53" s="55">
        <f>G6</f>
        <v>0</v>
      </c>
      <c r="H53" s="55">
        <f>H6</f>
        <v>0</v>
      </c>
      <c r="I53" s="21">
        <f>SUM(D53:H53)</f>
        <v>100</v>
      </c>
      <c r="J53" s="6" t="s">
        <v>5</v>
      </c>
      <c r="K53" s="52" t="s">
        <v>22</v>
      </c>
      <c r="L53" s="11" t="s">
        <v>44</v>
      </c>
      <c r="M53" s="462"/>
      <c r="N53" s="463"/>
      <c r="O53" s="464"/>
      <c r="Q53" s="6" t="s">
        <v>2</v>
      </c>
      <c r="R53" s="11" t="s">
        <v>25</v>
      </c>
      <c r="S53" s="468" t="s">
        <v>27</v>
      </c>
      <c r="T53" s="469"/>
    </row>
    <row r="54" spans="1:20" ht="12" customHeight="1" x14ac:dyDescent="0.25">
      <c r="A54" s="6"/>
      <c r="B54" s="6"/>
      <c r="C54" s="51" t="s">
        <v>2</v>
      </c>
      <c r="D54" s="36"/>
      <c r="E54" s="37"/>
      <c r="F54" s="37"/>
      <c r="G54" s="37"/>
      <c r="H54" s="38"/>
      <c r="I54" s="11"/>
      <c r="J54" s="6" t="s">
        <v>6</v>
      </c>
      <c r="K54" s="54"/>
      <c r="L54" s="59" t="s">
        <v>45</v>
      </c>
      <c r="M54" s="465"/>
      <c r="N54" s="466"/>
      <c r="O54" s="467"/>
      <c r="Q54" s="7"/>
      <c r="R54" s="59" t="s">
        <v>26</v>
      </c>
      <c r="S54" s="8"/>
      <c r="T54" s="9"/>
    </row>
    <row r="55" spans="1:20" ht="12" customHeight="1" x14ac:dyDescent="0.25">
      <c r="A55" s="20">
        <v>1</v>
      </c>
      <c r="B55" s="18"/>
      <c r="C55" s="81" t="str">
        <f>DATA!D10</f>
        <v>Abid Lionel Abdillah</v>
      </c>
      <c r="D55" s="131">
        <v>100</v>
      </c>
      <c r="E55" s="40"/>
      <c r="F55" s="40"/>
      <c r="G55" s="40"/>
      <c r="H55" s="41"/>
      <c r="I55" s="180">
        <f>SUM(D55:H55)</f>
        <v>100</v>
      </c>
      <c r="J55" s="46">
        <f>I55</f>
        <v>100</v>
      </c>
      <c r="K55" s="21" t="str">
        <f>IF(J55&lt;$N$10,"tdk tuntas","tuntas")</f>
        <v>tuntas</v>
      </c>
      <c r="L55" s="209">
        <f>IF(J55&lt;=39.9,"80",IF(J55&lt;=59.9,"81",IF(J55&lt;=69.9,"82",IF(J55&lt;=74.9,"83",IF(J55&lt;=78.9,"84",IF(J55&lt;=78.9,"85",IF(J55&gt;=78.9,J55," ")))))))</f>
        <v>100</v>
      </c>
      <c r="M55" s="12"/>
      <c r="N55" s="23"/>
      <c r="O55" s="13"/>
      <c r="Q55" s="67" t="str">
        <f>C55</f>
        <v>Abid Lionel Abdillah</v>
      </c>
      <c r="R55" s="21" t="str">
        <f>IF(I55&lt;$N$10,"80","")</f>
        <v/>
      </c>
      <c r="S55" s="12"/>
      <c r="T55" s="13"/>
    </row>
    <row r="56" spans="1:20" ht="12" customHeight="1" x14ac:dyDescent="0.25">
      <c r="A56" s="21">
        <v>2</v>
      </c>
      <c r="B56" s="19"/>
      <c r="C56" s="82" t="str">
        <f>DATA!D11</f>
        <v>Aditria Bintang Mustofa</v>
      </c>
      <c r="D56" s="248">
        <v>0</v>
      </c>
      <c r="E56" s="43"/>
      <c r="F56" s="43"/>
      <c r="G56" s="43"/>
      <c r="H56" s="44"/>
      <c r="I56" s="181">
        <f t="shared" ref="I56:I85" si="8">SUM(D56:H56)</f>
        <v>0</v>
      </c>
      <c r="J56" s="45">
        <f t="shared" ref="J56:J86" si="9">I56</f>
        <v>0</v>
      </c>
      <c r="K56" s="21" t="str">
        <f t="shared" ref="K56:K86" si="10">IF(J56&lt;$N$10,"tdk tuntas","tuntas")</f>
        <v>tdk tuntas</v>
      </c>
      <c r="L56" s="210" t="str">
        <f t="shared" ref="L56:L86" si="11">IF(J56&lt;=39.9,"80",IF(J56&lt;=59.9,"81",IF(J56&lt;=69.9,"82",IF(J56&lt;=74.9,"83",IF(J56&lt;=78.9,"84",IF(J56&lt;=78.9,"85",IF(J56&gt;=78.9,J56," ")))))))</f>
        <v>80</v>
      </c>
      <c r="M56" s="14"/>
      <c r="N56" s="24"/>
      <c r="O56" s="15"/>
      <c r="Q56" s="68" t="str">
        <f t="shared" ref="Q56:Q86" si="12">C56</f>
        <v>Aditria Bintang Mustofa</v>
      </c>
      <c r="R56" s="21" t="str">
        <f>IF(I56&lt;$N$10,"81","")</f>
        <v>81</v>
      </c>
      <c r="S56" s="14" t="s">
        <v>29</v>
      </c>
      <c r="T56" s="15"/>
    </row>
    <row r="57" spans="1:20" ht="12" customHeight="1" thickBot="1" x14ac:dyDescent="0.35">
      <c r="A57" s="21">
        <v>3</v>
      </c>
      <c r="B57" s="19"/>
      <c r="C57" s="82" t="str">
        <f>DATA!D12</f>
        <v>Agni Wulan Pramesti</v>
      </c>
      <c r="D57">
        <v>100</v>
      </c>
      <c r="E57" s="43"/>
      <c r="F57" s="43"/>
      <c r="G57" s="43"/>
      <c r="H57" s="44"/>
      <c r="I57" s="181">
        <f t="shared" si="8"/>
        <v>100</v>
      </c>
      <c r="J57" s="45">
        <f t="shared" si="9"/>
        <v>100</v>
      </c>
      <c r="K57" s="21" t="str">
        <f t="shared" si="10"/>
        <v>tuntas</v>
      </c>
      <c r="L57" s="210">
        <f t="shared" si="11"/>
        <v>100</v>
      </c>
      <c r="M57" s="70" t="s">
        <v>62</v>
      </c>
      <c r="N57" s="76">
        <f>N10</f>
        <v>80</v>
      </c>
      <c r="O57" s="15"/>
      <c r="Q57" s="68" t="str">
        <f t="shared" si="12"/>
        <v>Agni Wulan Pramesti</v>
      </c>
      <c r="R57" s="21" t="str">
        <f>IF(I57&lt;$N$10,"81","")</f>
        <v/>
      </c>
      <c r="S57" s="26"/>
      <c r="T57" s="15"/>
    </row>
    <row r="58" spans="1:20" ht="12" customHeight="1" thickTop="1" thickBot="1" x14ac:dyDescent="0.3">
      <c r="A58" s="21">
        <v>4</v>
      </c>
      <c r="B58" s="19"/>
      <c r="C58" s="133" t="str">
        <f>DATA!D13</f>
        <v>Ahmad Irfan Annadif</v>
      </c>
      <c r="D58" s="248">
        <v>50</v>
      </c>
      <c r="E58" s="43"/>
      <c r="F58" s="43"/>
      <c r="G58" s="43"/>
      <c r="H58" s="44"/>
      <c r="I58" s="181">
        <f t="shared" si="8"/>
        <v>50</v>
      </c>
      <c r="J58" s="45">
        <f>I58</f>
        <v>50</v>
      </c>
      <c r="K58" s="21" t="str">
        <f>IF(J58&lt;$N$10,"tdk tuntas","tuntas")</f>
        <v>tdk tuntas</v>
      </c>
      <c r="L58" s="210" t="str">
        <f t="shared" si="11"/>
        <v>81</v>
      </c>
      <c r="M58" s="14"/>
      <c r="N58" s="24"/>
      <c r="O58" s="15"/>
      <c r="Q58" s="68" t="str">
        <f t="shared" si="12"/>
        <v>Ahmad Irfan Annadif</v>
      </c>
      <c r="R58" s="21" t="str">
        <f>IF(I58&lt;$N$10,"84","")</f>
        <v>84</v>
      </c>
      <c r="S58" s="62"/>
      <c r="T58" s="15" t="s">
        <v>35</v>
      </c>
    </row>
    <row r="59" spans="1:20" ht="12" customHeight="1" thickTop="1" thickBot="1" x14ac:dyDescent="0.3">
      <c r="A59" s="21">
        <v>5</v>
      </c>
      <c r="B59" s="19"/>
      <c r="C59" s="82" t="str">
        <f>DATA!D14</f>
        <v>Alesha Najwa Adelia</v>
      </c>
      <c r="D59" s="248">
        <v>0</v>
      </c>
      <c r="E59" s="43"/>
      <c r="F59" s="43"/>
      <c r="G59" s="43"/>
      <c r="H59" s="44"/>
      <c r="I59" s="181">
        <f t="shared" si="8"/>
        <v>0</v>
      </c>
      <c r="J59" s="45">
        <f t="shared" si="9"/>
        <v>0</v>
      </c>
      <c r="K59" s="21" t="str">
        <f t="shared" si="10"/>
        <v>tdk tuntas</v>
      </c>
      <c r="L59" s="210" t="str">
        <f t="shared" si="11"/>
        <v>80</v>
      </c>
      <c r="M59" s="14"/>
      <c r="N59" s="24"/>
      <c r="O59" s="15"/>
      <c r="Q59" s="68" t="str">
        <f t="shared" si="12"/>
        <v>Alesha Najwa Adelia</v>
      </c>
      <c r="R59" s="21" t="str">
        <f>IF(I59&lt;$N$10,"87","")</f>
        <v>87</v>
      </c>
      <c r="S59" s="62"/>
      <c r="T59" s="15" t="s">
        <v>38</v>
      </c>
    </row>
    <row r="60" spans="1:20" ht="12" customHeight="1" thickTop="1" thickBot="1" x14ac:dyDescent="0.3">
      <c r="A60" s="21">
        <v>6</v>
      </c>
      <c r="B60" s="19"/>
      <c r="C60" s="82" t="str">
        <f>DATA!D15</f>
        <v>Ana Kharisma Wardani</v>
      </c>
      <c r="D60" s="248">
        <v>0</v>
      </c>
      <c r="E60" s="43"/>
      <c r="F60" s="43"/>
      <c r="G60" s="43"/>
      <c r="H60" s="44"/>
      <c r="I60" s="181">
        <f t="shared" si="8"/>
        <v>0</v>
      </c>
      <c r="J60" s="45">
        <f t="shared" si="9"/>
        <v>0</v>
      </c>
      <c r="K60" s="21" t="str">
        <f t="shared" si="10"/>
        <v>tdk tuntas</v>
      </c>
      <c r="L60" s="210" t="str">
        <f t="shared" si="11"/>
        <v>80</v>
      </c>
      <c r="M60" s="14" t="s">
        <v>10</v>
      </c>
      <c r="N60" s="24"/>
      <c r="O60" s="15"/>
      <c r="Q60" s="68" t="str">
        <f t="shared" si="12"/>
        <v>Ana Kharisma Wardani</v>
      </c>
      <c r="R60" s="21" t="str">
        <f>IF(I60&lt;$N$10,"82","")</f>
        <v>82</v>
      </c>
      <c r="S60" s="14"/>
      <c r="T60" s="15" t="s">
        <v>39</v>
      </c>
    </row>
    <row r="61" spans="1:20" ht="12" customHeight="1" thickTop="1" thickBot="1" x14ac:dyDescent="0.35">
      <c r="A61" s="21">
        <v>7</v>
      </c>
      <c r="B61" s="19"/>
      <c r="C61" s="82" t="str">
        <f>DATA!D16</f>
        <v>Angga Rizki Satriya Utama</v>
      </c>
      <c r="D61" s="134">
        <v>0</v>
      </c>
      <c r="E61" s="43"/>
      <c r="F61" s="43"/>
      <c r="G61" s="43"/>
      <c r="H61" s="44"/>
      <c r="I61" s="181">
        <f t="shared" si="8"/>
        <v>0</v>
      </c>
      <c r="J61" s="45">
        <f t="shared" si="9"/>
        <v>0</v>
      </c>
      <c r="K61" s="21" t="str">
        <f t="shared" si="10"/>
        <v>tdk tuntas</v>
      </c>
      <c r="L61" s="210" t="str">
        <f t="shared" si="11"/>
        <v>80</v>
      </c>
      <c r="M61" s="14"/>
      <c r="N61" s="24"/>
      <c r="O61" s="15"/>
      <c r="Q61" s="68" t="str">
        <f t="shared" si="12"/>
        <v>Angga Rizki Satriya Utama</v>
      </c>
      <c r="R61" s="21" t="str">
        <f>IF(I61&lt;$N$10,"80","")</f>
        <v>80</v>
      </c>
      <c r="S61" s="71" t="s">
        <v>46</v>
      </c>
      <c r="T61" s="119" t="s">
        <v>36</v>
      </c>
    </row>
    <row r="62" spans="1:20" ht="12" customHeight="1" thickTop="1" x14ac:dyDescent="0.3">
      <c r="A62" s="21">
        <v>8</v>
      </c>
      <c r="B62" s="19"/>
      <c r="C62" s="82" t="str">
        <f>DATA!D17</f>
        <v>Ardiyan Vebri Pratama</v>
      </c>
      <c r="D62" s="248">
        <v>0</v>
      </c>
      <c r="E62" s="43"/>
      <c r="F62" s="43"/>
      <c r="G62" s="43"/>
      <c r="H62" s="44"/>
      <c r="I62" s="181">
        <f t="shared" si="8"/>
        <v>0</v>
      </c>
      <c r="J62" s="45">
        <f t="shared" si="9"/>
        <v>0</v>
      </c>
      <c r="K62" s="21" t="str">
        <f t="shared" si="10"/>
        <v>tdk tuntas</v>
      </c>
      <c r="L62" s="210" t="str">
        <f t="shared" si="11"/>
        <v>80</v>
      </c>
      <c r="M62" s="77" t="s">
        <v>51</v>
      </c>
      <c r="N62" s="24"/>
      <c r="O62" s="15"/>
      <c r="Q62" s="68" t="str">
        <f t="shared" si="12"/>
        <v>Ardiyan Vebri Pratama</v>
      </c>
      <c r="R62" s="21" t="str">
        <f>IF(I62&lt;$N$10,"84","")</f>
        <v>84</v>
      </c>
      <c r="S62" s="70"/>
      <c r="T62" s="119" t="s">
        <v>37</v>
      </c>
    </row>
    <row r="63" spans="1:20" ht="12" customHeight="1" x14ac:dyDescent="0.25">
      <c r="A63" s="21">
        <v>9</v>
      </c>
      <c r="B63" s="19"/>
      <c r="C63" s="82" t="str">
        <f>DATA!D18</f>
        <v>Aurel Azza Adellia Putri</v>
      </c>
      <c r="D63" s="134">
        <v>100</v>
      </c>
      <c r="E63" s="43"/>
      <c r="F63" s="43"/>
      <c r="G63" s="43"/>
      <c r="H63" s="44"/>
      <c r="I63" s="181">
        <f t="shared" si="8"/>
        <v>100</v>
      </c>
      <c r="J63" s="45">
        <f t="shared" si="9"/>
        <v>100</v>
      </c>
      <c r="K63" s="21" t="str">
        <f t="shared" si="10"/>
        <v>tuntas</v>
      </c>
      <c r="L63" s="210">
        <f t="shared" si="11"/>
        <v>100</v>
      </c>
      <c r="N63" s="24"/>
      <c r="O63" s="15"/>
      <c r="Q63" s="68" t="str">
        <f t="shared" si="12"/>
        <v>Aurel Azza Adellia Putri</v>
      </c>
      <c r="R63" s="21" t="str">
        <f>IF(I63&lt;$N$10,"88","")</f>
        <v/>
      </c>
      <c r="S63" s="14"/>
      <c r="T63" s="15"/>
    </row>
    <row r="64" spans="1:20" ht="12" customHeight="1" x14ac:dyDescent="0.25">
      <c r="A64" s="21">
        <v>10</v>
      </c>
      <c r="B64" s="19"/>
      <c r="C64" s="82" t="str">
        <f>DATA!D19</f>
        <v>Darasti Keyshafa Azumi</v>
      </c>
      <c r="D64" s="134">
        <v>30</v>
      </c>
      <c r="E64" s="43"/>
      <c r="F64" s="43"/>
      <c r="G64" s="43"/>
      <c r="H64" s="44"/>
      <c r="I64" s="181">
        <f t="shared" si="8"/>
        <v>30</v>
      </c>
      <c r="J64" s="45">
        <f t="shared" si="9"/>
        <v>30</v>
      </c>
      <c r="K64" s="21" t="str">
        <f t="shared" si="10"/>
        <v>tdk tuntas</v>
      </c>
      <c r="L64" s="210" t="str">
        <f t="shared" si="11"/>
        <v>80</v>
      </c>
      <c r="M64" s="14"/>
      <c r="N64" s="24"/>
      <c r="O64" s="15"/>
      <c r="Q64" s="68" t="str">
        <f t="shared" si="12"/>
        <v>Darasti Keyshafa Azumi</v>
      </c>
      <c r="R64" s="21" t="str">
        <f t="shared" ref="R64:R69" si="13">IF(I64&lt;$N$10,"85","")</f>
        <v>85</v>
      </c>
      <c r="S64" s="14" t="s">
        <v>30</v>
      </c>
      <c r="T64" s="15"/>
    </row>
    <row r="65" spans="1:20" ht="12" customHeight="1" thickBot="1" x14ac:dyDescent="0.3">
      <c r="A65" s="21">
        <v>11</v>
      </c>
      <c r="B65" s="19"/>
      <c r="C65" s="82" t="str">
        <f>DATA!D20</f>
        <v>Dea Resti Lian Dana Sari</v>
      </c>
      <c r="D65" s="248">
        <v>50</v>
      </c>
      <c r="E65" s="43"/>
      <c r="F65" s="43"/>
      <c r="G65" s="43"/>
      <c r="H65" s="44"/>
      <c r="I65" s="181">
        <f t="shared" si="8"/>
        <v>50</v>
      </c>
      <c r="J65" s="45">
        <f t="shared" si="9"/>
        <v>50</v>
      </c>
      <c r="K65" s="21" t="str">
        <f t="shared" si="10"/>
        <v>tdk tuntas</v>
      </c>
      <c r="L65" s="210" t="str">
        <f t="shared" si="11"/>
        <v>81</v>
      </c>
      <c r="M65" s="14"/>
      <c r="N65" s="24"/>
      <c r="O65" s="15"/>
      <c r="Q65" s="68" t="str">
        <f t="shared" si="12"/>
        <v>Dea Resti Lian Dana Sari</v>
      </c>
      <c r="R65" s="21" t="str">
        <f t="shared" si="13"/>
        <v>85</v>
      </c>
      <c r="T65" s="15"/>
    </row>
    <row r="66" spans="1:20" ht="12" customHeight="1" thickTop="1" thickBot="1" x14ac:dyDescent="0.35">
      <c r="A66" s="21">
        <v>12</v>
      </c>
      <c r="B66" s="19"/>
      <c r="C66" s="82" t="str">
        <f>DATA!D21</f>
        <v>Desta Dwi Lestari</v>
      </c>
      <c r="D66" s="248">
        <v>100</v>
      </c>
      <c r="E66" s="43"/>
      <c r="F66" s="43"/>
      <c r="G66" s="43"/>
      <c r="H66" s="44"/>
      <c r="I66" s="181">
        <f t="shared" si="8"/>
        <v>100</v>
      </c>
      <c r="J66" s="45">
        <f t="shared" si="9"/>
        <v>100</v>
      </c>
      <c r="K66" s="21" t="str">
        <f t="shared" si="10"/>
        <v>tuntas</v>
      </c>
      <c r="L66" s="210">
        <f t="shared" si="11"/>
        <v>100</v>
      </c>
      <c r="M66" s="14" t="s">
        <v>11</v>
      </c>
      <c r="N66" s="58">
        <f>K93</f>
        <v>32</v>
      </c>
      <c r="O66" s="15"/>
      <c r="Q66" s="68" t="str">
        <f t="shared" si="12"/>
        <v>Desta Dwi Lestari</v>
      </c>
      <c r="R66" s="21" t="str">
        <f t="shared" si="13"/>
        <v/>
      </c>
      <c r="S66" s="71" t="s">
        <v>46</v>
      </c>
      <c r="T66" s="119" t="s">
        <v>31</v>
      </c>
    </row>
    <row r="67" spans="1:20" ht="12" customHeight="1" thickTop="1" thickBot="1" x14ac:dyDescent="0.35">
      <c r="A67" s="21">
        <v>13</v>
      </c>
      <c r="B67" s="19"/>
      <c r="C67" s="82" t="str">
        <f>DATA!D22</f>
        <v>Faaz Nizzar Ardiansyah</v>
      </c>
      <c r="D67" s="248">
        <v>0</v>
      </c>
      <c r="E67" s="43"/>
      <c r="F67" s="43"/>
      <c r="G67" s="43"/>
      <c r="H67" s="44"/>
      <c r="I67" s="181">
        <f t="shared" si="8"/>
        <v>0</v>
      </c>
      <c r="J67" s="45">
        <f t="shared" si="9"/>
        <v>0</v>
      </c>
      <c r="K67" s="21" t="str">
        <f t="shared" si="10"/>
        <v>tdk tuntas</v>
      </c>
      <c r="L67" s="210" t="str">
        <f t="shared" si="11"/>
        <v>80</v>
      </c>
      <c r="M67" s="14" t="s">
        <v>12</v>
      </c>
      <c r="N67" s="58">
        <f>K91</f>
        <v>12</v>
      </c>
      <c r="O67" s="15"/>
      <c r="Q67" s="68" t="str">
        <f t="shared" si="12"/>
        <v>Faaz Nizzar Ardiansyah</v>
      </c>
      <c r="R67" s="21" t="str">
        <f t="shared" si="13"/>
        <v>85</v>
      </c>
      <c r="S67" s="70"/>
      <c r="T67" s="119" t="s">
        <v>32</v>
      </c>
    </row>
    <row r="68" spans="1:20" ht="12" customHeight="1" thickTop="1" thickBot="1" x14ac:dyDescent="0.35">
      <c r="A68" s="21">
        <v>14</v>
      </c>
      <c r="B68" s="19"/>
      <c r="C68" s="82" t="str">
        <f>DATA!D23</f>
        <v>Hazel Javier Ozora</v>
      </c>
      <c r="D68" s="248">
        <v>90</v>
      </c>
      <c r="E68" s="43"/>
      <c r="F68" s="43"/>
      <c r="G68" s="43"/>
      <c r="H68" s="44"/>
      <c r="I68" s="181">
        <f t="shared" si="8"/>
        <v>90</v>
      </c>
      <c r="J68" s="45">
        <f t="shared" si="9"/>
        <v>90</v>
      </c>
      <c r="K68" s="21" t="str">
        <f t="shared" si="10"/>
        <v>tuntas</v>
      </c>
      <c r="L68" s="210">
        <f t="shared" si="11"/>
        <v>90</v>
      </c>
      <c r="M68" s="14" t="s">
        <v>13</v>
      </c>
      <c r="N68" s="58">
        <f>N67/N66*100</f>
        <v>37.5</v>
      </c>
      <c r="O68" s="15" t="s">
        <v>4</v>
      </c>
      <c r="Q68" s="68" t="str">
        <f t="shared" si="12"/>
        <v>Hazel Javier Ozora</v>
      </c>
      <c r="R68" s="21" t="str">
        <f t="shared" si="13"/>
        <v/>
      </c>
      <c r="S68" s="62"/>
      <c r="T68" s="15" t="s">
        <v>33</v>
      </c>
    </row>
    <row r="69" spans="1:20" ht="12" customHeight="1" thickTop="1" x14ac:dyDescent="0.25">
      <c r="A69" s="21">
        <v>15</v>
      </c>
      <c r="B69" s="19"/>
      <c r="C69" s="82" t="str">
        <f>DATA!D24</f>
        <v>Indika Dwi Laksono</v>
      </c>
      <c r="D69" s="134">
        <v>100</v>
      </c>
      <c r="E69" s="43"/>
      <c r="F69" s="43"/>
      <c r="G69" s="43"/>
      <c r="H69" s="44"/>
      <c r="I69" s="181">
        <f t="shared" si="8"/>
        <v>100</v>
      </c>
      <c r="J69" s="45">
        <f t="shared" si="9"/>
        <v>100</v>
      </c>
      <c r="K69" s="21" t="str">
        <f t="shared" si="10"/>
        <v>tuntas</v>
      </c>
      <c r="L69" s="210">
        <f t="shared" si="11"/>
        <v>100</v>
      </c>
      <c r="M69" s="14"/>
      <c r="N69" s="24"/>
      <c r="O69" s="15"/>
      <c r="Q69" s="68" t="str">
        <f t="shared" si="12"/>
        <v>Indika Dwi Laksono</v>
      </c>
      <c r="R69" s="21" t="str">
        <f t="shared" si="13"/>
        <v/>
      </c>
      <c r="S69" s="14"/>
      <c r="T69" s="15" t="s">
        <v>34</v>
      </c>
    </row>
    <row r="70" spans="1:20" ht="12" customHeight="1" x14ac:dyDescent="0.25">
      <c r="A70" s="21">
        <v>16</v>
      </c>
      <c r="B70" s="19"/>
      <c r="C70" s="82" t="str">
        <f>DATA!D25</f>
        <v>Indra Rahma Azzahra</v>
      </c>
      <c r="D70" s="134">
        <v>100</v>
      </c>
      <c r="E70" s="43"/>
      <c r="F70" s="43"/>
      <c r="G70" s="43"/>
      <c r="H70" s="44"/>
      <c r="I70" s="181">
        <f>SUM(D70:H70)</f>
        <v>100</v>
      </c>
      <c r="J70" s="45">
        <f t="shared" si="9"/>
        <v>100</v>
      </c>
      <c r="K70" s="21" t="str">
        <f t="shared" si="10"/>
        <v>tuntas</v>
      </c>
      <c r="L70" s="210">
        <f t="shared" si="11"/>
        <v>100</v>
      </c>
      <c r="M70" s="14" t="s">
        <v>52</v>
      </c>
      <c r="N70" s="24"/>
      <c r="O70" s="15"/>
      <c r="Q70" s="68" t="str">
        <f t="shared" si="12"/>
        <v>Indra Rahma Azzahra</v>
      </c>
      <c r="R70" s="21" t="str">
        <f>IF(I70&lt;$N$10,"84","")</f>
        <v/>
      </c>
      <c r="S70" s="14"/>
      <c r="T70" s="15"/>
    </row>
    <row r="71" spans="1:20" ht="12" customHeight="1" x14ac:dyDescent="0.25">
      <c r="A71" s="21">
        <v>17</v>
      </c>
      <c r="B71" s="19"/>
      <c r="C71" s="82" t="str">
        <f>DATA!D26</f>
        <v>Lutfia Asri Wahyuni</v>
      </c>
      <c r="D71" s="134">
        <v>0</v>
      </c>
      <c r="E71" s="43"/>
      <c r="F71" s="43"/>
      <c r="G71" s="43"/>
      <c r="H71" s="44"/>
      <c r="I71" s="181">
        <f t="shared" si="8"/>
        <v>0</v>
      </c>
      <c r="J71" s="45">
        <f t="shared" si="9"/>
        <v>0</v>
      </c>
      <c r="K71" s="21" t="str">
        <f t="shared" si="10"/>
        <v>tdk tuntas</v>
      </c>
      <c r="L71" s="210" t="str">
        <f t="shared" si="11"/>
        <v>80</v>
      </c>
      <c r="N71" s="24"/>
      <c r="O71" s="15"/>
      <c r="Q71" s="68" t="str">
        <f t="shared" si="12"/>
        <v>Lutfia Asri Wahyuni</v>
      </c>
      <c r="R71" s="21" t="str">
        <f t="shared" ref="R71:R77" si="14">IF(I71&lt;$N$10,"82","")</f>
        <v>82</v>
      </c>
      <c r="S71" s="14"/>
      <c r="T71" s="63" t="s">
        <v>41</v>
      </c>
    </row>
    <row r="72" spans="1:20" ht="12" customHeight="1" x14ac:dyDescent="0.25">
      <c r="A72" s="21">
        <v>18</v>
      </c>
      <c r="B72" s="19"/>
      <c r="C72" s="82" t="str">
        <f>DATA!D27</f>
        <v>Muhamad Fadil Khoiri</v>
      </c>
      <c r="D72" s="134">
        <v>100</v>
      </c>
      <c r="E72" s="43"/>
      <c r="F72" s="43"/>
      <c r="G72" s="43"/>
      <c r="H72" s="44"/>
      <c r="I72" s="181">
        <f t="shared" si="8"/>
        <v>100</v>
      </c>
      <c r="J72" s="45">
        <f t="shared" si="9"/>
        <v>100</v>
      </c>
      <c r="K72" s="21" t="str">
        <f t="shared" si="10"/>
        <v>tuntas</v>
      </c>
      <c r="L72" s="210">
        <f t="shared" si="11"/>
        <v>100</v>
      </c>
      <c r="M72" s="14"/>
      <c r="N72" s="24"/>
      <c r="O72" s="15"/>
      <c r="Q72" s="68" t="str">
        <f t="shared" si="12"/>
        <v>Muhamad Fadil Khoiri</v>
      </c>
      <c r="R72" s="21" t="str">
        <f t="shared" si="14"/>
        <v/>
      </c>
      <c r="S72" s="14"/>
      <c r="T72" s="63"/>
    </row>
    <row r="73" spans="1:20" ht="12" customHeight="1" x14ac:dyDescent="0.25">
      <c r="A73" s="21">
        <v>19</v>
      </c>
      <c r="B73" s="19"/>
      <c r="C73" s="82" t="str">
        <f>DATA!D28</f>
        <v>Muhammad Aqil Mufid</v>
      </c>
      <c r="D73" s="248">
        <v>30</v>
      </c>
      <c r="E73" s="43"/>
      <c r="F73" s="43"/>
      <c r="G73" s="43"/>
      <c r="H73" s="44"/>
      <c r="I73" s="181">
        <f t="shared" si="8"/>
        <v>30</v>
      </c>
      <c r="J73" s="45">
        <f t="shared" si="9"/>
        <v>30</v>
      </c>
      <c r="K73" s="21" t="str">
        <f t="shared" si="10"/>
        <v>tdk tuntas</v>
      </c>
      <c r="L73" s="210" t="str">
        <f t="shared" si="11"/>
        <v>80</v>
      </c>
      <c r="M73" s="14"/>
      <c r="N73" s="24"/>
      <c r="O73" s="15"/>
      <c r="Q73" s="68" t="str">
        <f t="shared" si="12"/>
        <v>Muhammad Aqil Mufid</v>
      </c>
      <c r="R73" s="21" t="str">
        <f t="shared" si="14"/>
        <v>82</v>
      </c>
      <c r="S73" s="14"/>
      <c r="T73" s="63"/>
    </row>
    <row r="74" spans="1:20" ht="12" customHeight="1" x14ac:dyDescent="0.25">
      <c r="A74" s="21">
        <v>20</v>
      </c>
      <c r="B74" s="19"/>
      <c r="C74" s="82" t="str">
        <f>DATA!D29</f>
        <v>Muhammad Danish Alzydan</v>
      </c>
      <c r="D74" s="134">
        <v>20</v>
      </c>
      <c r="E74" s="43"/>
      <c r="F74" s="43"/>
      <c r="G74" s="43"/>
      <c r="H74" s="44"/>
      <c r="I74" s="181">
        <f t="shared" si="8"/>
        <v>20</v>
      </c>
      <c r="J74" s="45">
        <f t="shared" si="9"/>
        <v>20</v>
      </c>
      <c r="K74" s="21" t="str">
        <f t="shared" si="10"/>
        <v>tdk tuntas</v>
      </c>
      <c r="L74" s="210" t="str">
        <f t="shared" si="11"/>
        <v>80</v>
      </c>
      <c r="M74" s="14" t="s">
        <v>53</v>
      </c>
      <c r="N74" s="78">
        <f>I91</f>
        <v>1470</v>
      </c>
      <c r="O74" s="15"/>
      <c r="Q74" s="68" t="str">
        <f t="shared" si="12"/>
        <v>Muhammad Danish Alzydan</v>
      </c>
      <c r="R74" s="21" t="str">
        <f t="shared" si="14"/>
        <v>82</v>
      </c>
      <c r="S74" s="14"/>
      <c r="T74" s="63"/>
    </row>
    <row r="75" spans="1:20" ht="12" customHeight="1" x14ac:dyDescent="0.25">
      <c r="A75" s="21">
        <v>21</v>
      </c>
      <c r="B75" s="19"/>
      <c r="C75" s="82" t="str">
        <f>DATA!D30</f>
        <v>Muhammad Nurul Huda</v>
      </c>
      <c r="D75" s="248">
        <v>20</v>
      </c>
      <c r="E75" s="43"/>
      <c r="F75" s="43"/>
      <c r="G75" s="43"/>
      <c r="H75" s="44"/>
      <c r="I75" s="181">
        <f t="shared" si="8"/>
        <v>20</v>
      </c>
      <c r="J75" s="45">
        <f t="shared" si="9"/>
        <v>20</v>
      </c>
      <c r="K75" s="21" t="str">
        <f t="shared" si="10"/>
        <v>tdk tuntas</v>
      </c>
      <c r="L75" s="210" t="str">
        <f t="shared" si="11"/>
        <v>80</v>
      </c>
      <c r="M75" s="14" t="s">
        <v>54</v>
      </c>
      <c r="N75" s="78">
        <f>I92</f>
        <v>3200</v>
      </c>
      <c r="O75" s="15"/>
      <c r="Q75" s="68" t="str">
        <f t="shared" si="12"/>
        <v>Muhammad Nurul Huda</v>
      </c>
      <c r="R75" s="21" t="str">
        <f t="shared" si="14"/>
        <v>82</v>
      </c>
      <c r="S75" s="14"/>
      <c r="T75" s="63" t="str">
        <f>T28</f>
        <v>KASMIN, S.Pd</v>
      </c>
    </row>
    <row r="76" spans="1:20" ht="12" customHeight="1" x14ac:dyDescent="0.25">
      <c r="A76" s="21">
        <v>22</v>
      </c>
      <c r="B76" s="19"/>
      <c r="C76" s="133" t="str">
        <f>DATA!D31</f>
        <v>Nada Aprillia Zulfa Fairuz</v>
      </c>
      <c r="D76" s="248">
        <v>10</v>
      </c>
      <c r="E76" s="43"/>
      <c r="F76" s="43"/>
      <c r="G76" s="43"/>
      <c r="H76" s="44"/>
      <c r="I76" s="181">
        <f t="shared" si="8"/>
        <v>10</v>
      </c>
      <c r="J76" s="45">
        <f>I76</f>
        <v>10</v>
      </c>
      <c r="K76" s="21" t="str">
        <f>IF(J76&lt;$N$10,"tdk tuntas","tuntas")</f>
        <v>tdk tuntas</v>
      </c>
      <c r="L76" s="210" t="str">
        <f t="shared" si="11"/>
        <v>80</v>
      </c>
      <c r="M76" s="14" t="s">
        <v>13</v>
      </c>
      <c r="N76" s="84">
        <f>N74/N75*100</f>
        <v>45.9375</v>
      </c>
      <c r="O76" s="79" t="s">
        <v>4</v>
      </c>
      <c r="Q76" s="68" t="str">
        <f t="shared" si="12"/>
        <v>Nada Aprillia Zulfa Fairuz</v>
      </c>
      <c r="R76" s="21" t="str">
        <f t="shared" si="14"/>
        <v>82</v>
      </c>
      <c r="S76" s="14"/>
      <c r="T76" s="83" t="str">
        <f>T29</f>
        <v>NIP : 196609141990031007</v>
      </c>
    </row>
    <row r="77" spans="1:20" ht="12" customHeight="1" x14ac:dyDescent="0.25">
      <c r="A77" s="21">
        <v>23</v>
      </c>
      <c r="B77" s="19"/>
      <c r="C77" s="82" t="str">
        <f>DATA!D32</f>
        <v>Nadaa Fadiyah Salsabila</v>
      </c>
      <c r="D77" s="248">
        <v>20</v>
      </c>
      <c r="E77" s="43"/>
      <c r="F77" s="43"/>
      <c r="G77" s="43"/>
      <c r="H77" s="44"/>
      <c r="I77" s="181">
        <f t="shared" si="8"/>
        <v>20</v>
      </c>
      <c r="J77" s="45">
        <f t="shared" si="9"/>
        <v>20</v>
      </c>
      <c r="K77" s="21" t="str">
        <f t="shared" si="10"/>
        <v>tdk tuntas</v>
      </c>
      <c r="L77" s="210" t="str">
        <f t="shared" si="11"/>
        <v>80</v>
      </c>
      <c r="M77" s="14"/>
      <c r="N77" s="24"/>
      <c r="O77" s="15"/>
      <c r="Q77" s="68" t="str">
        <f t="shared" si="12"/>
        <v>Nadaa Fadiyah Salsabila</v>
      </c>
      <c r="R77" s="21" t="str">
        <f t="shared" si="14"/>
        <v>82</v>
      </c>
      <c r="S77" s="14"/>
      <c r="T77" s="15"/>
    </row>
    <row r="78" spans="1:20" ht="12" customHeight="1" x14ac:dyDescent="0.25">
      <c r="A78" s="21">
        <v>24</v>
      </c>
      <c r="B78" s="19"/>
      <c r="C78" s="82" t="str">
        <f>DATA!D33</f>
        <v>Nayla Oriza Shatifa</v>
      </c>
      <c r="D78" s="248">
        <v>100</v>
      </c>
      <c r="E78" s="43"/>
      <c r="F78" s="43"/>
      <c r="G78" s="43"/>
      <c r="H78" s="44"/>
      <c r="I78" s="181">
        <f t="shared" si="8"/>
        <v>100</v>
      </c>
      <c r="J78" s="45">
        <f t="shared" si="9"/>
        <v>100</v>
      </c>
      <c r="K78" s="21" t="str">
        <f t="shared" si="10"/>
        <v>tuntas</v>
      </c>
      <c r="L78" s="210">
        <f t="shared" si="11"/>
        <v>100</v>
      </c>
      <c r="M78" s="14"/>
      <c r="N78" s="24"/>
      <c r="O78" s="15"/>
      <c r="Q78" s="68" t="str">
        <f t="shared" si="12"/>
        <v>Nayla Oriza Shatifa</v>
      </c>
      <c r="R78" s="21" t="str">
        <f>IF(I78&lt;$N$10,"85","")</f>
        <v/>
      </c>
      <c r="S78" s="14"/>
      <c r="T78" s="63" t="s">
        <v>42</v>
      </c>
    </row>
    <row r="79" spans="1:20" ht="12" customHeight="1" x14ac:dyDescent="0.25">
      <c r="A79" s="21">
        <v>25</v>
      </c>
      <c r="B79" s="19"/>
      <c r="C79" s="82" t="str">
        <f>DATA!D34</f>
        <v>Raditya Eka Putra Yudha</v>
      </c>
      <c r="D79" s="248">
        <v>30</v>
      </c>
      <c r="E79" s="43"/>
      <c r="F79" s="43"/>
      <c r="G79" s="43"/>
      <c r="H79" s="44"/>
      <c r="I79" s="181">
        <f t="shared" si="8"/>
        <v>30</v>
      </c>
      <c r="J79" s="45">
        <f t="shared" si="9"/>
        <v>30</v>
      </c>
      <c r="K79" s="21" t="str">
        <f t="shared" si="10"/>
        <v>tdk tuntas</v>
      </c>
      <c r="L79" s="210" t="str">
        <f t="shared" si="11"/>
        <v>80</v>
      </c>
      <c r="M79" s="14" t="s">
        <v>14</v>
      </c>
      <c r="N79" s="24"/>
      <c r="O79" s="15"/>
      <c r="Q79" s="68" t="str">
        <f t="shared" si="12"/>
        <v>Raditya Eka Putra Yudha</v>
      </c>
      <c r="R79" s="21" t="str">
        <f>IF(I79&lt;$N$10,"81","")</f>
        <v>81</v>
      </c>
      <c r="S79" s="14"/>
      <c r="T79" s="63"/>
    </row>
    <row r="80" spans="1:20" ht="12" customHeight="1" x14ac:dyDescent="0.25">
      <c r="A80" s="21">
        <v>26</v>
      </c>
      <c r="B80" s="19"/>
      <c r="C80" s="82" t="str">
        <f>DATA!D35</f>
        <v>Ragil Harlangga</v>
      </c>
      <c r="D80" s="248">
        <v>10</v>
      </c>
      <c r="E80" s="43"/>
      <c r="F80" s="43"/>
      <c r="G80" s="43"/>
      <c r="H80" s="44"/>
      <c r="I80" s="181">
        <f t="shared" si="8"/>
        <v>10</v>
      </c>
      <c r="J80" s="45">
        <f t="shared" si="9"/>
        <v>10</v>
      </c>
      <c r="K80" s="21" t="str">
        <f t="shared" si="10"/>
        <v>tdk tuntas</v>
      </c>
      <c r="L80" s="210" t="str">
        <f t="shared" si="11"/>
        <v>80</v>
      </c>
      <c r="M80" s="14" t="s">
        <v>15</v>
      </c>
      <c r="N80" s="24"/>
      <c r="O80" s="15"/>
      <c r="Q80" s="68" t="str">
        <f t="shared" si="12"/>
        <v>Ragil Harlangga</v>
      </c>
      <c r="R80" s="21" t="str">
        <f>IF(I80&lt;$N$10,"82","")</f>
        <v>82</v>
      </c>
      <c r="S80" s="14"/>
      <c r="T80" s="63"/>
    </row>
    <row r="81" spans="1:20" ht="12" customHeight="1" x14ac:dyDescent="0.3">
      <c r="A81" s="21">
        <v>27</v>
      </c>
      <c r="B81" s="19"/>
      <c r="C81" s="82" t="str">
        <f>DATA!D36</f>
        <v>Rasya Hidayatullah Putra Zatmiko</v>
      </c>
      <c r="D81" s="248">
        <v>20</v>
      </c>
      <c r="E81" s="43"/>
      <c r="F81" s="43"/>
      <c r="G81" s="43"/>
      <c r="H81" s="44"/>
      <c r="I81" s="181">
        <f t="shared" si="8"/>
        <v>20</v>
      </c>
      <c r="J81" s="45">
        <f t="shared" si="9"/>
        <v>20</v>
      </c>
      <c r="K81" s="21" t="str">
        <f t="shared" si="10"/>
        <v>tdk tuntas</v>
      </c>
      <c r="L81" s="210" t="str">
        <f t="shared" si="11"/>
        <v>80</v>
      </c>
      <c r="M81" s="155" t="s">
        <v>80</v>
      </c>
      <c r="N81" s="24"/>
      <c r="O81" s="15"/>
      <c r="Q81" s="68" t="str">
        <f t="shared" si="12"/>
        <v>Rasya Hidayatullah Putra Zatmiko</v>
      </c>
      <c r="R81" s="21" t="str">
        <f>IF(I81&lt;$N$10,"82","")</f>
        <v>82</v>
      </c>
      <c r="S81" s="14"/>
      <c r="T81" s="63"/>
    </row>
    <row r="82" spans="1:20" ht="12" customHeight="1" x14ac:dyDescent="0.25">
      <c r="A82" s="21">
        <v>28</v>
      </c>
      <c r="B82" s="19"/>
      <c r="C82" s="82" t="str">
        <f>DATA!D37</f>
        <v>Septiyana Trihapsari</v>
      </c>
      <c r="D82" s="134">
        <v>10</v>
      </c>
      <c r="E82" s="43"/>
      <c r="F82" s="43"/>
      <c r="G82" s="43"/>
      <c r="H82" s="44"/>
      <c r="I82" s="181">
        <f t="shared" si="8"/>
        <v>10</v>
      </c>
      <c r="J82" s="45">
        <f t="shared" si="9"/>
        <v>10</v>
      </c>
      <c r="K82" s="21" t="str">
        <f t="shared" si="10"/>
        <v>tdk tuntas</v>
      </c>
      <c r="L82" s="210" t="str">
        <f t="shared" si="11"/>
        <v>80</v>
      </c>
      <c r="M82" s="14"/>
      <c r="N82" s="24"/>
      <c r="O82" s="15"/>
      <c r="Q82" s="68" t="str">
        <f t="shared" si="12"/>
        <v>Septiyana Trihapsari</v>
      </c>
      <c r="R82" s="21" t="str">
        <f>IF(I82&lt;$N$10,"81","")</f>
        <v>81</v>
      </c>
      <c r="S82" s="14"/>
      <c r="T82" s="63"/>
    </row>
    <row r="83" spans="1:20" ht="12" customHeight="1" x14ac:dyDescent="0.25">
      <c r="A83" s="21">
        <v>29</v>
      </c>
      <c r="B83" s="19"/>
      <c r="C83" s="82" t="str">
        <f>DATA!D38</f>
        <v>Syarifa Fatma</v>
      </c>
      <c r="D83" s="134">
        <v>90</v>
      </c>
      <c r="E83" s="43"/>
      <c r="F83" s="43"/>
      <c r="G83" s="43"/>
      <c r="H83" s="44"/>
      <c r="I83" s="181">
        <f t="shared" si="8"/>
        <v>90</v>
      </c>
      <c r="J83" s="45">
        <f t="shared" si="9"/>
        <v>90</v>
      </c>
      <c r="K83" s="21" t="str">
        <f t="shared" si="10"/>
        <v>tuntas</v>
      </c>
      <c r="L83" s="210">
        <f t="shared" si="11"/>
        <v>90</v>
      </c>
      <c r="M83" s="14"/>
      <c r="N83" s="24"/>
      <c r="O83" s="15"/>
      <c r="Q83" s="68" t="str">
        <f t="shared" si="12"/>
        <v>Syarifa Fatma</v>
      </c>
      <c r="R83" s="21" t="str">
        <f>IF(I83&lt;$N$10,"85","")</f>
        <v/>
      </c>
      <c r="S83" s="14"/>
      <c r="T83" s="63"/>
    </row>
    <row r="84" spans="1:20" ht="12" customHeight="1" x14ac:dyDescent="0.25">
      <c r="A84" s="21">
        <v>30</v>
      </c>
      <c r="B84" s="19"/>
      <c r="C84" s="82" t="str">
        <f>DATA!D39</f>
        <v>Syauqi Lazuardi</v>
      </c>
      <c r="D84" s="248">
        <v>100</v>
      </c>
      <c r="E84" s="43"/>
      <c r="F84" s="43"/>
      <c r="G84" s="43"/>
      <c r="H84" s="44"/>
      <c r="I84" s="181">
        <f t="shared" si="8"/>
        <v>100</v>
      </c>
      <c r="J84" s="45">
        <f t="shared" si="9"/>
        <v>100</v>
      </c>
      <c r="K84" s="21" t="str">
        <f t="shared" si="10"/>
        <v>tuntas</v>
      </c>
      <c r="L84" s="210">
        <f t="shared" si="11"/>
        <v>100</v>
      </c>
      <c r="M84" s="14"/>
      <c r="N84" s="24"/>
      <c r="O84" s="15"/>
      <c r="Q84" s="68" t="str">
        <f t="shared" si="12"/>
        <v>Syauqi Lazuardi</v>
      </c>
      <c r="R84" s="21" t="str">
        <f>IF(I84&lt;$N$10,"84","")</f>
        <v/>
      </c>
      <c r="S84" s="14"/>
      <c r="T84" s="63" t="str">
        <f>T37</f>
        <v>Dra. BAROKAH GUNIARTI</v>
      </c>
    </row>
    <row r="85" spans="1:20" ht="12" customHeight="1" x14ac:dyDescent="0.25">
      <c r="A85" s="21">
        <v>31</v>
      </c>
      <c r="B85" s="19"/>
      <c r="C85" s="82" t="str">
        <f>DATA!D40</f>
        <v>Zakya Ninu Azzahra</v>
      </c>
      <c r="D85" s="134">
        <v>90</v>
      </c>
      <c r="E85" s="43"/>
      <c r="F85" s="43"/>
      <c r="G85" s="43"/>
      <c r="H85" s="44"/>
      <c r="I85" s="181">
        <f t="shared" si="8"/>
        <v>90</v>
      </c>
      <c r="J85" s="45">
        <f t="shared" si="9"/>
        <v>90</v>
      </c>
      <c r="K85" s="21" t="str">
        <f t="shared" si="10"/>
        <v>tuntas</v>
      </c>
      <c r="L85" s="210">
        <f t="shared" si="11"/>
        <v>90</v>
      </c>
      <c r="M85" s="14" t="s">
        <v>56</v>
      </c>
      <c r="N85" s="24"/>
      <c r="O85" s="15"/>
      <c r="Q85" s="68" t="str">
        <f t="shared" si="12"/>
        <v>Zakya Ninu Azzahra</v>
      </c>
      <c r="R85" s="21" t="str">
        <f>IF(I85&lt;$N$10,"84","")</f>
        <v/>
      </c>
      <c r="S85" s="14"/>
      <c r="T85" s="103" t="str">
        <f>T38</f>
        <v>NIP : 196901081996122004</v>
      </c>
    </row>
    <row r="86" spans="1:20" ht="12" customHeight="1" x14ac:dyDescent="0.25">
      <c r="A86" s="21">
        <v>32</v>
      </c>
      <c r="B86" s="19"/>
      <c r="C86" s="82" t="str">
        <f>DATA!D41</f>
        <v>Zivara Layly Amaratungga</v>
      </c>
      <c r="D86" s="248">
        <v>0</v>
      </c>
      <c r="E86" s="43"/>
      <c r="F86" s="43"/>
      <c r="G86" s="43"/>
      <c r="H86" s="44"/>
      <c r="I86" s="246">
        <f>SUM(D86:H86)</f>
        <v>0</v>
      </c>
      <c r="J86" s="45">
        <f t="shared" si="9"/>
        <v>0</v>
      </c>
      <c r="K86" s="21" t="str">
        <f t="shared" si="10"/>
        <v>tdk tuntas</v>
      </c>
      <c r="L86" s="210" t="str">
        <f t="shared" si="11"/>
        <v>80</v>
      </c>
      <c r="M86" s="14"/>
      <c r="N86" s="24"/>
      <c r="O86" s="15"/>
      <c r="Q86" s="68" t="str">
        <f t="shared" si="12"/>
        <v>Zivara Layly Amaratungga</v>
      </c>
      <c r="R86" s="21"/>
      <c r="S86" s="14"/>
      <c r="T86" s="15"/>
    </row>
    <row r="87" spans="1:20" ht="12" customHeight="1" x14ac:dyDescent="0.25">
      <c r="A87" s="21">
        <v>33</v>
      </c>
      <c r="B87" s="19"/>
      <c r="C87" s="82"/>
      <c r="D87" s="42" t="s">
        <v>63</v>
      </c>
      <c r="E87" s="43"/>
      <c r="F87" s="43"/>
      <c r="G87" s="43"/>
      <c r="H87" s="44"/>
      <c r="I87" s="21"/>
      <c r="J87" s="45"/>
      <c r="K87" s="21"/>
      <c r="L87" s="210"/>
      <c r="M87" s="14" t="s">
        <v>16</v>
      </c>
      <c r="N87" s="24"/>
      <c r="O87" s="15"/>
      <c r="Q87" s="68"/>
      <c r="R87" s="21"/>
      <c r="S87" s="14"/>
      <c r="T87" s="15"/>
    </row>
    <row r="88" spans="1:20" ht="12" customHeight="1" x14ac:dyDescent="0.25">
      <c r="A88" s="21">
        <v>34</v>
      </c>
      <c r="B88" s="19"/>
      <c r="C88" s="82"/>
      <c r="D88" s="42" t="s">
        <v>63</v>
      </c>
      <c r="E88" s="43"/>
      <c r="F88" s="43"/>
      <c r="G88" s="43"/>
      <c r="H88" s="44"/>
      <c r="I88" s="21"/>
      <c r="J88" s="45"/>
      <c r="K88" s="21"/>
      <c r="L88" s="210"/>
      <c r="M88" s="14" t="s">
        <v>82</v>
      </c>
      <c r="N88" s="24">
        <f>N57</f>
        <v>80</v>
      </c>
      <c r="O88" s="15"/>
      <c r="Q88" s="68"/>
      <c r="R88" s="21"/>
      <c r="S88" s="14"/>
      <c r="T88" s="15"/>
    </row>
    <row r="89" spans="1:20" ht="12" customHeight="1" x14ac:dyDescent="0.25">
      <c r="A89" s="21">
        <v>35</v>
      </c>
      <c r="B89" s="22"/>
      <c r="C89" s="162"/>
      <c r="D89" s="136" t="s">
        <v>63</v>
      </c>
      <c r="E89" s="137"/>
      <c r="F89" s="137"/>
      <c r="G89" s="137"/>
      <c r="H89" s="138"/>
      <c r="I89" s="21"/>
      <c r="J89" s="45"/>
      <c r="K89" s="21"/>
      <c r="L89" s="247"/>
      <c r="M89" s="14" t="s">
        <v>23</v>
      </c>
      <c r="N89" s="24"/>
      <c r="O89" s="15"/>
      <c r="Q89" s="68"/>
      <c r="R89" s="21"/>
      <c r="S89" s="16"/>
      <c r="T89" s="17"/>
    </row>
    <row r="90" spans="1:20" ht="12" customHeight="1" x14ac:dyDescent="0.25">
      <c r="A90" s="101" t="s">
        <v>64</v>
      </c>
      <c r="B90" s="96"/>
      <c r="C90" s="97"/>
      <c r="D90" s="93"/>
      <c r="E90" s="94"/>
      <c r="F90" s="94"/>
      <c r="G90" s="94"/>
      <c r="H90" s="95"/>
      <c r="I90" s="98">
        <f>AVERAGE(I55:I89)</f>
        <v>45.9375</v>
      </c>
      <c r="J90" s="74"/>
      <c r="K90" s="47"/>
      <c r="L90" s="65"/>
      <c r="M90" s="14"/>
      <c r="N90" s="24"/>
      <c r="O90" s="15"/>
      <c r="Q90" s="60"/>
      <c r="R90" s="471" t="str">
        <f>C51</f>
        <v>9B</v>
      </c>
      <c r="S90" s="471"/>
      <c r="T90" s="61"/>
    </row>
    <row r="91" spans="1:20" ht="12" customHeight="1" x14ac:dyDescent="0.25">
      <c r="A91" s="14" t="s">
        <v>17</v>
      </c>
      <c r="B91" s="24"/>
      <c r="C91" s="15"/>
      <c r="D91" s="42">
        <f>SUM(D55:D89)</f>
        <v>1470</v>
      </c>
      <c r="E91" s="43">
        <f>SUM(E55:E89)</f>
        <v>0</v>
      </c>
      <c r="F91" s="43">
        <f>SUM(F55:F89)</f>
        <v>0</v>
      </c>
      <c r="G91" s="43">
        <f>SUM(G55:G89)</f>
        <v>0</v>
      </c>
      <c r="H91" s="44"/>
      <c r="I91" s="80">
        <f>SUM(D91:H91)</f>
        <v>1470</v>
      </c>
      <c r="J91" s="85" t="s">
        <v>49</v>
      </c>
      <c r="K91" s="48">
        <f>COUNTIF(K55:K89,J91)</f>
        <v>12</v>
      </c>
      <c r="L91" s="64"/>
      <c r="M91" s="14"/>
      <c r="N91" s="24"/>
      <c r="O91" s="15"/>
      <c r="Q91" s="30"/>
      <c r="R91" s="472"/>
      <c r="S91" s="472"/>
      <c r="T91" s="31"/>
    </row>
    <row r="92" spans="1:20" ht="12" customHeight="1" x14ac:dyDescent="0.25">
      <c r="A92" s="14" t="s">
        <v>18</v>
      </c>
      <c r="B92" s="24"/>
      <c r="C92" s="15"/>
      <c r="D92" s="42">
        <f>D53*K93</f>
        <v>960</v>
      </c>
      <c r="E92" s="43">
        <f>E53*K93</f>
        <v>1280</v>
      </c>
      <c r="F92" s="43">
        <f>F53*K93</f>
        <v>960</v>
      </c>
      <c r="G92" s="43">
        <f>G53*K93</f>
        <v>0</v>
      </c>
      <c r="H92" s="44"/>
      <c r="I92" s="80">
        <f>SUM(D92:H92)</f>
        <v>3200</v>
      </c>
      <c r="J92" s="86" t="s">
        <v>50</v>
      </c>
      <c r="K92" s="48">
        <f>COUNTIF(K55:K89,J92)</f>
        <v>20</v>
      </c>
      <c r="L92" s="64"/>
      <c r="M92" s="14"/>
      <c r="N92" s="24"/>
      <c r="O92" s="15"/>
      <c r="Q92" s="30"/>
      <c r="R92" s="472"/>
      <c r="S92" s="472"/>
      <c r="T92" s="31"/>
    </row>
    <row r="93" spans="1:20" ht="12" customHeight="1" x14ac:dyDescent="0.25">
      <c r="A93" s="26" t="s">
        <v>19</v>
      </c>
      <c r="B93" s="27"/>
      <c r="C93" s="28"/>
      <c r="D93" s="136">
        <f>D91/D92*100</f>
        <v>153.125</v>
      </c>
      <c r="E93" s="137">
        <f>E91/E92*100</f>
        <v>0</v>
      </c>
      <c r="F93" s="137">
        <f>F91/F92*100</f>
        <v>0</v>
      </c>
      <c r="G93" s="137" t="e">
        <f>G91/G92*100</f>
        <v>#DIV/0!</v>
      </c>
      <c r="H93" s="138"/>
      <c r="I93" s="50">
        <f>I91/I92*100</f>
        <v>45.9375</v>
      </c>
      <c r="J93" s="75" t="s">
        <v>57</v>
      </c>
      <c r="K93" s="49">
        <f>SUM(K91:K92)</f>
        <v>32</v>
      </c>
      <c r="L93" s="66"/>
      <c r="M93" s="16"/>
      <c r="N93" s="25"/>
      <c r="O93" s="17"/>
      <c r="Q93" s="8"/>
      <c r="R93" s="473"/>
      <c r="S93" s="473"/>
      <c r="T93" s="9"/>
    </row>
    <row r="94" spans="1:20" ht="12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20" ht="12" customHeight="1" x14ac:dyDescent="0.25">
      <c r="A95" s="456" t="str">
        <f>A48</f>
        <v>ANALISA HASIL PH MATEMATIKA KLS IX  SMT GENAP</v>
      </c>
      <c r="B95" s="457"/>
      <c r="C95" s="457"/>
      <c r="D95" s="457"/>
      <c r="E95" s="457"/>
      <c r="F95" s="457"/>
      <c r="G95" s="457"/>
      <c r="H95" s="457"/>
      <c r="I95" s="457"/>
      <c r="J95" s="457"/>
      <c r="K95" s="457"/>
      <c r="L95" s="457"/>
      <c r="M95" s="457"/>
      <c r="N95" s="457"/>
      <c r="O95" s="458"/>
      <c r="Q95" s="456" t="s">
        <v>40</v>
      </c>
      <c r="R95" s="457"/>
      <c r="S95" s="457"/>
      <c r="T95" s="458"/>
    </row>
    <row r="96" spans="1:20" ht="12" customHeight="1" x14ac:dyDescent="0.25">
      <c r="A96" s="453" t="str">
        <f>A49</f>
        <v>SMP I LIMBANGAN  TH 2025/2026</v>
      </c>
      <c r="B96" s="454"/>
      <c r="C96" s="454"/>
      <c r="D96" s="454"/>
      <c r="E96" s="454"/>
      <c r="F96" s="454"/>
      <c r="G96" s="454"/>
      <c r="H96" s="454"/>
      <c r="I96" s="454"/>
      <c r="J96" s="454"/>
      <c r="K96" s="454"/>
      <c r="L96" s="454"/>
      <c r="M96" s="454"/>
      <c r="N96" s="454"/>
      <c r="O96" s="455"/>
      <c r="Q96" s="453" t="s">
        <v>61</v>
      </c>
      <c r="R96" s="454"/>
      <c r="S96" s="454"/>
      <c r="T96" s="455"/>
    </row>
    <row r="97" spans="1:24" ht="12" customHeight="1" x14ac:dyDescent="0.25"/>
    <row r="98" spans="1:24" ht="12" customHeight="1" x14ac:dyDescent="0.25">
      <c r="A98" s="99" t="s">
        <v>65</v>
      </c>
      <c r="C98" s="102" t="str">
        <f>DATA!F8</f>
        <v>9C</v>
      </c>
      <c r="D98" t="s">
        <v>297</v>
      </c>
      <c r="F98" s="179">
        <f>F4</f>
        <v>1</v>
      </c>
      <c r="I98" t="s">
        <v>20</v>
      </c>
      <c r="K98" s="72">
        <v>45877</v>
      </c>
      <c r="M98" s="1" t="s">
        <v>60</v>
      </c>
      <c r="N98" s="87">
        <f>N4</f>
        <v>1</v>
      </c>
      <c r="Q98" t="s">
        <v>28</v>
      </c>
      <c r="R98" s="470">
        <f>K98+7</f>
        <v>45884</v>
      </c>
      <c r="S98" s="470"/>
    </row>
    <row r="99" spans="1:24" ht="12" customHeight="1" x14ac:dyDescent="0.25">
      <c r="A99" s="2"/>
      <c r="B99" s="2"/>
      <c r="C99" s="3" t="s">
        <v>7</v>
      </c>
      <c r="D99" s="32">
        <v>1</v>
      </c>
      <c r="E99" s="33">
        <v>2</v>
      </c>
      <c r="F99" s="33">
        <v>3</v>
      </c>
      <c r="G99" s="33">
        <v>4</v>
      </c>
      <c r="H99" s="34">
        <v>5</v>
      </c>
      <c r="I99" s="35" t="s">
        <v>3</v>
      </c>
      <c r="J99" s="4" t="s">
        <v>4</v>
      </c>
      <c r="K99" s="53" t="s">
        <v>83</v>
      </c>
      <c r="L99" s="35" t="s">
        <v>43</v>
      </c>
      <c r="M99" s="459" t="s">
        <v>9</v>
      </c>
      <c r="N99" s="460"/>
      <c r="O99" s="461"/>
      <c r="Q99" s="2"/>
      <c r="R99" s="35" t="s">
        <v>24</v>
      </c>
      <c r="S99" s="60"/>
      <c r="T99" s="61"/>
    </row>
    <row r="100" spans="1:24" ht="12" customHeight="1" x14ac:dyDescent="0.25">
      <c r="A100" s="6" t="s">
        <v>0</v>
      </c>
      <c r="B100" s="6" t="s">
        <v>1</v>
      </c>
      <c r="C100" s="5" t="s">
        <v>8</v>
      </c>
      <c r="D100" s="55">
        <f>D53</f>
        <v>30</v>
      </c>
      <c r="E100" s="55">
        <f>E53</f>
        <v>40</v>
      </c>
      <c r="F100" s="55">
        <f>F53</f>
        <v>30</v>
      </c>
      <c r="G100" s="55">
        <f>G53</f>
        <v>0</v>
      </c>
      <c r="H100" s="55">
        <f>H53</f>
        <v>0</v>
      </c>
      <c r="I100" s="21">
        <f>SUM(D100:H100)</f>
        <v>100</v>
      </c>
      <c r="J100" s="6" t="s">
        <v>5</v>
      </c>
      <c r="K100" s="52" t="s">
        <v>22</v>
      </c>
      <c r="L100" s="11" t="s">
        <v>44</v>
      </c>
      <c r="M100" s="462"/>
      <c r="N100" s="463"/>
      <c r="O100" s="464"/>
      <c r="Q100" s="6" t="s">
        <v>2</v>
      </c>
      <c r="R100" s="11" t="s">
        <v>25</v>
      </c>
      <c r="S100" s="468" t="s">
        <v>27</v>
      </c>
      <c r="T100" s="469"/>
    </row>
    <row r="101" spans="1:24" ht="12" customHeight="1" x14ac:dyDescent="0.25">
      <c r="A101" s="6"/>
      <c r="B101" s="6"/>
      <c r="C101" s="51" t="s">
        <v>2</v>
      </c>
      <c r="D101" s="36"/>
      <c r="E101" s="37"/>
      <c r="F101" s="37"/>
      <c r="G101" s="37"/>
      <c r="H101" s="38"/>
      <c r="I101" s="11"/>
      <c r="J101" s="6" t="s">
        <v>6</v>
      </c>
      <c r="K101" s="54"/>
      <c r="L101" s="59" t="s">
        <v>45</v>
      </c>
      <c r="M101" s="465"/>
      <c r="N101" s="466"/>
      <c r="O101" s="467"/>
      <c r="Q101" s="7"/>
      <c r="R101" s="59" t="s">
        <v>26</v>
      </c>
      <c r="S101" s="8"/>
      <c r="T101" s="9"/>
    </row>
    <row r="102" spans="1:24" ht="12" customHeight="1" x14ac:dyDescent="0.25">
      <c r="A102" s="20">
        <v>1</v>
      </c>
      <c r="B102" s="18"/>
      <c r="C102" s="81" t="str">
        <f>DATA!F10</f>
        <v>Ahmad Husain</v>
      </c>
      <c r="D102" s="131">
        <v>50</v>
      </c>
      <c r="E102" s="40"/>
      <c r="F102" s="40"/>
      <c r="G102" s="40"/>
      <c r="H102" s="41"/>
      <c r="I102" s="180">
        <f>SUM(D102:H102)</f>
        <v>50</v>
      </c>
      <c r="J102" s="415">
        <f>I102</f>
        <v>50</v>
      </c>
      <c r="K102" s="21" t="str">
        <f>IF(J102&lt;$N$10,"tdk tuntas","tuntas")</f>
        <v>tdk tuntas</v>
      </c>
      <c r="L102" s="209" t="str">
        <f>IF(J102&lt;=39.9,"80",IF(J102&lt;=59.9,"81",IF(J102&lt;=69.9,"82",IF(J102&lt;=74.9,"83",IF(J102&lt;=78.9,"84",IF(J102&lt;=78.9,"85",IF(J102&gt;=78.9,J102," ")))))))</f>
        <v>81</v>
      </c>
      <c r="M102" s="12"/>
      <c r="N102" s="23"/>
      <c r="O102" s="13"/>
      <c r="Q102" s="67" t="str">
        <f>C102</f>
        <v>Ahmad Husain</v>
      </c>
      <c r="R102" s="21" t="str">
        <f>IF(I102&lt;$N$10,"80","")</f>
        <v>80</v>
      </c>
      <c r="S102" s="12"/>
      <c r="T102" s="13"/>
    </row>
    <row r="103" spans="1:24" ht="12" customHeight="1" x14ac:dyDescent="0.25">
      <c r="A103" s="21">
        <v>2</v>
      </c>
      <c r="B103" s="19"/>
      <c r="C103" s="82" t="str">
        <f>DATA!F11</f>
        <v>Albeth Christian F.</v>
      </c>
      <c r="D103" s="248">
        <v>10</v>
      </c>
      <c r="E103" s="43"/>
      <c r="F103" s="43"/>
      <c r="G103" s="43"/>
      <c r="H103" s="44"/>
      <c r="I103" s="181">
        <f t="shared" ref="I103:I115" si="15">SUM(D103:H103)</f>
        <v>10</v>
      </c>
      <c r="J103" s="45">
        <f t="shared" ref="J103:J115" si="16">I103</f>
        <v>10</v>
      </c>
      <c r="K103" s="21" t="str">
        <f t="shared" ref="K103:K131" si="17">IF(J103&lt;$N$10,"tdk tuntas","tuntas")</f>
        <v>tdk tuntas</v>
      </c>
      <c r="L103" s="210" t="str">
        <f t="shared" ref="L103:L133" si="18">IF(J103&lt;=39.9,"80",IF(J103&lt;=59.9,"81",IF(J103&lt;=69.9,"82",IF(J103&lt;=74.9,"83",IF(J103&lt;=78.9,"84",IF(J103&lt;=78.9,"85",IF(J103&gt;=78.9,J103," ")))))))</f>
        <v>80</v>
      </c>
      <c r="M103" s="14"/>
      <c r="N103" s="24"/>
      <c r="O103" s="15"/>
      <c r="Q103" s="68" t="str">
        <f t="shared" ref="Q103:Q111" si="19">C104</f>
        <v>Alfino Kurniawan</v>
      </c>
      <c r="R103" s="21" t="str">
        <f>IF(I103&lt;$N$10,"81","")</f>
        <v>81</v>
      </c>
      <c r="S103" s="14" t="s">
        <v>29</v>
      </c>
      <c r="T103" s="15"/>
    </row>
    <row r="104" spans="1:24" ht="12" customHeight="1" thickBot="1" x14ac:dyDescent="0.35">
      <c r="A104" s="21">
        <v>3</v>
      </c>
      <c r="B104" s="19"/>
      <c r="C104" s="82" t="str">
        <f>DATA!F12</f>
        <v>Alfino Kurniawan</v>
      </c>
      <c r="D104" s="248">
        <v>0</v>
      </c>
      <c r="E104" s="43"/>
      <c r="F104" s="43"/>
      <c r="G104" s="43"/>
      <c r="H104" s="44"/>
      <c r="I104" s="181">
        <f t="shared" si="15"/>
        <v>0</v>
      </c>
      <c r="J104" s="45">
        <f t="shared" si="16"/>
        <v>0</v>
      </c>
      <c r="K104" s="21" t="str">
        <f t="shared" si="17"/>
        <v>tdk tuntas</v>
      </c>
      <c r="L104" s="210" t="str">
        <f t="shared" si="18"/>
        <v>80</v>
      </c>
      <c r="M104" s="70" t="s">
        <v>62</v>
      </c>
      <c r="N104" s="76">
        <f>N10</f>
        <v>80</v>
      </c>
      <c r="O104" s="15"/>
      <c r="Q104" s="68" t="str">
        <f t="shared" si="19"/>
        <v>Alif Jalu Adil</v>
      </c>
      <c r="R104" s="21" t="str">
        <f>IF(I104&lt;$N$10,"81","")</f>
        <v>81</v>
      </c>
      <c r="S104" s="26"/>
      <c r="T104" s="15"/>
    </row>
    <row r="105" spans="1:24" ht="12" customHeight="1" thickTop="1" thickBot="1" x14ac:dyDescent="0.3">
      <c r="A105" s="21">
        <v>4</v>
      </c>
      <c r="B105" s="19"/>
      <c r="C105" s="82" t="str">
        <f>DATA!F13</f>
        <v>Alif Jalu Adil</v>
      </c>
      <c r="D105" s="248">
        <v>60</v>
      </c>
      <c r="E105" s="43"/>
      <c r="F105" s="43"/>
      <c r="G105" s="43"/>
      <c r="H105" s="44"/>
      <c r="I105" s="181">
        <f t="shared" si="15"/>
        <v>60</v>
      </c>
      <c r="J105" s="45">
        <f t="shared" si="16"/>
        <v>60</v>
      </c>
      <c r="K105" s="21" t="str">
        <f t="shared" si="17"/>
        <v>tdk tuntas</v>
      </c>
      <c r="L105" s="210" t="str">
        <f t="shared" si="18"/>
        <v>82</v>
      </c>
      <c r="M105" s="14"/>
      <c r="N105" s="24"/>
      <c r="O105" s="15"/>
      <c r="Q105" s="68" t="str">
        <f t="shared" si="19"/>
        <v>Almira Tian Az Zahra</v>
      </c>
      <c r="R105" s="21" t="str">
        <f>IF(I105&lt;$N$10,"84","")</f>
        <v>84</v>
      </c>
      <c r="S105" s="62"/>
      <c r="T105" s="15" t="s">
        <v>35</v>
      </c>
    </row>
    <row r="106" spans="1:24" ht="12" customHeight="1" thickTop="1" thickBot="1" x14ac:dyDescent="0.3">
      <c r="A106" s="21">
        <v>5</v>
      </c>
      <c r="B106" s="19"/>
      <c r="C106" s="82" t="str">
        <f>DATA!F14</f>
        <v>Almira Tian Az Zahra</v>
      </c>
      <c r="D106" s="248">
        <v>80</v>
      </c>
      <c r="E106" s="43"/>
      <c r="F106" s="43"/>
      <c r="G106" s="43"/>
      <c r="H106" s="44"/>
      <c r="I106" s="181">
        <f t="shared" si="15"/>
        <v>80</v>
      </c>
      <c r="J106" s="45">
        <f t="shared" si="16"/>
        <v>80</v>
      </c>
      <c r="K106" s="21" t="str">
        <f t="shared" si="17"/>
        <v>tuntas</v>
      </c>
      <c r="L106" s="210">
        <f t="shared" si="18"/>
        <v>80</v>
      </c>
      <c r="M106" s="14"/>
      <c r="N106" s="24"/>
      <c r="O106" s="15"/>
      <c r="Q106" s="68" t="str">
        <f t="shared" si="19"/>
        <v>Alvino Dafa Radhwa Aqilah</v>
      </c>
      <c r="R106" s="21" t="str">
        <f>IF(I106&lt;$N$10,"87","")</f>
        <v/>
      </c>
      <c r="S106" s="62"/>
      <c r="T106" s="15" t="s">
        <v>38</v>
      </c>
    </row>
    <row r="107" spans="1:24" ht="12" customHeight="1" thickTop="1" thickBot="1" x14ac:dyDescent="0.3">
      <c r="A107" s="21">
        <v>6</v>
      </c>
      <c r="B107" s="19"/>
      <c r="C107" s="82" t="str">
        <f>DATA!F15</f>
        <v>Alvino Dafa Radhwa Aqilah</v>
      </c>
      <c r="D107" s="134">
        <v>80</v>
      </c>
      <c r="E107" s="43"/>
      <c r="F107" s="43"/>
      <c r="G107" s="43"/>
      <c r="H107" s="44"/>
      <c r="I107" s="181">
        <f t="shared" si="15"/>
        <v>80</v>
      </c>
      <c r="J107" s="45">
        <f t="shared" si="16"/>
        <v>80</v>
      </c>
      <c r="K107" s="21" t="str">
        <f t="shared" si="17"/>
        <v>tuntas</v>
      </c>
      <c r="L107" s="210">
        <f t="shared" si="18"/>
        <v>80</v>
      </c>
      <c r="M107" s="14" t="s">
        <v>10</v>
      </c>
      <c r="N107" s="24"/>
      <c r="O107" s="15"/>
      <c r="Q107" s="68" t="str">
        <f t="shared" si="19"/>
        <v>Ananda Dhanis Syarifudien</v>
      </c>
      <c r="R107" s="21" t="str">
        <f>IF(I107&lt;$N$10,"82","")</f>
        <v/>
      </c>
      <c r="S107" s="14"/>
      <c r="T107" s="15" t="s">
        <v>39</v>
      </c>
    </row>
    <row r="108" spans="1:24" ht="12" customHeight="1" thickTop="1" thickBot="1" x14ac:dyDescent="0.35">
      <c r="A108" s="21">
        <v>7</v>
      </c>
      <c r="B108" s="19"/>
      <c r="C108" s="82" t="str">
        <f>DATA!F16</f>
        <v>Ananda Dhanis Syarifudien</v>
      </c>
      <c r="D108" s="248">
        <v>0</v>
      </c>
      <c r="E108" s="43"/>
      <c r="F108" s="43"/>
      <c r="G108" s="43"/>
      <c r="H108" s="44"/>
      <c r="I108" s="181">
        <f t="shared" si="15"/>
        <v>0</v>
      </c>
      <c r="J108" s="45">
        <f t="shared" si="16"/>
        <v>0</v>
      </c>
      <c r="K108" s="21" t="str">
        <f t="shared" si="17"/>
        <v>tdk tuntas</v>
      </c>
      <c r="L108" s="210" t="str">
        <f t="shared" si="18"/>
        <v>80</v>
      </c>
      <c r="M108" s="14"/>
      <c r="N108" s="24"/>
      <c r="O108" s="15"/>
      <c r="Q108" s="68" t="str">
        <f t="shared" si="19"/>
        <v>Andra Putra Wahyu Baskara</v>
      </c>
      <c r="R108" s="21" t="str">
        <f>IF(I108&lt;$N$10,"80","")</f>
        <v>80</v>
      </c>
      <c r="S108" s="71" t="s">
        <v>46</v>
      </c>
      <c r="T108" s="119" t="s">
        <v>36</v>
      </c>
    </row>
    <row r="109" spans="1:24" ht="12" customHeight="1" thickTop="1" x14ac:dyDescent="0.3">
      <c r="A109" s="21">
        <v>8</v>
      </c>
      <c r="B109" s="19"/>
      <c r="C109" s="82" t="str">
        <f>DATA!F17</f>
        <v>Andra Putra Wahyu Baskara</v>
      </c>
      <c r="D109" s="134">
        <v>0</v>
      </c>
      <c r="E109" s="43"/>
      <c r="F109" s="43"/>
      <c r="G109" s="43"/>
      <c r="H109" s="44"/>
      <c r="I109" s="181">
        <f t="shared" si="15"/>
        <v>0</v>
      </c>
      <c r="J109" s="45">
        <f t="shared" si="16"/>
        <v>0</v>
      </c>
      <c r="K109" s="21" t="str">
        <f t="shared" si="17"/>
        <v>tdk tuntas</v>
      </c>
      <c r="L109" s="210" t="str">
        <f t="shared" si="18"/>
        <v>80</v>
      </c>
      <c r="M109" s="77" t="s">
        <v>51</v>
      </c>
      <c r="N109" s="24"/>
      <c r="O109" s="15"/>
      <c r="Q109" s="68" t="str">
        <f t="shared" si="19"/>
        <v>Ardhan Restu Pratama</v>
      </c>
      <c r="R109" s="21" t="str">
        <f>IF(I109&lt;$N$10,"84","")</f>
        <v>84</v>
      </c>
      <c r="S109" s="70"/>
      <c r="T109" s="119" t="s">
        <v>37</v>
      </c>
    </row>
    <row r="110" spans="1:24" ht="12" customHeight="1" x14ac:dyDescent="0.25">
      <c r="A110" s="21">
        <v>9</v>
      </c>
      <c r="B110" s="19"/>
      <c r="C110" s="82" t="str">
        <f>DATA!F18</f>
        <v>Ardhan Restu Pratama</v>
      </c>
      <c r="D110" s="134">
        <v>20</v>
      </c>
      <c r="E110" s="43"/>
      <c r="F110" s="43"/>
      <c r="G110" s="43"/>
      <c r="H110" s="44"/>
      <c r="I110" s="181">
        <f t="shared" si="15"/>
        <v>20</v>
      </c>
      <c r="J110" s="45">
        <f t="shared" si="16"/>
        <v>20</v>
      </c>
      <c r="K110" s="21" t="str">
        <f t="shared" si="17"/>
        <v>tdk tuntas</v>
      </c>
      <c r="L110" s="210" t="str">
        <f t="shared" si="18"/>
        <v>80</v>
      </c>
      <c r="N110" s="24"/>
      <c r="O110" s="15"/>
      <c r="Q110" s="68" t="str">
        <f t="shared" si="19"/>
        <v>Ardi Setyo Nugroho</v>
      </c>
      <c r="R110" s="21" t="str">
        <f>IF(I110&lt;$N$10,"88","")</f>
        <v>88</v>
      </c>
      <c r="S110" s="14"/>
      <c r="T110" s="15"/>
    </row>
    <row r="111" spans="1:24" ht="12" customHeight="1" x14ac:dyDescent="0.25">
      <c r="A111" s="21">
        <v>10</v>
      </c>
      <c r="B111" s="19"/>
      <c r="C111" s="82" t="str">
        <f>DATA!F19</f>
        <v>Ardi Setyo Nugroho</v>
      </c>
      <c r="D111" s="248">
        <v>60</v>
      </c>
      <c r="E111" s="43"/>
      <c r="F111" s="43"/>
      <c r="G111" s="43"/>
      <c r="H111" s="44"/>
      <c r="I111" s="181">
        <f>SUM(D111:H111)</f>
        <v>60</v>
      </c>
      <c r="J111" s="45">
        <f t="shared" si="16"/>
        <v>60</v>
      </c>
      <c r="K111" s="21" t="str">
        <f t="shared" si="17"/>
        <v>tdk tuntas</v>
      </c>
      <c r="L111" s="210" t="str">
        <f t="shared" si="18"/>
        <v>82</v>
      </c>
      <c r="M111" s="14"/>
      <c r="N111" s="24"/>
      <c r="O111" s="15"/>
      <c r="Q111" s="68" t="str">
        <f t="shared" si="19"/>
        <v>Az Zahra Aulia Rahma</v>
      </c>
      <c r="R111" s="21" t="str">
        <f t="shared" ref="R111:R116" si="20">IF(I111&lt;$N$10,"85","")</f>
        <v>85</v>
      </c>
      <c r="S111" s="14" t="s">
        <v>30</v>
      </c>
      <c r="T111" s="15"/>
    </row>
    <row r="112" spans="1:24" ht="12" customHeight="1" thickBot="1" x14ac:dyDescent="0.3">
      <c r="A112" s="21">
        <v>11</v>
      </c>
      <c r="B112" s="19"/>
      <c r="C112" s="82" t="str">
        <f>DATA!F20</f>
        <v>Az Zahra Aulia Rahma</v>
      </c>
      <c r="D112" s="248">
        <v>10</v>
      </c>
      <c r="E112" s="43"/>
      <c r="F112" s="43"/>
      <c r="G112" s="43"/>
      <c r="H112" s="44"/>
      <c r="I112" s="181">
        <f t="shared" si="15"/>
        <v>10</v>
      </c>
      <c r="J112" s="45">
        <f t="shared" si="16"/>
        <v>10</v>
      </c>
      <c r="K112" s="21" t="str">
        <f t="shared" si="17"/>
        <v>tdk tuntas</v>
      </c>
      <c r="L112" s="210" t="str">
        <f t="shared" si="18"/>
        <v>80</v>
      </c>
      <c r="M112" s="14"/>
      <c r="N112" s="24"/>
      <c r="O112" s="15"/>
      <c r="Q112" s="68" t="str">
        <f>C103</f>
        <v>Albeth Christian F.</v>
      </c>
      <c r="R112" s="21" t="str">
        <f t="shared" si="20"/>
        <v>85</v>
      </c>
      <c r="T112" s="15"/>
      <c r="X112" s="43"/>
    </row>
    <row r="113" spans="1:20" ht="12" customHeight="1" thickTop="1" thickBot="1" x14ac:dyDescent="0.35">
      <c r="A113" s="21">
        <v>12</v>
      </c>
      <c r="B113" s="19"/>
      <c r="C113" s="82" t="str">
        <f>DATA!F21</f>
        <v>Desti Dwi Wahyuni</v>
      </c>
      <c r="D113" s="248">
        <v>100</v>
      </c>
      <c r="E113" s="43"/>
      <c r="F113" s="43"/>
      <c r="G113" s="43"/>
      <c r="H113" s="44"/>
      <c r="I113" s="181">
        <f t="shared" si="15"/>
        <v>100</v>
      </c>
      <c r="J113" s="45">
        <f t="shared" si="16"/>
        <v>100</v>
      </c>
      <c r="K113" s="21" t="str">
        <f t="shared" si="17"/>
        <v>tuntas</v>
      </c>
      <c r="L113" s="210">
        <f t="shared" si="18"/>
        <v>100</v>
      </c>
      <c r="M113" s="14" t="s">
        <v>11</v>
      </c>
      <c r="N113" s="58">
        <f>K140</f>
        <v>32</v>
      </c>
      <c r="O113" s="15"/>
      <c r="Q113" s="68" t="str">
        <f t="shared" ref="Q113:Q132" si="21">C113</f>
        <v>Desti Dwi Wahyuni</v>
      </c>
      <c r="R113" s="21" t="str">
        <f t="shared" si="20"/>
        <v/>
      </c>
      <c r="S113" s="71" t="s">
        <v>46</v>
      </c>
      <c r="T113" s="119" t="s">
        <v>31</v>
      </c>
    </row>
    <row r="114" spans="1:20" ht="12" customHeight="1" thickTop="1" thickBot="1" x14ac:dyDescent="0.35">
      <c r="A114" s="21">
        <v>13</v>
      </c>
      <c r="B114" s="19"/>
      <c r="C114" s="82" t="str">
        <f>DATA!F22</f>
        <v>Dominikus Febri Andrean</v>
      </c>
      <c r="D114" s="134">
        <v>40</v>
      </c>
      <c r="E114" s="43"/>
      <c r="F114" s="43"/>
      <c r="G114" s="43"/>
      <c r="H114" s="44"/>
      <c r="I114" s="181">
        <f t="shared" si="15"/>
        <v>40</v>
      </c>
      <c r="J114" s="45">
        <f t="shared" si="16"/>
        <v>40</v>
      </c>
      <c r="K114" s="21" t="str">
        <f t="shared" si="17"/>
        <v>tdk tuntas</v>
      </c>
      <c r="L114" s="210" t="str">
        <f t="shared" si="18"/>
        <v>81</v>
      </c>
      <c r="M114" s="14" t="s">
        <v>12</v>
      </c>
      <c r="N114" s="58">
        <f>K138</f>
        <v>8</v>
      </c>
      <c r="O114" s="15"/>
      <c r="Q114" s="68" t="str">
        <f t="shared" si="21"/>
        <v>Dominikus Febri Andrean</v>
      </c>
      <c r="R114" s="21" t="str">
        <f t="shared" si="20"/>
        <v>85</v>
      </c>
      <c r="S114" s="70"/>
      <c r="T114" s="119" t="s">
        <v>32</v>
      </c>
    </row>
    <row r="115" spans="1:20" ht="12" customHeight="1" thickTop="1" thickBot="1" x14ac:dyDescent="0.35">
      <c r="A115" s="21">
        <v>14</v>
      </c>
      <c r="B115" s="19"/>
      <c r="C115" s="82" t="str">
        <f>DATA!F23</f>
        <v>Evan Lingga Kurnia Zaen</v>
      </c>
      <c r="D115" s="134">
        <v>70</v>
      </c>
      <c r="E115" s="43"/>
      <c r="F115" s="43"/>
      <c r="G115" s="43"/>
      <c r="H115" s="44"/>
      <c r="I115" s="181">
        <f t="shared" si="15"/>
        <v>70</v>
      </c>
      <c r="J115" s="45">
        <f t="shared" si="16"/>
        <v>70</v>
      </c>
      <c r="K115" s="21" t="str">
        <f t="shared" si="17"/>
        <v>tdk tuntas</v>
      </c>
      <c r="L115" s="210" t="str">
        <f t="shared" si="18"/>
        <v>83</v>
      </c>
      <c r="M115" s="14" t="s">
        <v>13</v>
      </c>
      <c r="N115" s="58">
        <f>N114/N113*100</f>
        <v>25</v>
      </c>
      <c r="O115" s="15" t="s">
        <v>4</v>
      </c>
      <c r="Q115" s="68" t="str">
        <f t="shared" si="21"/>
        <v>Evan Lingga Kurnia Zaen</v>
      </c>
      <c r="R115" s="21" t="str">
        <f t="shared" si="20"/>
        <v>85</v>
      </c>
      <c r="S115" s="62"/>
      <c r="T115" s="15" t="s">
        <v>33</v>
      </c>
    </row>
    <row r="116" spans="1:20" ht="12" customHeight="1" thickTop="1" x14ac:dyDescent="0.25">
      <c r="A116" s="21">
        <v>15</v>
      </c>
      <c r="B116" s="19"/>
      <c r="C116" s="82" t="str">
        <f>DATA!F24</f>
        <v>Fathan Syahrul Anan</v>
      </c>
      <c r="D116" s="418">
        <v>40</v>
      </c>
      <c r="E116" s="43"/>
      <c r="F116" s="43"/>
      <c r="G116" s="43"/>
      <c r="H116" s="44"/>
      <c r="I116" s="181">
        <f t="shared" ref="I116:I133" si="22">SUM(D116:H116)</f>
        <v>40</v>
      </c>
      <c r="J116" s="45">
        <f t="shared" ref="J116:J131" si="23">I116</f>
        <v>40</v>
      </c>
      <c r="K116" s="21" t="str">
        <f t="shared" si="17"/>
        <v>tdk tuntas</v>
      </c>
      <c r="L116" s="210" t="str">
        <f t="shared" si="18"/>
        <v>81</v>
      </c>
      <c r="M116" s="14"/>
      <c r="N116" s="24"/>
      <c r="O116" s="15"/>
      <c r="Q116" s="68" t="str">
        <f t="shared" si="21"/>
        <v>Fathan Syahrul Anan</v>
      </c>
      <c r="R116" s="21" t="str">
        <f t="shared" si="20"/>
        <v>85</v>
      </c>
      <c r="S116" s="14"/>
      <c r="T116" s="15" t="s">
        <v>34</v>
      </c>
    </row>
    <row r="117" spans="1:20" ht="12" customHeight="1" x14ac:dyDescent="0.25">
      <c r="A117" s="21">
        <v>16</v>
      </c>
      <c r="B117" s="19"/>
      <c r="C117" s="82" t="str">
        <f>DATA!F25</f>
        <v>Fina Uzlifatil Jannah</v>
      </c>
      <c r="D117" s="248">
        <v>90</v>
      </c>
      <c r="E117" s="43"/>
      <c r="F117" s="43"/>
      <c r="G117" s="43"/>
      <c r="H117" s="44"/>
      <c r="I117" s="181">
        <f t="shared" si="22"/>
        <v>90</v>
      </c>
      <c r="J117" s="45">
        <f t="shared" si="23"/>
        <v>90</v>
      </c>
      <c r="K117" s="21" t="str">
        <f t="shared" si="17"/>
        <v>tuntas</v>
      </c>
      <c r="L117" s="210">
        <f t="shared" si="18"/>
        <v>90</v>
      </c>
      <c r="M117" s="14" t="s">
        <v>52</v>
      </c>
      <c r="N117" s="24"/>
      <c r="O117" s="15"/>
      <c r="Q117" s="68" t="str">
        <f t="shared" si="21"/>
        <v>Fina Uzlifatil Jannah</v>
      </c>
      <c r="R117" s="21" t="str">
        <f>IF(I117&lt;$N$10,"84","")</f>
        <v/>
      </c>
      <c r="S117" s="14"/>
      <c r="T117" s="15"/>
    </row>
    <row r="118" spans="1:20" ht="12" customHeight="1" x14ac:dyDescent="0.25">
      <c r="A118" s="21">
        <v>17</v>
      </c>
      <c r="B118" s="19"/>
      <c r="C118" s="82" t="str">
        <f>DATA!F26</f>
        <v>Hafidz Nugeroho</v>
      </c>
      <c r="D118" s="134">
        <v>10</v>
      </c>
      <c r="E118" s="43"/>
      <c r="F118" s="43"/>
      <c r="G118" s="43"/>
      <c r="H118" s="44"/>
      <c r="I118" s="181">
        <f t="shared" si="22"/>
        <v>10</v>
      </c>
      <c r="J118" s="45">
        <f t="shared" si="23"/>
        <v>10</v>
      </c>
      <c r="K118" s="21" t="str">
        <f t="shared" si="17"/>
        <v>tdk tuntas</v>
      </c>
      <c r="L118" s="210" t="str">
        <f t="shared" si="18"/>
        <v>80</v>
      </c>
      <c r="N118" s="24"/>
      <c r="O118" s="15"/>
      <c r="Q118" s="68" t="str">
        <f t="shared" si="21"/>
        <v>Hafidz Nugeroho</v>
      </c>
      <c r="R118" s="21" t="str">
        <f t="shared" ref="R118:R124" si="24">IF(I118&lt;$N$10,"82","")</f>
        <v>82</v>
      </c>
      <c r="S118" s="14"/>
      <c r="T118" s="63" t="s">
        <v>41</v>
      </c>
    </row>
    <row r="119" spans="1:20" ht="12" customHeight="1" x14ac:dyDescent="0.25">
      <c r="A119" s="21">
        <v>18</v>
      </c>
      <c r="B119" s="19"/>
      <c r="C119" s="335" t="str">
        <f>DATA!F27</f>
        <v>Kevin Sahasika Abyan Abiyyi</v>
      </c>
      <c r="D119" s="134">
        <v>70</v>
      </c>
      <c r="E119" s="43"/>
      <c r="F119" s="43"/>
      <c r="G119" s="43"/>
      <c r="H119" s="44"/>
      <c r="I119" s="336">
        <f t="shared" si="22"/>
        <v>70</v>
      </c>
      <c r="J119" s="337">
        <f t="shared" si="23"/>
        <v>70</v>
      </c>
      <c r="K119" s="185" t="str">
        <f t="shared" si="17"/>
        <v>tdk tuntas</v>
      </c>
      <c r="L119" s="210" t="str">
        <f t="shared" si="18"/>
        <v>83</v>
      </c>
      <c r="M119" s="14"/>
      <c r="N119" s="24"/>
      <c r="O119" s="15"/>
      <c r="Q119" s="68" t="str">
        <f t="shared" si="21"/>
        <v>Kevin Sahasika Abyan Abiyyi</v>
      </c>
      <c r="R119" s="21" t="str">
        <f t="shared" si="24"/>
        <v>82</v>
      </c>
      <c r="S119" s="14"/>
      <c r="T119" s="63"/>
    </row>
    <row r="120" spans="1:20" ht="12" customHeight="1" x14ac:dyDescent="0.25">
      <c r="A120" s="21">
        <v>19</v>
      </c>
      <c r="B120" s="19"/>
      <c r="C120" s="82" t="str">
        <f>DATA!F28</f>
        <v>Laeni Shohibatul Maghfiroh</v>
      </c>
      <c r="D120" s="248">
        <v>40</v>
      </c>
      <c r="E120" s="43"/>
      <c r="F120" s="43"/>
      <c r="G120" s="43"/>
      <c r="H120" s="44"/>
      <c r="I120" s="181">
        <f t="shared" si="22"/>
        <v>40</v>
      </c>
      <c r="J120" s="45">
        <f t="shared" si="23"/>
        <v>40</v>
      </c>
      <c r="K120" s="21" t="str">
        <f t="shared" si="17"/>
        <v>tdk tuntas</v>
      </c>
      <c r="L120" s="210" t="str">
        <f t="shared" si="18"/>
        <v>81</v>
      </c>
      <c r="M120" s="14"/>
      <c r="N120" s="24"/>
      <c r="O120" s="15"/>
      <c r="Q120" s="68" t="str">
        <f t="shared" si="21"/>
        <v>Laeni Shohibatul Maghfiroh</v>
      </c>
      <c r="R120" s="21" t="str">
        <f t="shared" si="24"/>
        <v>82</v>
      </c>
      <c r="S120" s="14"/>
      <c r="T120" s="63"/>
    </row>
    <row r="121" spans="1:20" ht="12" customHeight="1" x14ac:dyDescent="0.25">
      <c r="A121" s="21">
        <v>20</v>
      </c>
      <c r="B121" s="19"/>
      <c r="C121" s="82" t="str">
        <f>DATA!F29</f>
        <v>Maelani Mulya Sari</v>
      </c>
      <c r="D121" s="134">
        <v>40</v>
      </c>
      <c r="E121" s="43"/>
      <c r="F121" s="43"/>
      <c r="G121" s="43"/>
      <c r="H121" s="44"/>
      <c r="I121" s="181">
        <f t="shared" si="22"/>
        <v>40</v>
      </c>
      <c r="J121" s="45">
        <f t="shared" si="23"/>
        <v>40</v>
      </c>
      <c r="K121" s="21" t="str">
        <f t="shared" si="17"/>
        <v>tdk tuntas</v>
      </c>
      <c r="L121" s="210" t="str">
        <f t="shared" si="18"/>
        <v>81</v>
      </c>
      <c r="M121" s="14" t="s">
        <v>53</v>
      </c>
      <c r="N121" s="78">
        <f>I138</f>
        <v>1560</v>
      </c>
      <c r="O121" s="15"/>
      <c r="Q121" s="68" t="str">
        <f t="shared" si="21"/>
        <v>Maelani Mulya Sari</v>
      </c>
      <c r="R121" s="21" t="str">
        <f t="shared" si="24"/>
        <v>82</v>
      </c>
      <c r="S121" s="14"/>
      <c r="T121" s="63"/>
    </row>
    <row r="122" spans="1:20" ht="12" customHeight="1" x14ac:dyDescent="0.25">
      <c r="A122" s="21">
        <v>21</v>
      </c>
      <c r="B122" s="19"/>
      <c r="C122" s="82" t="str">
        <f>DATA!F30</f>
        <v>Mafasa Agung Dwi Putranti</v>
      </c>
      <c r="D122" s="248">
        <v>70</v>
      </c>
      <c r="E122" s="43"/>
      <c r="F122" s="43"/>
      <c r="G122" s="43"/>
      <c r="H122" s="44"/>
      <c r="I122" s="181">
        <f t="shared" si="22"/>
        <v>70</v>
      </c>
      <c r="J122" s="45">
        <f t="shared" si="23"/>
        <v>70</v>
      </c>
      <c r="K122" s="21" t="str">
        <f t="shared" si="17"/>
        <v>tdk tuntas</v>
      </c>
      <c r="L122" s="210" t="str">
        <f t="shared" si="18"/>
        <v>83</v>
      </c>
      <c r="M122" s="14" t="s">
        <v>54</v>
      </c>
      <c r="N122" s="78">
        <f>I139</f>
        <v>3200</v>
      </c>
      <c r="O122" s="15"/>
      <c r="Q122" s="68" t="str">
        <f t="shared" si="21"/>
        <v>Mafasa Agung Dwi Putranti</v>
      </c>
      <c r="R122" s="21" t="str">
        <f t="shared" si="24"/>
        <v>82</v>
      </c>
      <c r="S122" s="14"/>
      <c r="T122" s="63" t="str">
        <f>T28</f>
        <v>KASMIN, S.Pd</v>
      </c>
    </row>
    <row r="123" spans="1:20" ht="12" customHeight="1" x14ac:dyDescent="0.25">
      <c r="A123" s="21">
        <v>22</v>
      </c>
      <c r="B123" s="19"/>
      <c r="C123" s="82" t="str">
        <f>DATA!F31</f>
        <v>Marwa Dwi Hafsari</v>
      </c>
      <c r="D123" s="248">
        <v>80</v>
      </c>
      <c r="E123" s="43"/>
      <c r="F123" s="43"/>
      <c r="G123" s="43"/>
      <c r="H123" s="44"/>
      <c r="I123" s="181">
        <f t="shared" si="22"/>
        <v>80</v>
      </c>
      <c r="J123" s="45">
        <f t="shared" si="23"/>
        <v>80</v>
      </c>
      <c r="K123" s="21" t="str">
        <f t="shared" si="17"/>
        <v>tuntas</v>
      </c>
      <c r="L123" s="210">
        <f t="shared" si="18"/>
        <v>80</v>
      </c>
      <c r="M123" s="14" t="s">
        <v>13</v>
      </c>
      <c r="N123" s="84">
        <f>N121/N122*100</f>
        <v>48.75</v>
      </c>
      <c r="O123" s="79" t="s">
        <v>4</v>
      </c>
      <c r="Q123" s="68" t="str">
        <f t="shared" si="21"/>
        <v>Marwa Dwi Hafsari</v>
      </c>
      <c r="R123" s="21" t="str">
        <f t="shared" si="24"/>
        <v/>
      </c>
      <c r="S123" s="14"/>
      <c r="T123" s="83" t="str">
        <f>T29</f>
        <v>NIP : 196609141990031007</v>
      </c>
    </row>
    <row r="124" spans="1:20" ht="12" customHeight="1" x14ac:dyDescent="0.25">
      <c r="A124" s="21">
        <v>23</v>
      </c>
      <c r="B124" s="19"/>
      <c r="C124" s="82" t="str">
        <f>DATA!F32</f>
        <v>Natasya Berly Intania</v>
      </c>
      <c r="D124" s="248">
        <v>90</v>
      </c>
      <c r="E124" s="43"/>
      <c r="F124" s="43"/>
      <c r="G124" s="43"/>
      <c r="H124" s="44"/>
      <c r="I124" s="181">
        <f t="shared" si="22"/>
        <v>90</v>
      </c>
      <c r="J124" s="45">
        <f t="shared" si="23"/>
        <v>90</v>
      </c>
      <c r="K124" s="21" t="str">
        <f t="shared" si="17"/>
        <v>tuntas</v>
      </c>
      <c r="L124" s="210">
        <f t="shared" si="18"/>
        <v>90</v>
      </c>
      <c r="M124" s="14"/>
      <c r="N124" s="24"/>
      <c r="O124" s="15"/>
      <c r="Q124" s="68" t="str">
        <f t="shared" si="21"/>
        <v>Natasya Berly Intania</v>
      </c>
      <c r="R124" s="21" t="str">
        <f t="shared" si="24"/>
        <v/>
      </c>
      <c r="S124" s="14"/>
      <c r="T124" s="15"/>
    </row>
    <row r="125" spans="1:20" ht="12" customHeight="1" x14ac:dyDescent="0.25">
      <c r="A125" s="21">
        <v>24</v>
      </c>
      <c r="B125" s="19"/>
      <c r="C125" s="82" t="str">
        <f>DATA!F33</f>
        <v>Natasya Gisella Anindya Putri</v>
      </c>
      <c r="D125" s="248">
        <v>100</v>
      </c>
      <c r="E125" s="43"/>
      <c r="F125" s="43"/>
      <c r="G125" s="43"/>
      <c r="H125" s="44"/>
      <c r="I125" s="181">
        <f t="shared" si="22"/>
        <v>100</v>
      </c>
      <c r="J125" s="45">
        <f t="shared" si="23"/>
        <v>100</v>
      </c>
      <c r="K125" s="21" t="str">
        <f t="shared" si="17"/>
        <v>tuntas</v>
      </c>
      <c r="L125" s="210">
        <f t="shared" si="18"/>
        <v>100</v>
      </c>
      <c r="M125" s="14"/>
      <c r="N125" s="24"/>
      <c r="O125" s="15"/>
      <c r="Q125" s="68" t="str">
        <f t="shared" si="21"/>
        <v>Natasya Gisella Anindya Putri</v>
      </c>
      <c r="R125" s="21" t="str">
        <f>IF(I125&lt;$N$10,"85","")</f>
        <v/>
      </c>
      <c r="S125" s="14"/>
      <c r="T125" s="63" t="s">
        <v>42</v>
      </c>
    </row>
    <row r="126" spans="1:20" ht="12" customHeight="1" x14ac:dyDescent="0.25">
      <c r="A126" s="21">
        <v>25</v>
      </c>
      <c r="B126" s="19"/>
      <c r="C126" s="82" t="str">
        <f>DATA!F34</f>
        <v>Prasetyo Nevan Al Fath</v>
      </c>
      <c r="D126" s="248">
        <v>20</v>
      </c>
      <c r="E126" s="43"/>
      <c r="F126" s="43"/>
      <c r="G126" s="43"/>
      <c r="H126" s="44"/>
      <c r="I126" s="181">
        <f t="shared" si="22"/>
        <v>20</v>
      </c>
      <c r="J126" s="45">
        <f t="shared" si="23"/>
        <v>20</v>
      </c>
      <c r="K126" s="21" t="str">
        <f t="shared" si="17"/>
        <v>tdk tuntas</v>
      </c>
      <c r="L126" s="210" t="str">
        <f t="shared" si="18"/>
        <v>80</v>
      </c>
      <c r="M126" s="14" t="s">
        <v>14</v>
      </c>
      <c r="N126" s="24"/>
      <c r="O126" s="15"/>
      <c r="Q126" s="68" t="str">
        <f t="shared" si="21"/>
        <v>Prasetyo Nevan Al Fath</v>
      </c>
      <c r="R126" s="21" t="str">
        <f>IF(I126&lt;$N$10,"81","")</f>
        <v>81</v>
      </c>
      <c r="S126" s="14"/>
      <c r="T126" s="63"/>
    </row>
    <row r="127" spans="1:20" ht="12" customHeight="1" x14ac:dyDescent="0.25">
      <c r="A127" s="21">
        <v>26</v>
      </c>
      <c r="B127" s="19"/>
      <c r="C127" s="82" t="str">
        <f>DATA!F35</f>
        <v>Putri Cikara Dewi</v>
      </c>
      <c r="D127" s="248">
        <v>80</v>
      </c>
      <c r="E127" s="43"/>
      <c r="F127" s="43"/>
      <c r="G127" s="43"/>
      <c r="H127" s="44"/>
      <c r="I127" s="181">
        <f t="shared" si="22"/>
        <v>80</v>
      </c>
      <c r="J127" s="45">
        <f>I127</f>
        <v>80</v>
      </c>
      <c r="K127" s="21" t="str">
        <f t="shared" si="17"/>
        <v>tuntas</v>
      </c>
      <c r="L127" s="210">
        <f t="shared" si="18"/>
        <v>80</v>
      </c>
      <c r="M127" s="14" t="s">
        <v>15</v>
      </c>
      <c r="N127" s="24"/>
      <c r="O127" s="15"/>
      <c r="Q127" s="68" t="str">
        <f t="shared" si="21"/>
        <v>Putri Cikara Dewi</v>
      </c>
      <c r="R127" s="21" t="str">
        <f>IF(I127&lt;$N$10,"82","")</f>
        <v/>
      </c>
      <c r="S127" s="14"/>
      <c r="T127" s="63"/>
    </row>
    <row r="128" spans="1:20" ht="12" customHeight="1" x14ac:dyDescent="0.3">
      <c r="A128" s="21">
        <v>27</v>
      </c>
      <c r="B128" s="19"/>
      <c r="C128" s="82" t="str">
        <f>DATA!F36</f>
        <v>Radenta Ardina Putra</v>
      </c>
      <c r="D128" s="248">
        <v>40</v>
      </c>
      <c r="E128" s="43"/>
      <c r="F128" s="43"/>
      <c r="G128" s="43"/>
      <c r="H128" s="44"/>
      <c r="I128" s="181">
        <f t="shared" si="22"/>
        <v>40</v>
      </c>
      <c r="J128" s="45">
        <f t="shared" si="23"/>
        <v>40</v>
      </c>
      <c r="K128" s="21" t="str">
        <f t="shared" si="17"/>
        <v>tdk tuntas</v>
      </c>
      <c r="L128" s="210" t="str">
        <f t="shared" si="18"/>
        <v>81</v>
      </c>
      <c r="M128" s="155" t="s">
        <v>80</v>
      </c>
      <c r="N128" s="24"/>
      <c r="O128" s="15"/>
      <c r="Q128" s="68" t="str">
        <f t="shared" si="21"/>
        <v>Radenta Ardina Putra</v>
      </c>
      <c r="R128" s="21" t="str">
        <f>IF(I128&lt;$N$10,"82","")</f>
        <v>82</v>
      </c>
      <c r="S128" s="14"/>
      <c r="T128" s="63"/>
    </row>
    <row r="129" spans="1:20" ht="12" customHeight="1" x14ac:dyDescent="0.25">
      <c r="A129" s="21">
        <v>28</v>
      </c>
      <c r="B129" s="19"/>
      <c r="C129" s="82" t="str">
        <f>DATA!F37</f>
        <v>Raditya Eka Yudhistira</v>
      </c>
      <c r="D129" s="134">
        <v>70</v>
      </c>
      <c r="E129" s="43"/>
      <c r="F129" s="43"/>
      <c r="G129" s="43"/>
      <c r="H129" s="44"/>
      <c r="I129" s="181">
        <f t="shared" si="22"/>
        <v>70</v>
      </c>
      <c r="J129" s="45">
        <f t="shared" si="23"/>
        <v>70</v>
      </c>
      <c r="K129" s="21" t="str">
        <f t="shared" si="17"/>
        <v>tdk tuntas</v>
      </c>
      <c r="L129" s="210" t="str">
        <f t="shared" si="18"/>
        <v>83</v>
      </c>
      <c r="M129" s="14"/>
      <c r="N129" s="24"/>
      <c r="O129" s="15"/>
      <c r="Q129" s="68" t="str">
        <f t="shared" si="21"/>
        <v>Raditya Eka Yudhistira</v>
      </c>
      <c r="R129" s="21" t="str">
        <f>IF(I129&lt;$N$10,"81","")</f>
        <v>81</v>
      </c>
      <c r="S129" s="14"/>
      <c r="T129" s="63"/>
    </row>
    <row r="130" spans="1:20" ht="12" customHeight="1" x14ac:dyDescent="0.25">
      <c r="A130" s="21">
        <v>29</v>
      </c>
      <c r="B130" s="19"/>
      <c r="C130" s="82" t="str">
        <f>DATA!F38</f>
        <v>Rere Etrischa Zenobia</v>
      </c>
      <c r="D130" s="134">
        <v>60</v>
      </c>
      <c r="E130" s="43"/>
      <c r="F130" s="43"/>
      <c r="G130" s="43"/>
      <c r="H130" s="44"/>
      <c r="I130" s="181">
        <f t="shared" si="22"/>
        <v>60</v>
      </c>
      <c r="J130" s="45">
        <f t="shared" si="23"/>
        <v>60</v>
      </c>
      <c r="K130" s="21" t="str">
        <f t="shared" si="17"/>
        <v>tdk tuntas</v>
      </c>
      <c r="L130" s="210" t="str">
        <f t="shared" si="18"/>
        <v>82</v>
      </c>
      <c r="M130" s="14"/>
      <c r="N130" s="24"/>
      <c r="O130" s="15"/>
      <c r="Q130" s="68" t="str">
        <f t="shared" si="21"/>
        <v>Rere Etrischa Zenobia</v>
      </c>
      <c r="R130" s="21" t="str">
        <f>IF(I130&lt;$N$10,"85","")</f>
        <v>85</v>
      </c>
      <c r="S130" s="14"/>
      <c r="T130" s="63"/>
    </row>
    <row r="131" spans="1:20" ht="12" customHeight="1" x14ac:dyDescent="0.25">
      <c r="A131" s="21">
        <v>30</v>
      </c>
      <c r="B131" s="19"/>
      <c r="C131" s="82" t="str">
        <f>DATA!F39</f>
        <v>Roxy Lantip Afpriba</v>
      </c>
      <c r="D131" s="248">
        <v>0</v>
      </c>
      <c r="E131" s="43"/>
      <c r="F131" s="43"/>
      <c r="G131" s="43"/>
      <c r="H131" s="44"/>
      <c r="I131" s="181">
        <f t="shared" si="22"/>
        <v>0</v>
      </c>
      <c r="J131" s="45">
        <f t="shared" si="23"/>
        <v>0</v>
      </c>
      <c r="K131" s="21" t="str">
        <f t="shared" si="17"/>
        <v>tdk tuntas</v>
      </c>
      <c r="L131" s="210" t="str">
        <f t="shared" si="18"/>
        <v>80</v>
      </c>
      <c r="M131" s="14"/>
      <c r="N131" s="24"/>
      <c r="O131" s="15"/>
      <c r="Q131" s="68" t="str">
        <f t="shared" si="21"/>
        <v>Roxy Lantip Afpriba</v>
      </c>
      <c r="R131" s="21" t="str">
        <f>IF(I131&lt;$N$10,"84","")</f>
        <v>84</v>
      </c>
      <c r="S131" s="14"/>
      <c r="T131" s="63" t="str">
        <f>T37</f>
        <v>Dra. BAROKAH GUNIARTI</v>
      </c>
    </row>
    <row r="132" spans="1:20" ht="12" customHeight="1" x14ac:dyDescent="0.25">
      <c r="A132" s="21">
        <v>31</v>
      </c>
      <c r="B132" s="19"/>
      <c r="C132" s="82" t="str">
        <f>DATA!F40</f>
        <v>Syifa Maulida Zahra</v>
      </c>
      <c r="D132" s="134">
        <v>30</v>
      </c>
      <c r="E132" s="43"/>
      <c r="F132" s="43"/>
      <c r="G132" s="43"/>
      <c r="H132" s="44"/>
      <c r="I132" s="181">
        <f t="shared" si="22"/>
        <v>30</v>
      </c>
      <c r="J132" s="45">
        <f>I132</f>
        <v>30</v>
      </c>
      <c r="K132" s="21" t="str">
        <f>IF(J132&lt;$N$10,"tdk tuntas","tuntas")</f>
        <v>tdk tuntas</v>
      </c>
      <c r="L132" s="210" t="str">
        <f t="shared" si="18"/>
        <v>80</v>
      </c>
      <c r="M132" s="14" t="s">
        <v>56</v>
      </c>
      <c r="N132" s="24"/>
      <c r="O132" s="15"/>
      <c r="Q132" s="68" t="str">
        <f t="shared" si="21"/>
        <v>Syifa Maulida Zahra</v>
      </c>
      <c r="R132" s="21" t="str">
        <f>IF(I132&lt;$N$10,"84","")</f>
        <v>84</v>
      </c>
      <c r="S132" s="14"/>
      <c r="T132" s="103" t="str">
        <f>T38</f>
        <v>NIP : 196901081996122004</v>
      </c>
    </row>
    <row r="133" spans="1:20" ht="12" customHeight="1" x14ac:dyDescent="0.25">
      <c r="A133" s="21">
        <v>32</v>
      </c>
      <c r="B133" s="19"/>
      <c r="C133" s="82" t="str">
        <f>DATA!F41</f>
        <v>Virna Meisya Amelia</v>
      </c>
      <c r="D133" s="248">
        <v>50</v>
      </c>
      <c r="E133" s="43"/>
      <c r="F133" s="43"/>
      <c r="G133" s="43"/>
      <c r="H133" s="44"/>
      <c r="I133" s="246">
        <f t="shared" si="22"/>
        <v>50</v>
      </c>
      <c r="J133" s="45">
        <f>I133</f>
        <v>50</v>
      </c>
      <c r="K133" s="21" t="str">
        <f>IF(J133&lt;$N$10,"tdk tuntas","tuntas")</f>
        <v>tdk tuntas</v>
      </c>
      <c r="L133" s="210" t="str">
        <f t="shared" si="18"/>
        <v>81</v>
      </c>
      <c r="M133" s="14"/>
      <c r="N133" s="24"/>
      <c r="O133" s="15"/>
      <c r="Q133" s="68" t="str">
        <f>C133</f>
        <v>Virna Meisya Amelia</v>
      </c>
      <c r="R133" s="21"/>
      <c r="S133" s="14"/>
      <c r="T133" s="15"/>
    </row>
    <row r="134" spans="1:20" ht="12" customHeight="1" x14ac:dyDescent="0.25">
      <c r="A134" s="21">
        <v>33</v>
      </c>
      <c r="B134" s="19"/>
      <c r="C134" s="82"/>
      <c r="D134" s="42" t="s">
        <v>63</v>
      </c>
      <c r="E134" s="43"/>
      <c r="F134" s="43"/>
      <c r="G134" s="43"/>
      <c r="H134" s="44"/>
      <c r="I134" s="21"/>
      <c r="J134" s="45"/>
      <c r="K134" s="21"/>
      <c r="L134" s="210"/>
      <c r="M134" s="14" t="s">
        <v>16</v>
      </c>
      <c r="N134" s="24"/>
      <c r="O134" s="15"/>
      <c r="Q134" s="68"/>
      <c r="R134" s="21"/>
      <c r="S134" s="14"/>
      <c r="T134" s="15"/>
    </row>
    <row r="135" spans="1:20" ht="12" customHeight="1" x14ac:dyDescent="0.25">
      <c r="A135" s="21">
        <v>34</v>
      </c>
      <c r="B135" s="19"/>
      <c r="C135" s="82"/>
      <c r="D135" s="42" t="s">
        <v>63</v>
      </c>
      <c r="E135" s="43"/>
      <c r="F135" s="43"/>
      <c r="G135" s="43"/>
      <c r="H135" s="44"/>
      <c r="I135" s="21"/>
      <c r="J135" s="45"/>
      <c r="K135" s="21"/>
      <c r="L135" s="210"/>
      <c r="M135" s="14" t="s">
        <v>82</v>
      </c>
      <c r="N135" s="24">
        <f>N104</f>
        <v>80</v>
      </c>
      <c r="O135" s="15"/>
      <c r="Q135" s="68"/>
      <c r="R135" s="21"/>
      <c r="S135" s="14"/>
      <c r="T135" s="15"/>
    </row>
    <row r="136" spans="1:20" ht="12" customHeight="1" x14ac:dyDescent="0.25">
      <c r="A136" s="21">
        <v>35</v>
      </c>
      <c r="B136" s="22"/>
      <c r="C136" s="162"/>
      <c r="D136" s="136" t="s">
        <v>63</v>
      </c>
      <c r="E136" s="137"/>
      <c r="F136" s="137"/>
      <c r="G136" s="137"/>
      <c r="H136" s="138"/>
      <c r="I136" s="21"/>
      <c r="J136" s="45"/>
      <c r="K136" s="21"/>
      <c r="L136" s="247"/>
      <c r="M136" s="14" t="s">
        <v>23</v>
      </c>
      <c r="N136" s="24"/>
      <c r="O136" s="15"/>
      <c r="Q136" s="68"/>
      <c r="R136" s="21"/>
      <c r="S136" s="16"/>
      <c r="T136" s="17"/>
    </row>
    <row r="137" spans="1:20" ht="12" customHeight="1" x14ac:dyDescent="0.25">
      <c r="A137" s="101" t="s">
        <v>64</v>
      </c>
      <c r="B137" s="96"/>
      <c r="C137" s="97"/>
      <c r="D137" s="93"/>
      <c r="E137" s="94"/>
      <c r="F137" s="94"/>
      <c r="G137" s="94"/>
      <c r="H137" s="95"/>
      <c r="I137" s="98">
        <f>AVERAGE(I102:I136)</f>
        <v>48.75</v>
      </c>
      <c r="J137" s="74"/>
      <c r="K137" s="47"/>
      <c r="L137" s="65"/>
      <c r="M137" s="14"/>
      <c r="N137" s="24"/>
      <c r="O137" s="15"/>
      <c r="Q137" s="60"/>
      <c r="R137" s="471" t="str">
        <f>C98</f>
        <v>9C</v>
      </c>
      <c r="S137" s="471"/>
      <c r="T137" s="61"/>
    </row>
    <row r="138" spans="1:20" ht="12" customHeight="1" x14ac:dyDescent="0.25">
      <c r="A138" s="14" t="s">
        <v>17</v>
      </c>
      <c r="B138" s="24"/>
      <c r="C138" s="15"/>
      <c r="D138" s="42">
        <f>SUM(D102:D136)</f>
        <v>1560</v>
      </c>
      <c r="E138" s="43">
        <f>SUM(E102:E136)</f>
        <v>0</v>
      </c>
      <c r="F138" s="43">
        <f>SUM(F102:F136)</f>
        <v>0</v>
      </c>
      <c r="G138" s="43">
        <f>SUM(G102:G136)</f>
        <v>0</v>
      </c>
      <c r="H138" s="44"/>
      <c r="I138" s="80">
        <f>SUM(D138:H138)</f>
        <v>1560</v>
      </c>
      <c r="J138" s="85" t="s">
        <v>49</v>
      </c>
      <c r="K138" s="48">
        <f>COUNTIF(K102:K136,J138)</f>
        <v>8</v>
      </c>
      <c r="L138" s="64"/>
      <c r="M138" s="14"/>
      <c r="N138" s="24"/>
      <c r="O138" s="15"/>
      <c r="Q138" s="30"/>
      <c r="R138" s="472"/>
      <c r="S138" s="472"/>
      <c r="T138" s="31"/>
    </row>
    <row r="139" spans="1:20" ht="12" customHeight="1" x14ac:dyDescent="0.25">
      <c r="A139" s="14" t="s">
        <v>18</v>
      </c>
      <c r="B139" s="24"/>
      <c r="C139" s="15"/>
      <c r="D139" s="42">
        <f>D100*K140</f>
        <v>960</v>
      </c>
      <c r="E139" s="43">
        <f>E100*K140</f>
        <v>1280</v>
      </c>
      <c r="F139" s="43">
        <f>F100*K140</f>
        <v>960</v>
      </c>
      <c r="G139" s="43">
        <f>G100*K140</f>
        <v>0</v>
      </c>
      <c r="H139" s="44"/>
      <c r="I139" s="80">
        <f>SUM(D139:H139)</f>
        <v>3200</v>
      </c>
      <c r="J139" s="86" t="s">
        <v>50</v>
      </c>
      <c r="K139" s="48">
        <f>COUNTIF(K102:K136,J139)</f>
        <v>24</v>
      </c>
      <c r="L139" s="64"/>
      <c r="M139" s="14"/>
      <c r="N139" s="24"/>
      <c r="O139" s="15"/>
      <c r="Q139" s="30"/>
      <c r="R139" s="472"/>
      <c r="S139" s="472"/>
      <c r="T139" s="31"/>
    </row>
    <row r="140" spans="1:20" ht="12" customHeight="1" x14ac:dyDescent="0.25">
      <c r="A140" s="26" t="s">
        <v>19</v>
      </c>
      <c r="B140" s="27"/>
      <c r="C140" s="28"/>
      <c r="D140" s="136">
        <f>D138/D139*100</f>
        <v>162.5</v>
      </c>
      <c r="E140" s="137">
        <f>E138/E139*100</f>
        <v>0</v>
      </c>
      <c r="F140" s="137">
        <f>F138/F139*100</f>
        <v>0</v>
      </c>
      <c r="G140" s="137" t="e">
        <f>G138/G139*100</f>
        <v>#DIV/0!</v>
      </c>
      <c r="H140" s="138"/>
      <c r="I140" s="50">
        <f>I138/I139*100</f>
        <v>48.75</v>
      </c>
      <c r="J140" s="75" t="s">
        <v>57</v>
      </c>
      <c r="K140" s="49">
        <f>SUM(K138:K139)</f>
        <v>32</v>
      </c>
      <c r="L140" s="66"/>
      <c r="M140" s="16"/>
      <c r="N140" s="25"/>
      <c r="O140" s="17"/>
      <c r="Q140" s="8"/>
      <c r="R140" s="473"/>
      <c r="S140" s="473"/>
      <c r="T140" s="9"/>
    </row>
    <row r="141" spans="1:20" ht="12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20" ht="12" customHeight="1" x14ac:dyDescent="0.25">
      <c r="A142" s="456" t="str">
        <f>A95</f>
        <v>ANALISA HASIL PH MATEMATIKA KLS IX  SMT GENAP</v>
      </c>
      <c r="B142" s="457"/>
      <c r="C142" s="457"/>
      <c r="D142" s="457"/>
      <c r="E142" s="457"/>
      <c r="F142" s="457"/>
      <c r="G142" s="457"/>
      <c r="H142" s="457"/>
      <c r="I142" s="457"/>
      <c r="J142" s="457"/>
      <c r="K142" s="457"/>
      <c r="L142" s="457"/>
      <c r="M142" s="457"/>
      <c r="N142" s="457"/>
      <c r="O142" s="458"/>
      <c r="Q142" s="456" t="s">
        <v>40</v>
      </c>
      <c r="R142" s="457"/>
      <c r="S142" s="457"/>
      <c r="T142" s="458"/>
    </row>
    <row r="143" spans="1:20" ht="12" customHeight="1" x14ac:dyDescent="0.25">
      <c r="A143" s="453" t="str">
        <f>A96</f>
        <v>SMP I LIMBANGAN  TH 2025/2026</v>
      </c>
      <c r="B143" s="454"/>
      <c r="C143" s="454"/>
      <c r="D143" s="454"/>
      <c r="E143" s="454"/>
      <c r="F143" s="454"/>
      <c r="G143" s="454"/>
      <c r="H143" s="454"/>
      <c r="I143" s="454"/>
      <c r="J143" s="454"/>
      <c r="K143" s="454"/>
      <c r="L143" s="454"/>
      <c r="M143" s="454"/>
      <c r="N143" s="454"/>
      <c r="O143" s="455"/>
      <c r="Q143" s="453" t="s">
        <v>61</v>
      </c>
      <c r="R143" s="454"/>
      <c r="S143" s="454"/>
      <c r="T143" s="455"/>
    </row>
    <row r="144" spans="1:20" ht="12" customHeight="1" x14ac:dyDescent="0.25"/>
    <row r="145" spans="1:20" ht="12" customHeight="1" x14ac:dyDescent="0.25">
      <c r="A145" s="99" t="s">
        <v>65</v>
      </c>
      <c r="C145" s="102" t="str">
        <f>DATA!H8</f>
        <v>9D</v>
      </c>
      <c r="D145" t="s">
        <v>297</v>
      </c>
      <c r="F145" s="179">
        <f>F4</f>
        <v>1</v>
      </c>
      <c r="I145" t="s">
        <v>20</v>
      </c>
      <c r="K145" s="72">
        <v>45877</v>
      </c>
      <c r="M145" s="1" t="s">
        <v>60</v>
      </c>
      <c r="N145" s="179">
        <f>N4</f>
        <v>1</v>
      </c>
      <c r="Q145" t="s">
        <v>28</v>
      </c>
      <c r="R145" s="470">
        <f>K145+7</f>
        <v>45884</v>
      </c>
      <c r="S145" s="470"/>
    </row>
    <row r="146" spans="1:20" ht="12" customHeight="1" x14ac:dyDescent="0.25">
      <c r="A146" s="2"/>
      <c r="B146" s="2"/>
      <c r="C146" s="3" t="s">
        <v>7</v>
      </c>
      <c r="D146" s="32">
        <v>1</v>
      </c>
      <c r="E146" s="33">
        <v>2</v>
      </c>
      <c r="F146" s="33">
        <v>3</v>
      </c>
      <c r="G146" s="33">
        <v>4</v>
      </c>
      <c r="H146" s="34">
        <v>5</v>
      </c>
      <c r="I146" s="35" t="s">
        <v>3</v>
      </c>
      <c r="J146" s="4" t="s">
        <v>4</v>
      </c>
      <c r="K146" s="53" t="s">
        <v>83</v>
      </c>
      <c r="L146" s="35" t="s">
        <v>43</v>
      </c>
      <c r="M146" s="459" t="s">
        <v>9</v>
      </c>
      <c r="N146" s="460"/>
      <c r="O146" s="461"/>
      <c r="Q146" s="2"/>
      <c r="R146" s="35" t="s">
        <v>24</v>
      </c>
      <c r="S146" s="60"/>
      <c r="T146" s="61"/>
    </row>
    <row r="147" spans="1:20" ht="12" customHeight="1" x14ac:dyDescent="0.25">
      <c r="A147" s="6" t="s">
        <v>0</v>
      </c>
      <c r="B147" s="6" t="s">
        <v>1</v>
      </c>
      <c r="C147" s="5" t="s">
        <v>8</v>
      </c>
      <c r="D147" s="55">
        <f>D100</f>
        <v>30</v>
      </c>
      <c r="E147" s="55">
        <f>E100</f>
        <v>40</v>
      </c>
      <c r="F147" s="55">
        <f>F100</f>
        <v>30</v>
      </c>
      <c r="G147" s="55">
        <f>G100</f>
        <v>0</v>
      </c>
      <c r="H147" s="55">
        <f>H100</f>
        <v>0</v>
      </c>
      <c r="I147" s="21">
        <f>SUM(D147:H147)</f>
        <v>100</v>
      </c>
      <c r="J147" s="6" t="s">
        <v>5</v>
      </c>
      <c r="K147" s="52" t="s">
        <v>22</v>
      </c>
      <c r="L147" s="11" t="s">
        <v>44</v>
      </c>
      <c r="M147" s="462"/>
      <c r="N147" s="463"/>
      <c r="O147" s="464"/>
      <c r="Q147" s="6" t="s">
        <v>2</v>
      </c>
      <c r="R147" s="11" t="s">
        <v>25</v>
      </c>
      <c r="S147" s="468" t="s">
        <v>27</v>
      </c>
      <c r="T147" s="469"/>
    </row>
    <row r="148" spans="1:20" ht="12" customHeight="1" x14ac:dyDescent="0.25">
      <c r="A148" s="6"/>
      <c r="B148" s="6"/>
      <c r="C148" s="51" t="s">
        <v>2</v>
      </c>
      <c r="D148" s="36"/>
      <c r="E148" s="37"/>
      <c r="F148" s="37"/>
      <c r="G148" s="37"/>
      <c r="H148" s="38"/>
      <c r="I148" s="11"/>
      <c r="J148" s="6" t="s">
        <v>6</v>
      </c>
      <c r="K148" s="54"/>
      <c r="L148" s="59" t="s">
        <v>45</v>
      </c>
      <c r="M148" s="465"/>
      <c r="N148" s="466"/>
      <c r="O148" s="467"/>
      <c r="Q148" s="7"/>
      <c r="R148" s="59" t="s">
        <v>26</v>
      </c>
      <c r="S148" s="8"/>
      <c r="T148" s="9"/>
    </row>
    <row r="149" spans="1:20" ht="12" customHeight="1" x14ac:dyDescent="0.25">
      <c r="A149" s="20">
        <v>1</v>
      </c>
      <c r="B149" s="18"/>
      <c r="C149" s="81" t="str">
        <f>DATA!H10</f>
        <v>Aditya Wahyu Putra Septiadi</v>
      </c>
      <c r="D149" s="131">
        <v>50</v>
      </c>
      <c r="E149" s="40"/>
      <c r="F149" s="40"/>
      <c r="G149" s="40"/>
      <c r="H149" s="41"/>
      <c r="I149" s="180">
        <f>SUM(D149:H149)</f>
        <v>50</v>
      </c>
      <c r="J149" s="46">
        <f>I149</f>
        <v>50</v>
      </c>
      <c r="K149" s="21" t="str">
        <f>IF(J149&lt;$N$10,"tdk tuntas","tuntas")</f>
        <v>tdk tuntas</v>
      </c>
      <c r="L149" s="209" t="str">
        <f>IF(J149&lt;=39.9,"80",IF(J149&lt;=59.9,"81",IF(J149&lt;=69.9,"82",IF(J149&lt;=74.9,"83",IF(J149&lt;=78.9,"84",IF(J149&lt;=78.9,"85",IF(J149&gt;=78.9,J149," ")))))))</f>
        <v>81</v>
      </c>
      <c r="M149" s="12"/>
      <c r="N149" s="23"/>
      <c r="O149" s="13"/>
      <c r="Q149" s="67" t="str">
        <f>C149</f>
        <v>Aditya Wahyu Putra Septiadi</v>
      </c>
      <c r="R149" s="21" t="str">
        <f>IF(I149&lt;$N$10,"80","")</f>
        <v>80</v>
      </c>
      <c r="S149" s="12"/>
      <c r="T149" s="13"/>
    </row>
    <row r="150" spans="1:20" ht="12" customHeight="1" x14ac:dyDescent="0.25">
      <c r="A150" s="21">
        <v>2</v>
      </c>
      <c r="B150" s="19"/>
      <c r="C150" s="82" t="str">
        <f>DATA!H11</f>
        <v>Al Fuzu Daya Satria</v>
      </c>
      <c r="D150" s="248">
        <v>20</v>
      </c>
      <c r="E150" s="43"/>
      <c r="F150" s="43"/>
      <c r="G150" s="43"/>
      <c r="H150" s="44"/>
      <c r="I150" s="181">
        <f t="shared" ref="I150:I178" si="25">SUM(D150:H150)</f>
        <v>20</v>
      </c>
      <c r="J150" s="45">
        <f t="shared" ref="J150:J178" si="26">I150</f>
        <v>20</v>
      </c>
      <c r="K150" s="21" t="str">
        <f t="shared" ref="K150:K178" si="27">IF(J150&lt;$N$10,"tdk tuntas","tuntas")</f>
        <v>tdk tuntas</v>
      </c>
      <c r="L150" s="210" t="str">
        <f t="shared" ref="L150:L179" si="28">IF(J150&lt;=39.9,"80",IF(J150&lt;=59.9,"81",IF(J150&lt;=69.9,"82",IF(J150&lt;=74.9,"83",IF(J150&lt;=78.9,"84",IF(J150&lt;=78.9,"85",IF(J150&gt;=78.9,J150," ")))))))</f>
        <v>80</v>
      </c>
      <c r="M150" s="14"/>
      <c r="N150" s="24"/>
      <c r="O150" s="15"/>
      <c r="Q150" s="68" t="str">
        <f t="shared" ref="Q150:Q178" si="29">C150</f>
        <v>Al Fuzu Daya Satria</v>
      </c>
      <c r="R150" s="21" t="str">
        <f>IF(I150&lt;$N$10,"81","")</f>
        <v>81</v>
      </c>
      <c r="S150" s="14" t="s">
        <v>29</v>
      </c>
      <c r="T150" s="15"/>
    </row>
    <row r="151" spans="1:20" ht="12" customHeight="1" thickBot="1" x14ac:dyDescent="0.35">
      <c r="A151" s="21">
        <v>3</v>
      </c>
      <c r="B151" s="19"/>
      <c r="C151" s="82" t="str">
        <f>DATA!H12</f>
        <v>Amanda Kirana Maharani</v>
      </c>
      <c r="D151" s="248">
        <v>10</v>
      </c>
      <c r="E151" s="43"/>
      <c r="F151" s="43"/>
      <c r="G151" s="43"/>
      <c r="H151" s="44"/>
      <c r="I151" s="181">
        <f t="shared" si="25"/>
        <v>10</v>
      </c>
      <c r="J151" s="45">
        <f t="shared" si="26"/>
        <v>10</v>
      </c>
      <c r="K151" s="21" t="str">
        <f t="shared" si="27"/>
        <v>tdk tuntas</v>
      </c>
      <c r="L151" s="210" t="str">
        <f t="shared" si="28"/>
        <v>80</v>
      </c>
      <c r="M151" s="70" t="s">
        <v>62</v>
      </c>
      <c r="N151" s="76">
        <f>N10</f>
        <v>80</v>
      </c>
      <c r="O151" s="15"/>
      <c r="Q151" s="68" t="str">
        <f t="shared" si="29"/>
        <v>Amanda Kirana Maharani</v>
      </c>
      <c r="R151" s="21" t="str">
        <f>IF(I151&lt;$N$10,"81","")</f>
        <v>81</v>
      </c>
      <c r="S151" s="26"/>
      <c r="T151" s="15"/>
    </row>
    <row r="152" spans="1:20" ht="12" customHeight="1" thickTop="1" thickBot="1" x14ac:dyDescent="0.3">
      <c r="A152" s="21">
        <v>4</v>
      </c>
      <c r="B152" s="19"/>
      <c r="C152" s="82" t="str">
        <f>DATA!H13</f>
        <v>Andra Prima Reza</v>
      </c>
      <c r="D152" s="248">
        <v>10</v>
      </c>
      <c r="E152" s="43"/>
      <c r="F152" s="43"/>
      <c r="G152" s="43"/>
      <c r="H152" s="44"/>
      <c r="I152" s="181">
        <f t="shared" si="25"/>
        <v>10</v>
      </c>
      <c r="J152" s="45">
        <f t="shared" si="26"/>
        <v>10</v>
      </c>
      <c r="K152" s="21" t="str">
        <f t="shared" si="27"/>
        <v>tdk tuntas</v>
      </c>
      <c r="L152" s="210" t="str">
        <f t="shared" si="28"/>
        <v>80</v>
      </c>
      <c r="M152" s="14"/>
      <c r="N152" s="24"/>
      <c r="O152" s="15"/>
      <c r="Q152" s="68" t="str">
        <f t="shared" si="29"/>
        <v>Andra Prima Reza</v>
      </c>
      <c r="R152" s="21" t="str">
        <f>IF(I152&lt;$N$10,"84","")</f>
        <v>84</v>
      </c>
      <c r="S152" s="62"/>
      <c r="T152" s="15" t="s">
        <v>35</v>
      </c>
    </row>
    <row r="153" spans="1:20" ht="12" customHeight="1" thickTop="1" thickBot="1" x14ac:dyDescent="0.3">
      <c r="A153" s="21">
        <v>5</v>
      </c>
      <c r="B153" s="19"/>
      <c r="C153" s="82" t="str">
        <f>DATA!H14</f>
        <v>Ayu Safitri Intan Zahwa</v>
      </c>
      <c r="D153" s="248">
        <v>90</v>
      </c>
      <c r="E153" s="43"/>
      <c r="F153" s="43"/>
      <c r="G153" s="43"/>
      <c r="H153" s="44"/>
      <c r="I153" s="181">
        <f t="shared" si="25"/>
        <v>90</v>
      </c>
      <c r="J153" s="45">
        <f t="shared" si="26"/>
        <v>90</v>
      </c>
      <c r="K153" s="21" t="str">
        <f t="shared" si="27"/>
        <v>tuntas</v>
      </c>
      <c r="L153" s="210">
        <f t="shared" si="28"/>
        <v>90</v>
      </c>
      <c r="M153" s="14"/>
      <c r="N153" s="24"/>
      <c r="O153" s="15"/>
      <c r="Q153" s="68" t="str">
        <f t="shared" si="29"/>
        <v>Ayu Safitri Intan Zahwa</v>
      </c>
      <c r="R153" s="21" t="str">
        <f>IF(I153&lt;$N$10,"87","")</f>
        <v/>
      </c>
      <c r="S153" s="62"/>
      <c r="T153" s="15" t="s">
        <v>38</v>
      </c>
    </row>
    <row r="154" spans="1:20" ht="12" customHeight="1" thickTop="1" thickBot="1" x14ac:dyDescent="0.3">
      <c r="A154" s="21">
        <v>6</v>
      </c>
      <c r="B154" s="19"/>
      <c r="C154" s="82" t="str">
        <f>DATA!H15</f>
        <v>Azzahra Quinnsha Setyana</v>
      </c>
      <c r="D154" s="134">
        <v>40</v>
      </c>
      <c r="E154" s="43"/>
      <c r="F154" s="43"/>
      <c r="G154" s="43"/>
      <c r="H154" s="44"/>
      <c r="I154" s="181">
        <f t="shared" si="25"/>
        <v>40</v>
      </c>
      <c r="J154" s="45">
        <f t="shared" si="26"/>
        <v>40</v>
      </c>
      <c r="K154" s="21" t="str">
        <f t="shared" si="27"/>
        <v>tdk tuntas</v>
      </c>
      <c r="L154" s="210" t="str">
        <f t="shared" si="28"/>
        <v>81</v>
      </c>
      <c r="M154" s="14" t="s">
        <v>10</v>
      </c>
      <c r="N154" s="24"/>
      <c r="O154" s="15"/>
      <c r="Q154" s="68" t="str">
        <f t="shared" si="29"/>
        <v>Azzahra Quinnsha Setyana</v>
      </c>
      <c r="R154" s="21" t="str">
        <f>IF(I154&lt;$N$10,"82","")</f>
        <v>82</v>
      </c>
      <c r="S154" s="14"/>
      <c r="T154" s="15" t="s">
        <v>39</v>
      </c>
    </row>
    <row r="155" spans="1:20" ht="12" customHeight="1" thickTop="1" thickBot="1" x14ac:dyDescent="0.35">
      <c r="A155" s="185">
        <v>7</v>
      </c>
      <c r="B155" s="175"/>
      <c r="C155" s="184" t="str">
        <f>DATA!H16</f>
        <v>Bryan Marcanda</v>
      </c>
      <c r="D155" s="248">
        <v>20</v>
      </c>
      <c r="E155" s="43"/>
      <c r="F155" s="43"/>
      <c r="G155" s="43"/>
      <c r="H155" s="44"/>
      <c r="I155" s="181">
        <f t="shared" si="25"/>
        <v>20</v>
      </c>
      <c r="J155" s="45">
        <f>I155</f>
        <v>20</v>
      </c>
      <c r="K155" s="21" t="str">
        <f>IF(J155&lt;$N$10,"tdk tuntas","tuntas")</f>
        <v>tdk tuntas</v>
      </c>
      <c r="L155" s="210" t="str">
        <f t="shared" si="28"/>
        <v>80</v>
      </c>
      <c r="M155" s="186"/>
      <c r="N155" s="187"/>
      <c r="O155" s="188"/>
      <c r="Q155" s="68" t="str">
        <f t="shared" si="29"/>
        <v>Bryan Marcanda</v>
      </c>
      <c r="R155" s="21" t="str">
        <f>IF(I155&lt;$N$10,"80","")</f>
        <v>80</v>
      </c>
      <c r="S155" s="71" t="s">
        <v>46</v>
      </c>
      <c r="T155" s="119" t="s">
        <v>36</v>
      </c>
    </row>
    <row r="156" spans="1:20" ht="12" customHeight="1" thickTop="1" x14ac:dyDescent="0.3">
      <c r="A156" s="21">
        <v>8</v>
      </c>
      <c r="B156" s="19"/>
      <c r="C156" s="82" t="str">
        <f>DATA!H17</f>
        <v>Chelsea Felita Matiune</v>
      </c>
      <c r="D156" s="134">
        <v>50</v>
      </c>
      <c r="E156" s="43"/>
      <c r="F156" s="43"/>
      <c r="G156" s="43"/>
      <c r="H156" s="44"/>
      <c r="I156" s="181">
        <f t="shared" si="25"/>
        <v>50</v>
      </c>
      <c r="J156" s="45">
        <f t="shared" si="26"/>
        <v>50</v>
      </c>
      <c r="K156" s="21" t="str">
        <f t="shared" si="27"/>
        <v>tdk tuntas</v>
      </c>
      <c r="L156" s="210" t="str">
        <f t="shared" si="28"/>
        <v>81</v>
      </c>
      <c r="M156" s="77" t="s">
        <v>51</v>
      </c>
      <c r="N156" s="24"/>
      <c r="O156" s="15"/>
      <c r="Q156" s="68" t="str">
        <f t="shared" si="29"/>
        <v>Chelsea Felita Matiune</v>
      </c>
      <c r="R156" s="21" t="str">
        <f>IF(I156&lt;$N$10,"84","")</f>
        <v>84</v>
      </c>
      <c r="S156" s="70"/>
      <c r="T156" s="119" t="s">
        <v>37</v>
      </c>
    </row>
    <row r="157" spans="1:20" ht="12" customHeight="1" x14ac:dyDescent="0.25">
      <c r="A157" s="21">
        <v>9</v>
      </c>
      <c r="B157" s="19"/>
      <c r="C157" s="82" t="str">
        <f>DATA!H18</f>
        <v>Dharma Tegar Sathrya</v>
      </c>
      <c r="D157" s="134">
        <v>20</v>
      </c>
      <c r="E157" s="43"/>
      <c r="F157" s="43"/>
      <c r="G157" s="43"/>
      <c r="H157" s="44"/>
      <c r="I157" s="181">
        <f t="shared" si="25"/>
        <v>20</v>
      </c>
      <c r="J157" s="45">
        <f t="shared" si="26"/>
        <v>20</v>
      </c>
      <c r="K157" s="21" t="str">
        <f t="shared" si="27"/>
        <v>tdk tuntas</v>
      </c>
      <c r="L157" s="210" t="str">
        <f t="shared" si="28"/>
        <v>80</v>
      </c>
      <c r="N157" s="24"/>
      <c r="O157" s="15"/>
      <c r="Q157" s="68" t="str">
        <f t="shared" si="29"/>
        <v>Dharma Tegar Sathrya</v>
      </c>
      <c r="R157" s="21" t="str">
        <f>IF(I157&lt;$N$10,"88","")</f>
        <v>88</v>
      </c>
      <c r="S157" s="14"/>
      <c r="T157" s="15"/>
    </row>
    <row r="158" spans="1:20" ht="12" customHeight="1" x14ac:dyDescent="0.25">
      <c r="A158" s="21">
        <v>10</v>
      </c>
      <c r="B158" s="19"/>
      <c r="C158" s="82" t="str">
        <f>DATA!H19</f>
        <v>Eza Septian Dinata</v>
      </c>
      <c r="D158" s="248">
        <v>10</v>
      </c>
      <c r="E158" s="43"/>
      <c r="F158" s="43"/>
      <c r="G158" s="43"/>
      <c r="H158" s="44"/>
      <c r="I158" s="181">
        <f t="shared" si="25"/>
        <v>10</v>
      </c>
      <c r="J158" s="45">
        <f t="shared" si="26"/>
        <v>10</v>
      </c>
      <c r="K158" s="21" t="str">
        <f t="shared" si="27"/>
        <v>tdk tuntas</v>
      </c>
      <c r="L158" s="210" t="str">
        <f t="shared" si="28"/>
        <v>80</v>
      </c>
      <c r="M158" s="14"/>
      <c r="N158" s="24"/>
      <c r="O158" s="15"/>
      <c r="Q158" s="68" t="str">
        <f t="shared" si="29"/>
        <v>Eza Septian Dinata</v>
      </c>
      <c r="R158" s="21" t="str">
        <f t="shared" ref="R158:R163" si="30">IF(I158&lt;$N$10,"85","")</f>
        <v>85</v>
      </c>
      <c r="S158" s="14" t="s">
        <v>30</v>
      </c>
      <c r="T158" s="15"/>
    </row>
    <row r="159" spans="1:20" ht="12" customHeight="1" thickBot="1" x14ac:dyDescent="0.3">
      <c r="A159" s="21">
        <v>11</v>
      </c>
      <c r="B159" s="19"/>
      <c r="C159" s="82" t="str">
        <f>DATA!H20</f>
        <v>Hadi Khoirul Anwar</v>
      </c>
      <c r="D159" s="248">
        <v>10</v>
      </c>
      <c r="E159" s="43"/>
      <c r="F159" s="43"/>
      <c r="G159" s="43"/>
      <c r="H159" s="44"/>
      <c r="I159" s="181">
        <f t="shared" si="25"/>
        <v>10</v>
      </c>
      <c r="J159" s="45">
        <f t="shared" si="26"/>
        <v>10</v>
      </c>
      <c r="K159" s="21" t="str">
        <f t="shared" si="27"/>
        <v>tdk tuntas</v>
      </c>
      <c r="L159" s="210" t="str">
        <f t="shared" si="28"/>
        <v>80</v>
      </c>
      <c r="M159" s="14"/>
      <c r="N159" s="24"/>
      <c r="O159" s="15"/>
      <c r="Q159" s="68" t="str">
        <f t="shared" si="29"/>
        <v>Hadi Khoirul Anwar</v>
      </c>
      <c r="R159" s="21" t="str">
        <f t="shared" si="30"/>
        <v>85</v>
      </c>
      <c r="T159" s="15"/>
    </row>
    <row r="160" spans="1:20" ht="12" customHeight="1" thickTop="1" thickBot="1" x14ac:dyDescent="0.35">
      <c r="A160" s="21">
        <v>12</v>
      </c>
      <c r="B160" s="19"/>
      <c r="C160" s="82" t="str">
        <f>DATA!H21</f>
        <v>Ica Nur Setyo Anugrah</v>
      </c>
      <c r="D160" s="248">
        <v>20</v>
      </c>
      <c r="E160" s="43"/>
      <c r="F160" s="43"/>
      <c r="G160" s="43"/>
      <c r="H160" s="44"/>
      <c r="I160" s="181">
        <f t="shared" si="25"/>
        <v>20</v>
      </c>
      <c r="J160" s="45">
        <f t="shared" si="26"/>
        <v>20</v>
      </c>
      <c r="K160" s="21" t="str">
        <f t="shared" si="27"/>
        <v>tdk tuntas</v>
      </c>
      <c r="L160" s="210" t="str">
        <f t="shared" si="28"/>
        <v>80</v>
      </c>
      <c r="M160" s="14" t="s">
        <v>11</v>
      </c>
      <c r="N160" s="58">
        <f>K187</f>
        <v>31</v>
      </c>
      <c r="O160" s="15"/>
      <c r="Q160" s="68" t="str">
        <f t="shared" si="29"/>
        <v>Ica Nur Setyo Anugrah</v>
      </c>
      <c r="R160" s="21" t="str">
        <f t="shared" si="30"/>
        <v>85</v>
      </c>
      <c r="S160" s="71" t="s">
        <v>46</v>
      </c>
      <c r="T160" s="119" t="s">
        <v>31</v>
      </c>
    </row>
    <row r="161" spans="1:20" ht="12" customHeight="1" thickTop="1" thickBot="1" x14ac:dyDescent="0.35">
      <c r="A161" s="21">
        <v>13</v>
      </c>
      <c r="B161" s="19"/>
      <c r="C161" s="82" t="str">
        <f>DATA!H22</f>
        <v>Jihan Aliya Kamil Alfayari</v>
      </c>
      <c r="D161" s="248">
        <v>50</v>
      </c>
      <c r="E161" s="43"/>
      <c r="F161" s="43"/>
      <c r="G161" s="43"/>
      <c r="H161" s="44"/>
      <c r="I161" s="181">
        <f t="shared" si="25"/>
        <v>50</v>
      </c>
      <c r="J161" s="45">
        <f t="shared" si="26"/>
        <v>50</v>
      </c>
      <c r="K161" s="21" t="str">
        <f t="shared" si="27"/>
        <v>tdk tuntas</v>
      </c>
      <c r="L161" s="210" t="str">
        <f t="shared" si="28"/>
        <v>81</v>
      </c>
      <c r="M161" s="14" t="s">
        <v>12</v>
      </c>
      <c r="N161" s="58">
        <f>K185</f>
        <v>1</v>
      </c>
      <c r="O161" s="15"/>
      <c r="Q161" s="68" t="str">
        <f t="shared" si="29"/>
        <v>Jihan Aliya Kamil Alfayari</v>
      </c>
      <c r="R161" s="21" t="str">
        <f t="shared" si="30"/>
        <v>85</v>
      </c>
      <c r="S161" s="70"/>
      <c r="T161" s="119" t="s">
        <v>32</v>
      </c>
    </row>
    <row r="162" spans="1:20" ht="12" customHeight="1" thickTop="1" thickBot="1" x14ac:dyDescent="0.35">
      <c r="A162" s="21">
        <v>14</v>
      </c>
      <c r="B162" s="19"/>
      <c r="C162" s="82" t="str">
        <f>DATA!H23</f>
        <v>Keisya Bily Ferlista</v>
      </c>
      <c r="D162" s="134">
        <v>40</v>
      </c>
      <c r="E162" s="43"/>
      <c r="F162" s="43"/>
      <c r="G162" s="43"/>
      <c r="H162" s="44"/>
      <c r="I162" s="181">
        <f t="shared" si="25"/>
        <v>40</v>
      </c>
      <c r="J162" s="45">
        <f t="shared" si="26"/>
        <v>40</v>
      </c>
      <c r="K162" s="21" t="str">
        <f t="shared" si="27"/>
        <v>tdk tuntas</v>
      </c>
      <c r="L162" s="210" t="str">
        <f t="shared" si="28"/>
        <v>81</v>
      </c>
      <c r="M162" s="14" t="s">
        <v>13</v>
      </c>
      <c r="N162" s="58">
        <f>N161/N160*100</f>
        <v>3.225806451612903</v>
      </c>
      <c r="O162" s="15" t="s">
        <v>4</v>
      </c>
      <c r="Q162" s="68" t="str">
        <f t="shared" si="29"/>
        <v>Keisya Bily Ferlista</v>
      </c>
      <c r="R162" s="21" t="str">
        <f t="shared" si="30"/>
        <v>85</v>
      </c>
      <c r="S162" s="62"/>
      <c r="T162" s="15" t="s">
        <v>33</v>
      </c>
    </row>
    <row r="163" spans="1:20" ht="12" customHeight="1" thickTop="1" x14ac:dyDescent="0.25">
      <c r="A163" s="21">
        <v>15</v>
      </c>
      <c r="B163" s="19"/>
      <c r="C163" s="82" t="str">
        <f>DATA!H24</f>
        <v>Muhammad Rafi Ma'Arif</v>
      </c>
      <c r="D163" s="134">
        <v>0</v>
      </c>
      <c r="E163" s="43"/>
      <c r="F163" s="43"/>
      <c r="G163" s="43"/>
      <c r="H163" s="44"/>
      <c r="I163" s="181">
        <f t="shared" si="25"/>
        <v>0</v>
      </c>
      <c r="J163" s="45">
        <f t="shared" si="26"/>
        <v>0</v>
      </c>
      <c r="K163" s="21" t="str">
        <f t="shared" si="27"/>
        <v>tdk tuntas</v>
      </c>
      <c r="L163" s="210" t="str">
        <f t="shared" si="28"/>
        <v>80</v>
      </c>
      <c r="M163" s="14"/>
      <c r="N163" s="24"/>
      <c r="O163" s="15"/>
      <c r="Q163" s="68" t="str">
        <f t="shared" si="29"/>
        <v>Muhammad Rafi Ma'Arif</v>
      </c>
      <c r="R163" s="21" t="str">
        <f t="shared" si="30"/>
        <v>85</v>
      </c>
      <c r="S163" s="14"/>
      <c r="T163" s="15" t="s">
        <v>34</v>
      </c>
    </row>
    <row r="164" spans="1:20" ht="12" customHeight="1" x14ac:dyDescent="0.25">
      <c r="A164" s="21">
        <v>16</v>
      </c>
      <c r="B164" s="19"/>
      <c r="C164" s="82" t="str">
        <f>DATA!H25</f>
        <v>Nafis Aufan Ahsanulkarim</v>
      </c>
      <c r="D164" s="248">
        <v>10</v>
      </c>
      <c r="E164" s="43"/>
      <c r="F164" s="43"/>
      <c r="G164" s="43"/>
      <c r="H164" s="44"/>
      <c r="I164" s="181">
        <f t="shared" si="25"/>
        <v>10</v>
      </c>
      <c r="J164" s="45">
        <f t="shared" si="26"/>
        <v>10</v>
      </c>
      <c r="K164" s="21" t="str">
        <f t="shared" si="27"/>
        <v>tdk tuntas</v>
      </c>
      <c r="L164" s="210" t="str">
        <f t="shared" si="28"/>
        <v>80</v>
      </c>
      <c r="M164" s="14" t="s">
        <v>52</v>
      </c>
      <c r="N164" s="24"/>
      <c r="O164" s="15"/>
      <c r="Q164" s="68" t="str">
        <f t="shared" si="29"/>
        <v>Nafis Aufan Ahsanulkarim</v>
      </c>
      <c r="R164" s="21" t="str">
        <f>IF(I164&lt;$N$10,"84","")</f>
        <v>84</v>
      </c>
      <c r="S164" s="14"/>
      <c r="T164" s="15"/>
    </row>
    <row r="165" spans="1:20" ht="12" customHeight="1" x14ac:dyDescent="0.25">
      <c r="A165" s="21">
        <v>17</v>
      </c>
      <c r="B165" s="19"/>
      <c r="C165" s="82" t="str">
        <f>DATA!H26</f>
        <v>Nayla Azalia Lathifah</v>
      </c>
      <c r="D165" s="134">
        <v>10</v>
      </c>
      <c r="E165" s="43"/>
      <c r="F165" s="43"/>
      <c r="G165" s="43"/>
      <c r="H165" s="44"/>
      <c r="I165" s="181">
        <f t="shared" si="25"/>
        <v>10</v>
      </c>
      <c r="J165" s="45">
        <f t="shared" si="26"/>
        <v>10</v>
      </c>
      <c r="K165" s="21" t="str">
        <f t="shared" si="27"/>
        <v>tdk tuntas</v>
      </c>
      <c r="L165" s="210" t="str">
        <f t="shared" si="28"/>
        <v>80</v>
      </c>
      <c r="N165" s="24"/>
      <c r="O165" s="15"/>
      <c r="Q165" s="68" t="str">
        <f t="shared" si="29"/>
        <v>Nayla Azalia Lathifah</v>
      </c>
      <c r="R165" s="21" t="str">
        <f t="shared" ref="R165:R171" si="31">IF(I165&lt;$N$10,"82","")</f>
        <v>82</v>
      </c>
      <c r="S165" s="14"/>
      <c r="T165" s="63" t="s">
        <v>41</v>
      </c>
    </row>
    <row r="166" spans="1:20" ht="12" customHeight="1" x14ac:dyDescent="0.25">
      <c r="A166" s="21">
        <v>18</v>
      </c>
      <c r="B166" s="19"/>
      <c r="C166" s="82" t="str">
        <f>DATA!H27</f>
        <v>Radita Raharjo</v>
      </c>
      <c r="D166" s="134">
        <v>20</v>
      </c>
      <c r="E166" s="43"/>
      <c r="F166" s="43"/>
      <c r="G166" s="43"/>
      <c r="H166" s="44"/>
      <c r="I166" s="181">
        <f t="shared" si="25"/>
        <v>20</v>
      </c>
      <c r="J166" s="45">
        <f t="shared" si="26"/>
        <v>20</v>
      </c>
      <c r="K166" s="21" t="str">
        <f t="shared" si="27"/>
        <v>tdk tuntas</v>
      </c>
      <c r="L166" s="210" t="str">
        <f t="shared" si="28"/>
        <v>80</v>
      </c>
      <c r="M166" s="14"/>
      <c r="N166" s="24"/>
      <c r="O166" s="15"/>
      <c r="Q166" s="68" t="str">
        <f t="shared" si="29"/>
        <v>Radita Raharjo</v>
      </c>
      <c r="R166" s="21" t="str">
        <f t="shared" si="31"/>
        <v>82</v>
      </c>
      <c r="S166" s="14"/>
      <c r="T166" s="63"/>
    </row>
    <row r="167" spans="1:20" ht="12" customHeight="1" x14ac:dyDescent="0.25">
      <c r="A167" s="21">
        <v>19</v>
      </c>
      <c r="B167" s="19"/>
      <c r="C167" s="82" t="str">
        <f>DATA!H28</f>
        <v>Rava Aditya Pratama</v>
      </c>
      <c r="D167" s="248">
        <v>20</v>
      </c>
      <c r="E167" s="43"/>
      <c r="F167" s="43"/>
      <c r="G167" s="43"/>
      <c r="H167" s="44"/>
      <c r="I167" s="181">
        <f t="shared" si="25"/>
        <v>20</v>
      </c>
      <c r="J167" s="45">
        <f t="shared" si="26"/>
        <v>20</v>
      </c>
      <c r="K167" s="21" t="str">
        <f t="shared" si="27"/>
        <v>tdk tuntas</v>
      </c>
      <c r="L167" s="210" t="str">
        <f t="shared" si="28"/>
        <v>80</v>
      </c>
      <c r="M167" s="14"/>
      <c r="N167" s="24"/>
      <c r="O167" s="15"/>
      <c r="Q167" s="68" t="str">
        <f t="shared" si="29"/>
        <v>Rava Aditya Pratama</v>
      </c>
      <c r="R167" s="21" t="str">
        <f t="shared" si="31"/>
        <v>82</v>
      </c>
      <c r="S167" s="14"/>
      <c r="T167" s="63"/>
    </row>
    <row r="168" spans="1:20" ht="12" customHeight="1" x14ac:dyDescent="0.25">
      <c r="A168" s="21">
        <v>20</v>
      </c>
      <c r="B168" s="19"/>
      <c r="C168" s="82" t="str">
        <f>DATA!H29</f>
        <v>Saffa Ayu Anastasya</v>
      </c>
      <c r="D168" s="134">
        <v>20</v>
      </c>
      <c r="E168" s="43"/>
      <c r="F168" s="43"/>
      <c r="G168" s="43"/>
      <c r="H168" s="44"/>
      <c r="I168" s="181">
        <f t="shared" si="25"/>
        <v>20</v>
      </c>
      <c r="J168" s="45">
        <f t="shared" si="26"/>
        <v>20</v>
      </c>
      <c r="K168" s="21" t="str">
        <f t="shared" si="27"/>
        <v>tdk tuntas</v>
      </c>
      <c r="L168" s="210" t="str">
        <f t="shared" si="28"/>
        <v>80</v>
      </c>
      <c r="M168" s="14" t="s">
        <v>53</v>
      </c>
      <c r="N168" s="78">
        <f>I185</f>
        <v>730</v>
      </c>
      <c r="O168" s="15"/>
      <c r="Q168" s="68" t="str">
        <f t="shared" si="29"/>
        <v>Saffa Ayu Anastasya</v>
      </c>
      <c r="R168" s="21" t="str">
        <f t="shared" si="31"/>
        <v>82</v>
      </c>
      <c r="S168" s="14"/>
      <c r="T168" s="63"/>
    </row>
    <row r="169" spans="1:20" ht="12" customHeight="1" x14ac:dyDescent="0.25">
      <c r="A169" s="21">
        <v>21</v>
      </c>
      <c r="B169" s="19"/>
      <c r="C169" s="82" t="str">
        <f>DATA!H30</f>
        <v>Saromadika</v>
      </c>
      <c r="D169" s="248">
        <v>50</v>
      </c>
      <c r="E169" s="43"/>
      <c r="F169" s="43"/>
      <c r="G169" s="43"/>
      <c r="H169" s="44"/>
      <c r="I169" s="181">
        <f>SUM(D169:H169)</f>
        <v>50</v>
      </c>
      <c r="J169" s="45">
        <f t="shared" si="26"/>
        <v>50</v>
      </c>
      <c r="K169" s="21" t="str">
        <f t="shared" si="27"/>
        <v>tdk tuntas</v>
      </c>
      <c r="L169" s="210" t="str">
        <f t="shared" si="28"/>
        <v>81</v>
      </c>
      <c r="M169" s="14" t="s">
        <v>54</v>
      </c>
      <c r="N169" s="78">
        <f>I186</f>
        <v>3100</v>
      </c>
      <c r="O169" s="15"/>
      <c r="Q169" s="68" t="str">
        <f t="shared" si="29"/>
        <v>Saromadika</v>
      </c>
      <c r="R169" s="21" t="str">
        <f t="shared" si="31"/>
        <v>82</v>
      </c>
      <c r="S169" s="14"/>
      <c r="T169" s="63" t="str">
        <f>T28</f>
        <v>KASMIN, S.Pd</v>
      </c>
    </row>
    <row r="170" spans="1:20" ht="12" customHeight="1" x14ac:dyDescent="0.25">
      <c r="A170" s="21">
        <v>22</v>
      </c>
      <c r="B170" s="19"/>
      <c r="C170" s="82" t="str">
        <f>DATA!H31</f>
        <v>Siti Fadilah Purmareta</v>
      </c>
      <c r="D170" s="248">
        <v>0</v>
      </c>
      <c r="E170" s="43"/>
      <c r="F170" s="43"/>
      <c r="G170" s="43"/>
      <c r="H170" s="44"/>
      <c r="I170" s="181">
        <f t="shared" si="25"/>
        <v>0</v>
      </c>
      <c r="J170" s="45">
        <f t="shared" si="26"/>
        <v>0</v>
      </c>
      <c r="K170" s="21" t="str">
        <f t="shared" si="27"/>
        <v>tdk tuntas</v>
      </c>
      <c r="L170" s="210" t="str">
        <f t="shared" si="28"/>
        <v>80</v>
      </c>
      <c r="M170" s="14" t="s">
        <v>13</v>
      </c>
      <c r="N170" s="84">
        <f>N168/N169*100</f>
        <v>23.548387096774192</v>
      </c>
      <c r="O170" s="79" t="s">
        <v>4</v>
      </c>
      <c r="Q170" s="68" t="str">
        <f t="shared" si="29"/>
        <v>Siti Fadilah Purmareta</v>
      </c>
      <c r="R170" s="21" t="str">
        <f t="shared" si="31"/>
        <v>82</v>
      </c>
      <c r="S170" s="14"/>
      <c r="T170" s="83" t="str">
        <f>T29</f>
        <v>NIP : 196609141990031007</v>
      </c>
    </row>
    <row r="171" spans="1:20" ht="12" customHeight="1" x14ac:dyDescent="0.25">
      <c r="A171" s="21">
        <v>23</v>
      </c>
      <c r="B171" s="19"/>
      <c r="C171" s="82" t="str">
        <f>DATA!H32</f>
        <v>Surya Ardika Pratama</v>
      </c>
      <c r="D171" s="248">
        <v>0</v>
      </c>
      <c r="E171" s="43"/>
      <c r="F171" s="43"/>
      <c r="G171" s="43"/>
      <c r="H171" s="44"/>
      <c r="I171" s="181">
        <f t="shared" si="25"/>
        <v>0</v>
      </c>
      <c r="J171" s="45">
        <f t="shared" si="26"/>
        <v>0</v>
      </c>
      <c r="K171" s="21" t="str">
        <f t="shared" si="27"/>
        <v>tdk tuntas</v>
      </c>
      <c r="L171" s="210" t="str">
        <f t="shared" si="28"/>
        <v>80</v>
      </c>
      <c r="M171" s="14"/>
      <c r="N171" s="24"/>
      <c r="O171" s="15"/>
      <c r="Q171" s="68" t="str">
        <f t="shared" si="29"/>
        <v>Surya Ardika Pratama</v>
      </c>
      <c r="R171" s="21" t="str">
        <f t="shared" si="31"/>
        <v>82</v>
      </c>
      <c r="S171" s="14"/>
      <c r="T171" s="15"/>
    </row>
    <row r="172" spans="1:20" ht="12" customHeight="1" x14ac:dyDescent="0.25">
      <c r="A172" s="21">
        <v>24</v>
      </c>
      <c r="B172" s="19"/>
      <c r="C172" s="133" t="str">
        <f>DATA!H33</f>
        <v>Syafa Nutrima Andini</v>
      </c>
      <c r="D172" s="248">
        <v>0</v>
      </c>
      <c r="E172" s="43"/>
      <c r="F172" s="43"/>
      <c r="G172" s="43"/>
      <c r="H172" s="44"/>
      <c r="I172" s="181">
        <f t="shared" si="25"/>
        <v>0</v>
      </c>
      <c r="J172" s="45">
        <f t="shared" si="26"/>
        <v>0</v>
      </c>
      <c r="K172" s="21" t="str">
        <f t="shared" si="27"/>
        <v>tdk tuntas</v>
      </c>
      <c r="L172" s="210" t="str">
        <f t="shared" si="28"/>
        <v>80</v>
      </c>
      <c r="M172" s="14"/>
      <c r="N172" s="24"/>
      <c r="O172" s="15"/>
      <c r="Q172" s="68" t="str">
        <f t="shared" si="29"/>
        <v>Syafa Nutrima Andini</v>
      </c>
      <c r="R172" s="21" t="str">
        <f>IF(I172&lt;$N$10,"85","")</f>
        <v>85</v>
      </c>
      <c r="S172" s="14"/>
      <c r="T172" s="63" t="s">
        <v>42</v>
      </c>
    </row>
    <row r="173" spans="1:20" ht="12" customHeight="1" x14ac:dyDescent="0.25">
      <c r="A173" s="21">
        <v>25</v>
      </c>
      <c r="B173" s="19"/>
      <c r="C173" s="82" t="str">
        <f>DATA!H34</f>
        <v>Syifa Dwi Rahayu</v>
      </c>
      <c r="D173" s="248">
        <v>40</v>
      </c>
      <c r="E173" s="43"/>
      <c r="F173" s="43"/>
      <c r="G173" s="43"/>
      <c r="H173" s="44"/>
      <c r="I173" s="181">
        <f t="shared" si="25"/>
        <v>40</v>
      </c>
      <c r="J173" s="45">
        <f t="shared" si="26"/>
        <v>40</v>
      </c>
      <c r="K173" s="21" t="str">
        <f t="shared" si="27"/>
        <v>tdk tuntas</v>
      </c>
      <c r="L173" s="210" t="str">
        <f t="shared" si="28"/>
        <v>81</v>
      </c>
      <c r="M173" s="14" t="s">
        <v>14</v>
      </c>
      <c r="N173" s="24"/>
      <c r="O173" s="15"/>
      <c r="Q173" s="68" t="str">
        <f t="shared" si="29"/>
        <v>Syifa Dwi Rahayu</v>
      </c>
      <c r="R173" s="21" t="str">
        <f>IF(I173&lt;$N$10,"81","")</f>
        <v>81</v>
      </c>
      <c r="S173" s="14"/>
      <c r="T173" s="63"/>
    </row>
    <row r="174" spans="1:20" ht="12" customHeight="1" x14ac:dyDescent="0.25">
      <c r="A174" s="21">
        <v>26</v>
      </c>
      <c r="B174" s="19"/>
      <c r="C174" s="82" t="str">
        <f>DATA!H35</f>
        <v>Trendy Pambayun</v>
      </c>
      <c r="D174" s="248">
        <v>0</v>
      </c>
      <c r="E174" s="43"/>
      <c r="F174" s="43"/>
      <c r="G174" s="43"/>
      <c r="H174" s="44"/>
      <c r="I174" s="181">
        <f t="shared" si="25"/>
        <v>0</v>
      </c>
      <c r="J174" s="45">
        <f t="shared" si="26"/>
        <v>0</v>
      </c>
      <c r="K174" s="21" t="str">
        <f t="shared" si="27"/>
        <v>tdk tuntas</v>
      </c>
      <c r="L174" s="210" t="str">
        <f t="shared" si="28"/>
        <v>80</v>
      </c>
      <c r="M174" s="14" t="s">
        <v>15</v>
      </c>
      <c r="N174" s="24"/>
      <c r="O174" s="15"/>
      <c r="Q174" s="68" t="str">
        <f t="shared" si="29"/>
        <v>Trendy Pambayun</v>
      </c>
      <c r="R174" s="21" t="str">
        <f>IF(I174&lt;$N$10,"82","")</f>
        <v>82</v>
      </c>
      <c r="S174" s="14"/>
      <c r="T174" s="63"/>
    </row>
    <row r="175" spans="1:20" ht="12" customHeight="1" x14ac:dyDescent="0.3">
      <c r="A175" s="21">
        <v>27</v>
      </c>
      <c r="B175" s="19"/>
      <c r="C175" s="82" t="str">
        <f>DATA!H36</f>
        <v>Victar Alfiano</v>
      </c>
      <c r="D175" s="248">
        <v>10</v>
      </c>
      <c r="E175" s="43"/>
      <c r="F175" s="43"/>
      <c r="G175" s="43"/>
      <c r="H175" s="44"/>
      <c r="I175" s="181">
        <f t="shared" si="25"/>
        <v>10</v>
      </c>
      <c r="J175" s="45">
        <f t="shared" si="26"/>
        <v>10</v>
      </c>
      <c r="K175" s="21" t="str">
        <f t="shared" si="27"/>
        <v>tdk tuntas</v>
      </c>
      <c r="L175" s="210" t="str">
        <f t="shared" si="28"/>
        <v>80</v>
      </c>
      <c r="M175" s="155" t="s">
        <v>80</v>
      </c>
      <c r="N175" s="24"/>
      <c r="O175" s="15"/>
      <c r="Q175" s="68" t="str">
        <f t="shared" si="29"/>
        <v>Victar Alfiano</v>
      </c>
      <c r="R175" s="21" t="str">
        <f>IF(I175&lt;$N$10,"82","")</f>
        <v>82</v>
      </c>
      <c r="S175" s="14"/>
      <c r="T175" s="63"/>
    </row>
    <row r="176" spans="1:20" ht="12" customHeight="1" x14ac:dyDescent="0.25">
      <c r="A176" s="21">
        <v>28</v>
      </c>
      <c r="B176" s="19"/>
      <c r="C176" s="82" t="str">
        <f>DATA!H37</f>
        <v>Vika Adhania</v>
      </c>
      <c r="D176" s="134">
        <v>60</v>
      </c>
      <c r="E176" s="43"/>
      <c r="F176" s="43"/>
      <c r="G176" s="43"/>
      <c r="H176" s="44"/>
      <c r="I176" s="181">
        <f t="shared" si="25"/>
        <v>60</v>
      </c>
      <c r="J176" s="45">
        <f t="shared" si="26"/>
        <v>60</v>
      </c>
      <c r="K176" s="21" t="str">
        <f t="shared" si="27"/>
        <v>tdk tuntas</v>
      </c>
      <c r="L176" s="210" t="str">
        <f t="shared" si="28"/>
        <v>82</v>
      </c>
      <c r="M176" s="14"/>
      <c r="N176" s="24"/>
      <c r="O176" s="15"/>
      <c r="Q176" s="68" t="str">
        <f t="shared" si="29"/>
        <v>Vika Adhania</v>
      </c>
      <c r="R176" s="21" t="str">
        <f>IF(I176&lt;$N$10,"81","")</f>
        <v>81</v>
      </c>
      <c r="S176" s="14"/>
      <c r="T176" s="63"/>
    </row>
    <row r="177" spans="1:20" ht="12" customHeight="1" x14ac:dyDescent="0.25">
      <c r="A177" s="21">
        <v>29</v>
      </c>
      <c r="B177" s="19"/>
      <c r="C177" s="82" t="str">
        <f>DATA!H38</f>
        <v>Yogi Restu Bintang Pamungkas</v>
      </c>
      <c r="D177" s="134">
        <v>50</v>
      </c>
      <c r="E177" s="43"/>
      <c r="F177" s="43"/>
      <c r="G177" s="43"/>
      <c r="H177" s="44"/>
      <c r="I177" s="181">
        <f t="shared" si="25"/>
        <v>50</v>
      </c>
      <c r="J177" s="45">
        <f t="shared" si="26"/>
        <v>50</v>
      </c>
      <c r="K177" s="21" t="str">
        <f t="shared" si="27"/>
        <v>tdk tuntas</v>
      </c>
      <c r="L177" s="210" t="str">
        <f t="shared" si="28"/>
        <v>81</v>
      </c>
      <c r="M177" s="14"/>
      <c r="N177" s="24"/>
      <c r="O177" s="15"/>
      <c r="Q177" s="68" t="str">
        <f t="shared" si="29"/>
        <v>Yogi Restu Bintang Pamungkas</v>
      </c>
      <c r="R177" s="21" t="str">
        <f>IF(I177&lt;$N$10,"85","")</f>
        <v>85</v>
      </c>
      <c r="S177" s="14"/>
      <c r="T177" s="63"/>
    </row>
    <row r="178" spans="1:20" ht="12" customHeight="1" x14ac:dyDescent="0.25">
      <c r="A178" s="21">
        <v>30</v>
      </c>
      <c r="B178" s="19"/>
      <c r="C178" s="82" t="str">
        <f>DATA!H39</f>
        <v>Zahfa Zilvilya Putri</v>
      </c>
      <c r="D178" s="248">
        <v>0</v>
      </c>
      <c r="E178" s="43"/>
      <c r="F178" s="43"/>
      <c r="G178" s="43"/>
      <c r="H178" s="44"/>
      <c r="I178" s="181">
        <f t="shared" si="25"/>
        <v>0</v>
      </c>
      <c r="J178" s="45">
        <f t="shared" si="26"/>
        <v>0</v>
      </c>
      <c r="K178" s="21" t="str">
        <f t="shared" si="27"/>
        <v>tdk tuntas</v>
      </c>
      <c r="L178" s="210" t="str">
        <f t="shared" si="28"/>
        <v>80</v>
      </c>
      <c r="M178" s="14"/>
      <c r="N178" s="24"/>
      <c r="O178" s="15"/>
      <c r="Q178" s="68" t="str">
        <f t="shared" si="29"/>
        <v>Zahfa Zilvilya Putri</v>
      </c>
      <c r="R178" s="21" t="str">
        <f>IF(I178&lt;$N$10,"84","")</f>
        <v>84</v>
      </c>
      <c r="S178" s="14"/>
      <c r="T178" s="63" t="str">
        <f>T37</f>
        <v>Dra. BAROKAH GUNIARTI</v>
      </c>
    </row>
    <row r="179" spans="1:20" ht="12" customHeight="1" x14ac:dyDescent="0.25">
      <c r="A179" s="21">
        <v>31</v>
      </c>
      <c r="B179" s="19"/>
      <c r="C179" s="82" t="str">
        <f>DATA!H40</f>
        <v>Zaidan Rafa Prawidi</v>
      </c>
      <c r="D179" s="134">
        <v>0</v>
      </c>
      <c r="E179" s="43"/>
      <c r="F179" s="43"/>
      <c r="G179" s="43"/>
      <c r="H179" s="44"/>
      <c r="I179" s="181">
        <f>SUM(D179:H179)</f>
        <v>0</v>
      </c>
      <c r="J179" s="45">
        <f>I179</f>
        <v>0</v>
      </c>
      <c r="K179" s="21" t="str">
        <f>IF(J179&lt;$N$10,"tdk tuntas","tuntas")</f>
        <v>tdk tuntas</v>
      </c>
      <c r="L179" s="210" t="str">
        <f t="shared" si="28"/>
        <v>80</v>
      </c>
      <c r="M179" s="14" t="s">
        <v>56</v>
      </c>
      <c r="N179" s="24"/>
      <c r="O179" s="15"/>
      <c r="Q179" s="68" t="str">
        <f>C179</f>
        <v>Zaidan Rafa Prawidi</v>
      </c>
      <c r="R179" s="21" t="str">
        <f>IF(I179&lt;$N$10,"84","")</f>
        <v>84</v>
      </c>
      <c r="S179" s="14"/>
      <c r="T179" s="103" t="str">
        <f>T38</f>
        <v>NIP : 196901081996122004</v>
      </c>
    </row>
    <row r="180" spans="1:20" ht="12" customHeight="1" x14ac:dyDescent="0.25">
      <c r="A180" s="21">
        <v>32</v>
      </c>
      <c r="B180" s="19"/>
      <c r="C180" s="82"/>
      <c r="D180" s="248"/>
      <c r="E180" s="43"/>
      <c r="F180" s="43"/>
      <c r="G180" s="43"/>
      <c r="H180" s="44"/>
      <c r="I180" s="181"/>
      <c r="J180" s="45"/>
      <c r="K180" s="21"/>
      <c r="L180" s="210"/>
      <c r="M180" s="14"/>
      <c r="N180" s="24"/>
      <c r="O180" s="15"/>
      <c r="Q180" s="68">
        <f>C180</f>
        <v>0</v>
      </c>
      <c r="R180" s="21"/>
      <c r="S180" s="14"/>
      <c r="T180" s="15"/>
    </row>
    <row r="181" spans="1:20" ht="12" customHeight="1" x14ac:dyDescent="0.25">
      <c r="A181" s="21">
        <v>33</v>
      </c>
      <c r="B181" s="19"/>
      <c r="C181" s="82"/>
      <c r="D181" s="42" t="s">
        <v>63</v>
      </c>
      <c r="E181" s="43"/>
      <c r="F181" s="43"/>
      <c r="G181" s="43"/>
      <c r="H181" s="44"/>
      <c r="I181" s="21"/>
      <c r="J181" s="45"/>
      <c r="K181" s="21"/>
      <c r="L181" s="210"/>
      <c r="M181" s="14" t="s">
        <v>16</v>
      </c>
      <c r="N181" s="24"/>
      <c r="O181" s="15"/>
      <c r="Q181" s="68"/>
      <c r="R181" s="21"/>
      <c r="S181" s="14"/>
      <c r="T181" s="15"/>
    </row>
    <row r="182" spans="1:20" ht="12" customHeight="1" x14ac:dyDescent="0.25">
      <c r="A182" s="21">
        <v>34</v>
      </c>
      <c r="B182" s="19"/>
      <c r="C182" s="82"/>
      <c r="D182" s="42" t="s">
        <v>63</v>
      </c>
      <c r="E182" s="43"/>
      <c r="F182" s="43"/>
      <c r="G182" s="43"/>
      <c r="H182" s="44"/>
      <c r="I182" s="21"/>
      <c r="J182" s="45"/>
      <c r="K182" s="21"/>
      <c r="L182" s="210"/>
      <c r="M182" s="14" t="s">
        <v>82</v>
      </c>
      <c r="N182" s="24">
        <f>N151</f>
        <v>80</v>
      </c>
      <c r="O182" s="15"/>
      <c r="Q182" s="68"/>
      <c r="R182" s="21"/>
      <c r="S182" s="14"/>
      <c r="T182" s="15"/>
    </row>
    <row r="183" spans="1:20" ht="12" customHeight="1" x14ac:dyDescent="0.25">
      <c r="A183" s="21">
        <v>35</v>
      </c>
      <c r="B183" s="22"/>
      <c r="C183" s="162"/>
      <c r="D183" s="136" t="s">
        <v>63</v>
      </c>
      <c r="E183" s="137"/>
      <c r="F183" s="137"/>
      <c r="G183" s="137"/>
      <c r="H183" s="138"/>
      <c r="I183" s="21"/>
      <c r="J183" s="45"/>
      <c r="K183" s="21"/>
      <c r="L183" s="247"/>
      <c r="M183" s="14" t="s">
        <v>23</v>
      </c>
      <c r="N183" s="24"/>
      <c r="O183" s="15"/>
      <c r="Q183" s="68"/>
      <c r="R183" s="21"/>
      <c r="S183" s="16"/>
      <c r="T183" s="17"/>
    </row>
    <row r="184" spans="1:20" ht="12" customHeight="1" x14ac:dyDescent="0.25">
      <c r="A184" s="101" t="s">
        <v>64</v>
      </c>
      <c r="B184" s="96"/>
      <c r="C184" s="97"/>
      <c r="D184" s="93"/>
      <c r="E184" s="94"/>
      <c r="F184" s="94"/>
      <c r="G184" s="94"/>
      <c r="H184" s="95"/>
      <c r="I184" s="98">
        <f>AVERAGE(I149:I183)</f>
        <v>23.548387096774192</v>
      </c>
      <c r="J184" s="74"/>
      <c r="K184" s="47"/>
      <c r="L184" s="65"/>
      <c r="M184" s="14"/>
      <c r="N184" s="24"/>
      <c r="O184" s="15"/>
      <c r="Q184" s="60"/>
      <c r="R184" s="471" t="str">
        <f>C145</f>
        <v>9D</v>
      </c>
      <c r="S184" s="471"/>
      <c r="T184" s="61"/>
    </row>
    <row r="185" spans="1:20" ht="12" customHeight="1" x14ac:dyDescent="0.25">
      <c r="A185" s="14" t="s">
        <v>17</v>
      </c>
      <c r="B185" s="24"/>
      <c r="C185" s="15"/>
      <c r="D185" s="42">
        <f>SUM(D149:D183)</f>
        <v>730</v>
      </c>
      <c r="E185" s="43">
        <f>SUM(E149:E183)</f>
        <v>0</v>
      </c>
      <c r="F185" s="43">
        <f>SUM(F149:F183)</f>
        <v>0</v>
      </c>
      <c r="G185" s="43">
        <f>SUM(G149:G183)</f>
        <v>0</v>
      </c>
      <c r="H185" s="44"/>
      <c r="I185" s="80">
        <f>SUM(D185:H185)</f>
        <v>730</v>
      </c>
      <c r="J185" s="85" t="s">
        <v>49</v>
      </c>
      <c r="K185" s="48">
        <f>COUNTIF(K149:K183,J185)</f>
        <v>1</v>
      </c>
      <c r="L185" s="64"/>
      <c r="M185" s="14"/>
      <c r="N185" s="24"/>
      <c r="O185" s="15"/>
      <c r="Q185" s="30"/>
      <c r="R185" s="472"/>
      <c r="S185" s="472"/>
      <c r="T185" s="31"/>
    </row>
    <row r="186" spans="1:20" ht="12" customHeight="1" x14ac:dyDescent="0.25">
      <c r="A186" s="14" t="s">
        <v>18</v>
      </c>
      <c r="B186" s="24"/>
      <c r="C186" s="15"/>
      <c r="D186" s="42">
        <f>D147*K187</f>
        <v>930</v>
      </c>
      <c r="E186" s="43">
        <f>E147*K187</f>
        <v>1240</v>
      </c>
      <c r="F186" s="43">
        <f>F147*K187</f>
        <v>930</v>
      </c>
      <c r="G186" s="43">
        <f>G147*K187</f>
        <v>0</v>
      </c>
      <c r="H186" s="44"/>
      <c r="I186" s="80">
        <f>SUM(D186:H186)</f>
        <v>3100</v>
      </c>
      <c r="J186" s="86" t="s">
        <v>50</v>
      </c>
      <c r="K186" s="48">
        <f>COUNTIF(K149:K183,J186)</f>
        <v>30</v>
      </c>
      <c r="L186" s="64"/>
      <c r="M186" s="14"/>
      <c r="N186" s="24"/>
      <c r="O186" s="15"/>
      <c r="Q186" s="30"/>
      <c r="R186" s="472"/>
      <c r="S186" s="472"/>
      <c r="T186" s="31"/>
    </row>
    <row r="187" spans="1:20" ht="12" customHeight="1" x14ac:dyDescent="0.25">
      <c r="A187" s="26" t="s">
        <v>19</v>
      </c>
      <c r="B187" s="27"/>
      <c r="C187" s="28"/>
      <c r="D187" s="136">
        <f>D185/D186*100</f>
        <v>78.494623655913969</v>
      </c>
      <c r="E187" s="137">
        <f>E185/E186*100</f>
        <v>0</v>
      </c>
      <c r="F187" s="137">
        <f>F185/F186*100</f>
        <v>0</v>
      </c>
      <c r="G187" s="137" t="e">
        <f>G185/G186*100</f>
        <v>#DIV/0!</v>
      </c>
      <c r="H187" s="138"/>
      <c r="I187" s="50">
        <f>I185/I186*100</f>
        <v>23.548387096774192</v>
      </c>
      <c r="J187" s="75" t="s">
        <v>57</v>
      </c>
      <c r="K187" s="49">
        <f>SUM(K185:K186)</f>
        <v>31</v>
      </c>
      <c r="L187" s="66"/>
      <c r="M187" s="16"/>
      <c r="N187" s="25"/>
      <c r="O187" s="17"/>
      <c r="Q187" s="8"/>
      <c r="R187" s="473"/>
      <c r="S187" s="473"/>
      <c r="T187" s="9"/>
    </row>
    <row r="188" spans="1:20" ht="12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20" ht="12" customHeight="1" x14ac:dyDescent="0.25">
      <c r="A189" s="456" t="str">
        <f>A142</f>
        <v>ANALISA HASIL PH MATEMATIKA KLS IX  SMT GENAP</v>
      </c>
      <c r="B189" s="457"/>
      <c r="C189" s="457"/>
      <c r="D189" s="457"/>
      <c r="E189" s="457"/>
      <c r="F189" s="457"/>
      <c r="G189" s="457"/>
      <c r="H189" s="457"/>
      <c r="I189" s="457"/>
      <c r="J189" s="457"/>
      <c r="K189" s="457"/>
      <c r="L189" s="457"/>
      <c r="M189" s="457"/>
      <c r="N189" s="457"/>
      <c r="O189" s="458"/>
      <c r="Q189" s="456" t="s">
        <v>40</v>
      </c>
      <c r="R189" s="457"/>
      <c r="S189" s="457"/>
      <c r="T189" s="458"/>
    </row>
    <row r="190" spans="1:20" ht="12" customHeight="1" x14ac:dyDescent="0.25">
      <c r="A190" s="453" t="str">
        <f>A143</f>
        <v>SMP I LIMBANGAN  TH 2025/2026</v>
      </c>
      <c r="B190" s="454"/>
      <c r="C190" s="454"/>
      <c r="D190" s="454"/>
      <c r="E190" s="454"/>
      <c r="F190" s="454"/>
      <c r="G190" s="454"/>
      <c r="H190" s="454"/>
      <c r="I190" s="454"/>
      <c r="J190" s="454"/>
      <c r="K190" s="454"/>
      <c r="L190" s="454"/>
      <c r="M190" s="454"/>
      <c r="N190" s="454"/>
      <c r="O190" s="455"/>
      <c r="Q190" s="453" t="s">
        <v>61</v>
      </c>
      <c r="R190" s="454"/>
      <c r="S190" s="454"/>
      <c r="T190" s="455"/>
    </row>
    <row r="191" spans="1:20" ht="12" customHeight="1" x14ac:dyDescent="0.25"/>
    <row r="192" spans="1:20" ht="12" customHeight="1" x14ac:dyDescent="0.25">
      <c r="A192" s="99" t="s">
        <v>66</v>
      </c>
      <c r="C192" s="102" t="str">
        <f>DATA!J8</f>
        <v>9E</v>
      </c>
      <c r="D192" t="s">
        <v>297</v>
      </c>
      <c r="F192" s="179">
        <f>F4</f>
        <v>1</v>
      </c>
      <c r="I192" t="s">
        <v>20</v>
      </c>
      <c r="K192" s="72">
        <v>45875</v>
      </c>
      <c r="M192" s="1" t="s">
        <v>60</v>
      </c>
      <c r="N192" s="179">
        <f>N4</f>
        <v>1</v>
      </c>
      <c r="Q192" t="s">
        <v>28</v>
      </c>
      <c r="R192" s="470">
        <f>K192+7</f>
        <v>45882</v>
      </c>
      <c r="S192" s="470"/>
    </row>
    <row r="193" spans="1:20" ht="12" customHeight="1" x14ac:dyDescent="0.25">
      <c r="A193" s="2"/>
      <c r="B193" s="2"/>
      <c r="C193" s="3" t="s">
        <v>7</v>
      </c>
      <c r="D193" s="32">
        <v>1</v>
      </c>
      <c r="E193" s="33">
        <v>2</v>
      </c>
      <c r="F193" s="33">
        <v>3</v>
      </c>
      <c r="G193" s="33">
        <v>4</v>
      </c>
      <c r="H193" s="34">
        <v>5</v>
      </c>
      <c r="I193" s="35" t="s">
        <v>3</v>
      </c>
      <c r="J193" s="4" t="s">
        <v>4</v>
      </c>
      <c r="K193" s="53" t="s">
        <v>83</v>
      </c>
      <c r="L193" s="35" t="s">
        <v>43</v>
      </c>
      <c r="M193" s="459" t="s">
        <v>9</v>
      </c>
      <c r="N193" s="460"/>
      <c r="O193" s="461"/>
      <c r="Q193" s="2"/>
      <c r="R193" s="35" t="s">
        <v>24</v>
      </c>
      <c r="S193" s="60"/>
      <c r="T193" s="61"/>
    </row>
    <row r="194" spans="1:20" ht="12" customHeight="1" x14ac:dyDescent="0.25">
      <c r="A194" s="6" t="s">
        <v>0</v>
      </c>
      <c r="B194" s="6" t="s">
        <v>1</v>
      </c>
      <c r="C194" s="5" t="s">
        <v>8</v>
      </c>
      <c r="D194" s="55">
        <f>D147</f>
        <v>30</v>
      </c>
      <c r="E194" s="55">
        <f>E147</f>
        <v>40</v>
      </c>
      <c r="F194" s="55">
        <f>F147</f>
        <v>30</v>
      </c>
      <c r="G194" s="55">
        <f>G147</f>
        <v>0</v>
      </c>
      <c r="H194" s="55">
        <f>H147</f>
        <v>0</v>
      </c>
      <c r="I194" s="21">
        <f>SUM(D194:H194)</f>
        <v>100</v>
      </c>
      <c r="J194" s="6" t="s">
        <v>5</v>
      </c>
      <c r="K194" s="52" t="s">
        <v>22</v>
      </c>
      <c r="L194" s="11" t="s">
        <v>44</v>
      </c>
      <c r="M194" s="462"/>
      <c r="N194" s="463"/>
      <c r="O194" s="464"/>
      <c r="Q194" s="6" t="s">
        <v>2</v>
      </c>
      <c r="R194" s="11" t="s">
        <v>25</v>
      </c>
      <c r="S194" s="468" t="s">
        <v>27</v>
      </c>
      <c r="T194" s="469"/>
    </row>
    <row r="195" spans="1:20" ht="12" customHeight="1" x14ac:dyDescent="0.25">
      <c r="A195" s="6"/>
      <c r="B195" s="6"/>
      <c r="C195" s="51" t="s">
        <v>2</v>
      </c>
      <c r="D195" s="36"/>
      <c r="E195" s="37"/>
      <c r="F195" s="37"/>
      <c r="G195" s="37"/>
      <c r="H195" s="38"/>
      <c r="I195" s="11"/>
      <c r="J195" s="6" t="s">
        <v>6</v>
      </c>
      <c r="K195" s="54"/>
      <c r="L195" s="59" t="s">
        <v>45</v>
      </c>
      <c r="M195" s="465"/>
      <c r="N195" s="466"/>
      <c r="O195" s="467"/>
      <c r="Q195" s="7"/>
      <c r="R195" s="59" t="s">
        <v>26</v>
      </c>
      <c r="S195" s="8"/>
      <c r="T195" s="9"/>
    </row>
    <row r="196" spans="1:20" ht="12" customHeight="1" x14ac:dyDescent="0.25">
      <c r="A196" s="20">
        <v>1</v>
      </c>
      <c r="B196" s="18"/>
      <c r="C196" s="81" t="str">
        <f>DATA!J10</f>
        <v>Adyatma Danendra Abimanyu</v>
      </c>
      <c r="D196" s="131">
        <v>100</v>
      </c>
      <c r="E196" s="40"/>
      <c r="F196" s="40"/>
      <c r="G196" s="40"/>
      <c r="H196" s="41"/>
      <c r="I196" s="180">
        <f>SUM(D196:H196)</f>
        <v>100</v>
      </c>
      <c r="J196" s="46">
        <f>I196</f>
        <v>100</v>
      </c>
      <c r="K196" s="21" t="str">
        <f>IF(J196&lt;$N$10,"tdk tuntas","tuntas")</f>
        <v>tuntas</v>
      </c>
      <c r="L196" s="209">
        <f>IF(J196&lt;=39.9,"80",IF(J196&lt;=59.9,"81",IF(J196&lt;=69.9,"82",IF(J196&lt;=74.9,"83",IF(J196&lt;=78.9,"84",IF(J196&lt;=78.9,"85",IF(J196&gt;=78.9,J196," ")))))))</f>
        <v>100</v>
      </c>
      <c r="M196" s="12"/>
      <c r="N196" s="23"/>
      <c r="O196" s="13"/>
      <c r="Q196" s="67" t="str">
        <f>C196</f>
        <v>Adyatma Danendra Abimanyu</v>
      </c>
      <c r="R196" s="21" t="str">
        <f>IF(I196&lt;$N$10,"80","")</f>
        <v/>
      </c>
      <c r="S196" s="12"/>
      <c r="T196" s="13"/>
    </row>
    <row r="197" spans="1:20" ht="12" customHeight="1" x14ac:dyDescent="0.25">
      <c r="A197" s="21">
        <v>2</v>
      </c>
      <c r="B197" s="19"/>
      <c r="C197" s="82" t="str">
        <f>DATA!J11</f>
        <v>Ainaya Aprillia Azzahra</v>
      </c>
      <c r="D197" s="248">
        <v>0</v>
      </c>
      <c r="E197" s="43"/>
      <c r="F197" s="43"/>
      <c r="G197" s="43"/>
      <c r="H197" s="44"/>
      <c r="I197" s="181">
        <f t="shared" ref="I197:I224" si="32">SUM(D197:H197)</f>
        <v>0</v>
      </c>
      <c r="J197" s="45">
        <f t="shared" ref="J197:J224" si="33">I197</f>
        <v>0</v>
      </c>
      <c r="K197" s="21" t="str">
        <f t="shared" ref="K197:K224" si="34">IF(J197&lt;$N$10,"tdk tuntas","tuntas")</f>
        <v>tdk tuntas</v>
      </c>
      <c r="L197" s="210" t="str">
        <f t="shared" ref="L197:L225" si="35">IF(J197&lt;=39.9,"80",IF(J197&lt;=59.9,"81",IF(J197&lt;=69.9,"82",IF(J197&lt;=74.9,"83",IF(J197&lt;=78.9,"84",IF(J197&lt;=78.9,"85",IF(J197&gt;=78.9,J197," ")))))))</f>
        <v>80</v>
      </c>
      <c r="M197" s="14"/>
      <c r="N197" s="24"/>
      <c r="O197" s="15"/>
      <c r="Q197" s="68" t="str">
        <f t="shared" ref="Q197:Q225" si="36">C197</f>
        <v>Ainaya Aprillia Azzahra</v>
      </c>
      <c r="R197" s="21" t="str">
        <f>IF(I197&lt;$N$10,"81","")</f>
        <v>81</v>
      </c>
      <c r="S197" s="14" t="s">
        <v>29</v>
      </c>
      <c r="T197" s="15"/>
    </row>
    <row r="198" spans="1:20" ht="12" customHeight="1" thickBot="1" x14ac:dyDescent="0.35">
      <c r="A198" s="21">
        <v>3</v>
      </c>
      <c r="B198" s="19"/>
      <c r="C198" s="82" t="str">
        <f>DATA!J12</f>
        <v>Alvicko Aprellio Jordan</v>
      </c>
      <c r="D198" s="248">
        <v>70</v>
      </c>
      <c r="E198" s="43"/>
      <c r="F198" s="43"/>
      <c r="G198" s="43"/>
      <c r="H198" s="44"/>
      <c r="I198" s="181">
        <f t="shared" si="32"/>
        <v>70</v>
      </c>
      <c r="J198" s="45">
        <f t="shared" si="33"/>
        <v>70</v>
      </c>
      <c r="K198" s="21" t="str">
        <f t="shared" si="34"/>
        <v>tdk tuntas</v>
      </c>
      <c r="L198" s="210" t="str">
        <f t="shared" si="35"/>
        <v>83</v>
      </c>
      <c r="M198" s="70" t="s">
        <v>62</v>
      </c>
      <c r="N198" s="76">
        <f>N10</f>
        <v>80</v>
      </c>
      <c r="O198" s="15"/>
      <c r="Q198" s="68" t="str">
        <f t="shared" si="36"/>
        <v>Alvicko Aprellio Jordan</v>
      </c>
      <c r="R198" s="21" t="str">
        <f>IF(I198&lt;$N$10,"81","")</f>
        <v>81</v>
      </c>
      <c r="S198" s="26"/>
      <c r="T198" s="15"/>
    </row>
    <row r="199" spans="1:20" ht="12" customHeight="1" thickTop="1" thickBot="1" x14ac:dyDescent="0.3">
      <c r="A199" s="21">
        <v>4</v>
      </c>
      <c r="B199" s="19"/>
      <c r="C199" s="82" t="str">
        <f>DATA!J13</f>
        <v>Anastain</v>
      </c>
      <c r="D199" s="248">
        <v>60</v>
      </c>
      <c r="E199" s="43"/>
      <c r="F199" s="43"/>
      <c r="G199" s="43"/>
      <c r="H199" s="44"/>
      <c r="I199" s="181">
        <f t="shared" si="32"/>
        <v>60</v>
      </c>
      <c r="J199" s="45">
        <f>I199</f>
        <v>60</v>
      </c>
      <c r="K199" s="21" t="str">
        <f t="shared" si="34"/>
        <v>tdk tuntas</v>
      </c>
      <c r="L199" s="210" t="str">
        <f t="shared" si="35"/>
        <v>82</v>
      </c>
      <c r="M199" s="14"/>
      <c r="N199" s="24"/>
      <c r="O199" s="15"/>
      <c r="Q199" s="68" t="str">
        <f t="shared" si="36"/>
        <v>Anastain</v>
      </c>
      <c r="R199" s="21" t="str">
        <f>IF(I199&lt;$N$10,"84","")</f>
        <v>84</v>
      </c>
      <c r="S199" s="62"/>
      <c r="T199" s="15" t="s">
        <v>35</v>
      </c>
    </row>
    <row r="200" spans="1:20" ht="12" customHeight="1" thickTop="1" thickBot="1" x14ac:dyDescent="0.3">
      <c r="A200" s="21">
        <v>5</v>
      </c>
      <c r="B200" s="19"/>
      <c r="C200" s="82" t="str">
        <f>DATA!J14</f>
        <v>Angginia Regina Putri</v>
      </c>
      <c r="D200" s="248">
        <v>90</v>
      </c>
      <c r="E200" s="43"/>
      <c r="F200" s="43"/>
      <c r="G200" s="43"/>
      <c r="H200" s="44"/>
      <c r="I200" s="181">
        <f t="shared" si="32"/>
        <v>90</v>
      </c>
      <c r="J200" s="45">
        <f t="shared" si="33"/>
        <v>90</v>
      </c>
      <c r="K200" s="21" t="str">
        <f t="shared" si="34"/>
        <v>tuntas</v>
      </c>
      <c r="L200" s="210">
        <f t="shared" si="35"/>
        <v>90</v>
      </c>
      <c r="M200" s="14"/>
      <c r="N200" s="24"/>
      <c r="O200" s="15"/>
      <c r="Q200" s="68" t="str">
        <f t="shared" si="36"/>
        <v>Angginia Regina Putri</v>
      </c>
      <c r="R200" s="21" t="str">
        <f>IF(I200&lt;$N$10,"87","")</f>
        <v/>
      </c>
      <c r="S200" s="62"/>
      <c r="T200" s="15" t="s">
        <v>38</v>
      </c>
    </row>
    <row r="201" spans="1:20" ht="12" customHeight="1" thickTop="1" thickBot="1" x14ac:dyDescent="0.3">
      <c r="A201" s="21">
        <v>6</v>
      </c>
      <c r="B201" s="19"/>
      <c r="C201" s="82" t="str">
        <f>DATA!J15</f>
        <v>Arfan Faqih Al Hikam</v>
      </c>
      <c r="D201" s="134">
        <v>20</v>
      </c>
      <c r="E201" s="43"/>
      <c r="F201" s="43"/>
      <c r="G201" s="43"/>
      <c r="H201" s="44"/>
      <c r="I201" s="181">
        <f t="shared" si="32"/>
        <v>20</v>
      </c>
      <c r="J201" s="45">
        <f t="shared" si="33"/>
        <v>20</v>
      </c>
      <c r="K201" s="21" t="str">
        <f t="shared" si="34"/>
        <v>tdk tuntas</v>
      </c>
      <c r="L201" s="210" t="str">
        <f t="shared" si="35"/>
        <v>80</v>
      </c>
      <c r="M201" s="14" t="s">
        <v>10</v>
      </c>
      <c r="N201" s="24"/>
      <c r="O201" s="15"/>
      <c r="Q201" s="68" t="str">
        <f t="shared" si="36"/>
        <v>Arfan Faqih Al Hikam</v>
      </c>
      <c r="R201" s="21" t="str">
        <f>IF(I201&lt;$N$10,"82","")</f>
        <v>82</v>
      </c>
      <c r="S201" s="14"/>
      <c r="T201" s="15" t="s">
        <v>39</v>
      </c>
    </row>
    <row r="202" spans="1:20" ht="12" customHeight="1" thickTop="1" thickBot="1" x14ac:dyDescent="0.35">
      <c r="A202" s="21">
        <v>7</v>
      </c>
      <c r="B202" s="19"/>
      <c r="C202" s="133" t="str">
        <f>DATA!J16</f>
        <v>Bilqis Aura Dayinta</v>
      </c>
      <c r="D202" s="248">
        <v>10</v>
      </c>
      <c r="E202" s="43"/>
      <c r="F202" s="43"/>
      <c r="G202" s="43"/>
      <c r="H202" s="44"/>
      <c r="I202" s="181">
        <f t="shared" si="32"/>
        <v>10</v>
      </c>
      <c r="J202" s="45">
        <f>I202</f>
        <v>10</v>
      </c>
      <c r="K202" s="21" t="str">
        <f>IF(J202&lt;$N$10,"tdk tuntas","tuntas")</f>
        <v>tdk tuntas</v>
      </c>
      <c r="L202" s="210" t="str">
        <f t="shared" si="35"/>
        <v>80</v>
      </c>
      <c r="M202" s="14"/>
      <c r="N202" s="24"/>
      <c r="O202" s="15"/>
      <c r="Q202" s="68" t="str">
        <f t="shared" si="36"/>
        <v>Bilqis Aura Dayinta</v>
      </c>
      <c r="R202" s="21" t="str">
        <f>IF(I202&lt;$N$10,"80","")</f>
        <v>80</v>
      </c>
      <c r="S202" s="71" t="s">
        <v>46</v>
      </c>
      <c r="T202" s="119" t="s">
        <v>36</v>
      </c>
    </row>
    <row r="203" spans="1:20" ht="12" customHeight="1" thickTop="1" x14ac:dyDescent="0.3">
      <c r="A203" s="21">
        <v>8</v>
      </c>
      <c r="B203" s="19"/>
      <c r="C203" s="82" t="str">
        <f>DATA!J17</f>
        <v>Chayril Arya Saputra</v>
      </c>
      <c r="D203" s="134">
        <v>10</v>
      </c>
      <c r="E203" s="43"/>
      <c r="F203" s="43"/>
      <c r="G203" s="43"/>
      <c r="H203" s="44"/>
      <c r="I203" s="181">
        <f t="shared" si="32"/>
        <v>10</v>
      </c>
      <c r="J203" s="45">
        <f t="shared" si="33"/>
        <v>10</v>
      </c>
      <c r="K203" s="21" t="str">
        <f t="shared" si="34"/>
        <v>tdk tuntas</v>
      </c>
      <c r="L203" s="210" t="str">
        <f t="shared" si="35"/>
        <v>80</v>
      </c>
      <c r="M203" s="77" t="s">
        <v>51</v>
      </c>
      <c r="N203" s="24"/>
      <c r="O203" s="15"/>
      <c r="Q203" s="68" t="str">
        <f t="shared" si="36"/>
        <v>Chayril Arya Saputra</v>
      </c>
      <c r="R203" s="21" t="str">
        <f>IF(I203&lt;$N$10,"84","")</f>
        <v>84</v>
      </c>
      <c r="S203" s="70"/>
      <c r="T203" s="119" t="s">
        <v>37</v>
      </c>
    </row>
    <row r="204" spans="1:20" ht="12" customHeight="1" x14ac:dyDescent="0.25">
      <c r="A204" s="21">
        <v>9</v>
      </c>
      <c r="B204" s="19"/>
      <c r="C204" s="82" t="str">
        <f>DATA!J18</f>
        <v>Dinda Cahya Kirana</v>
      </c>
      <c r="D204" s="134">
        <v>90</v>
      </c>
      <c r="E204" s="43"/>
      <c r="F204" s="43"/>
      <c r="G204" s="43"/>
      <c r="H204" s="44"/>
      <c r="I204" s="181">
        <f t="shared" si="32"/>
        <v>90</v>
      </c>
      <c r="J204" s="45">
        <f t="shared" si="33"/>
        <v>90</v>
      </c>
      <c r="K204" s="21" t="str">
        <f t="shared" si="34"/>
        <v>tuntas</v>
      </c>
      <c r="L204" s="210">
        <f t="shared" si="35"/>
        <v>90</v>
      </c>
      <c r="N204" s="24"/>
      <c r="O204" s="15"/>
      <c r="Q204" s="68" t="str">
        <f t="shared" si="36"/>
        <v>Dinda Cahya Kirana</v>
      </c>
      <c r="R204" s="21" t="str">
        <f>IF(I204&lt;$N$10,"88","")</f>
        <v/>
      </c>
      <c r="S204" s="14"/>
      <c r="T204" s="15"/>
    </row>
    <row r="205" spans="1:20" ht="12" customHeight="1" x14ac:dyDescent="0.25">
      <c r="A205" s="21">
        <v>10</v>
      </c>
      <c r="B205" s="19"/>
      <c r="C205" s="82" t="str">
        <f>DATA!J19</f>
        <v>Farhan Safiy Devangga</v>
      </c>
      <c r="D205" s="248">
        <v>60</v>
      </c>
      <c r="E205" s="43"/>
      <c r="F205" s="43"/>
      <c r="G205" s="43"/>
      <c r="H205" s="44"/>
      <c r="I205" s="181">
        <f t="shared" si="32"/>
        <v>60</v>
      </c>
      <c r="J205" s="45">
        <f t="shared" si="33"/>
        <v>60</v>
      </c>
      <c r="K205" s="21" t="str">
        <f t="shared" si="34"/>
        <v>tdk tuntas</v>
      </c>
      <c r="L205" s="210" t="str">
        <f t="shared" si="35"/>
        <v>82</v>
      </c>
      <c r="M205" s="14"/>
      <c r="N205" s="24"/>
      <c r="O205" s="15"/>
      <c r="Q205" s="68" t="str">
        <f t="shared" si="36"/>
        <v>Farhan Safiy Devangga</v>
      </c>
      <c r="R205" s="21" t="str">
        <f t="shared" ref="R205:R210" si="37">IF(I205&lt;$N$10,"85","")</f>
        <v>85</v>
      </c>
      <c r="S205" s="14" t="s">
        <v>30</v>
      </c>
      <c r="T205" s="15"/>
    </row>
    <row r="206" spans="1:20" ht="12" customHeight="1" thickBot="1" x14ac:dyDescent="0.3">
      <c r="A206" s="21">
        <v>11</v>
      </c>
      <c r="B206" s="19"/>
      <c r="C206" s="82" t="str">
        <f>DATA!J20</f>
        <v>Herlin Eka Noviana</v>
      </c>
      <c r="D206" s="248">
        <v>100</v>
      </c>
      <c r="E206" s="43"/>
      <c r="F206" s="43"/>
      <c r="G206" s="43"/>
      <c r="H206" s="44"/>
      <c r="I206" s="181">
        <f t="shared" si="32"/>
        <v>100</v>
      </c>
      <c r="J206" s="45">
        <f t="shared" si="33"/>
        <v>100</v>
      </c>
      <c r="K206" s="21" t="str">
        <f t="shared" si="34"/>
        <v>tuntas</v>
      </c>
      <c r="L206" s="210">
        <f t="shared" si="35"/>
        <v>100</v>
      </c>
      <c r="M206" s="14"/>
      <c r="N206" s="24"/>
      <c r="O206" s="15"/>
      <c r="Q206" s="68" t="str">
        <f t="shared" si="36"/>
        <v>Herlin Eka Noviana</v>
      </c>
      <c r="R206" s="21" t="str">
        <f t="shared" si="37"/>
        <v/>
      </c>
      <c r="T206" s="15"/>
    </row>
    <row r="207" spans="1:20" ht="12" customHeight="1" thickTop="1" thickBot="1" x14ac:dyDescent="0.35">
      <c r="A207" s="21">
        <v>12</v>
      </c>
      <c r="B207" s="19"/>
      <c r="C207" s="82" t="str">
        <f>DATA!J21</f>
        <v>Irfan Al Khafidz</v>
      </c>
      <c r="D207" s="248">
        <v>80</v>
      </c>
      <c r="E207" s="43"/>
      <c r="F207" s="43"/>
      <c r="G207" s="43"/>
      <c r="H207" s="44"/>
      <c r="I207" s="181">
        <f t="shared" si="32"/>
        <v>80</v>
      </c>
      <c r="J207" s="45">
        <f t="shared" si="33"/>
        <v>80</v>
      </c>
      <c r="K207" s="21" t="str">
        <f t="shared" si="34"/>
        <v>tuntas</v>
      </c>
      <c r="L207" s="210">
        <f t="shared" si="35"/>
        <v>80</v>
      </c>
      <c r="M207" s="14" t="s">
        <v>11</v>
      </c>
      <c r="N207" s="58">
        <f>K234</f>
        <v>30</v>
      </c>
      <c r="O207" s="15"/>
      <c r="Q207" s="68" t="str">
        <f t="shared" si="36"/>
        <v>Irfan Al Khafidz</v>
      </c>
      <c r="R207" s="21" t="str">
        <f t="shared" si="37"/>
        <v/>
      </c>
      <c r="S207" s="71" t="s">
        <v>46</v>
      </c>
      <c r="T207" s="119" t="s">
        <v>31</v>
      </c>
    </row>
    <row r="208" spans="1:20" ht="12" customHeight="1" thickTop="1" thickBot="1" x14ac:dyDescent="0.35">
      <c r="A208" s="21">
        <v>13</v>
      </c>
      <c r="B208" s="19"/>
      <c r="C208" s="82" t="str">
        <f>DATA!J22</f>
        <v>Mafaza Ayatussyifa</v>
      </c>
      <c r="D208" s="248">
        <v>60</v>
      </c>
      <c r="E208" s="43"/>
      <c r="F208" s="43"/>
      <c r="G208" s="43"/>
      <c r="H208" s="44"/>
      <c r="I208" s="181">
        <f t="shared" si="32"/>
        <v>60</v>
      </c>
      <c r="J208" s="45">
        <f t="shared" si="33"/>
        <v>60</v>
      </c>
      <c r="K208" s="21" t="str">
        <f t="shared" si="34"/>
        <v>tdk tuntas</v>
      </c>
      <c r="L208" s="210" t="str">
        <f t="shared" si="35"/>
        <v>82</v>
      </c>
      <c r="M208" s="14" t="s">
        <v>12</v>
      </c>
      <c r="N208" s="58">
        <f>K232</f>
        <v>7</v>
      </c>
      <c r="O208" s="15"/>
      <c r="Q208" s="68" t="str">
        <f t="shared" si="36"/>
        <v>Mafaza Ayatussyifa</v>
      </c>
      <c r="R208" s="21" t="str">
        <f t="shared" si="37"/>
        <v>85</v>
      </c>
      <c r="S208" s="70"/>
      <c r="T208" s="119" t="s">
        <v>32</v>
      </c>
    </row>
    <row r="209" spans="1:20" ht="12" customHeight="1" thickTop="1" thickBot="1" x14ac:dyDescent="0.35">
      <c r="A209" s="21">
        <v>14</v>
      </c>
      <c r="B209" s="19"/>
      <c r="C209" s="82" t="str">
        <f>DATA!J23</f>
        <v>Mirzanatun Kuni Afifah</v>
      </c>
      <c r="D209" s="134">
        <v>20</v>
      </c>
      <c r="E209" s="43"/>
      <c r="F209" s="43"/>
      <c r="G209" s="43"/>
      <c r="H209" s="44"/>
      <c r="I209" s="181">
        <f t="shared" si="32"/>
        <v>20</v>
      </c>
      <c r="J209" s="45">
        <f t="shared" si="33"/>
        <v>20</v>
      </c>
      <c r="K209" s="21" t="str">
        <f t="shared" si="34"/>
        <v>tdk tuntas</v>
      </c>
      <c r="L209" s="210" t="str">
        <f t="shared" si="35"/>
        <v>80</v>
      </c>
      <c r="M209" s="14" t="s">
        <v>13</v>
      </c>
      <c r="N209" s="58">
        <f>N208/N207*100</f>
        <v>23.333333333333332</v>
      </c>
      <c r="O209" s="15" t="s">
        <v>4</v>
      </c>
      <c r="Q209" s="68" t="str">
        <f t="shared" si="36"/>
        <v>Mirzanatun Kuni Afifah</v>
      </c>
      <c r="R209" s="21" t="str">
        <f t="shared" si="37"/>
        <v>85</v>
      </c>
      <c r="S209" s="62"/>
      <c r="T209" s="15" t="s">
        <v>33</v>
      </c>
    </row>
    <row r="210" spans="1:20" ht="12" customHeight="1" thickTop="1" x14ac:dyDescent="0.25">
      <c r="A210" s="21">
        <v>15</v>
      </c>
      <c r="B210" s="19"/>
      <c r="C210" s="82" t="str">
        <f>DATA!J24</f>
        <v>Muhammad Adil Chizqi Azwan</v>
      </c>
      <c r="D210" s="134">
        <v>0</v>
      </c>
      <c r="E210" s="43"/>
      <c r="F210" s="43"/>
      <c r="G210" s="43"/>
      <c r="H210" s="44"/>
      <c r="I210" s="181">
        <f t="shared" si="32"/>
        <v>0</v>
      </c>
      <c r="J210" s="45">
        <f t="shared" si="33"/>
        <v>0</v>
      </c>
      <c r="K210" s="21" t="str">
        <f t="shared" si="34"/>
        <v>tdk tuntas</v>
      </c>
      <c r="L210" s="210" t="str">
        <f t="shared" si="35"/>
        <v>80</v>
      </c>
      <c r="M210" s="14"/>
      <c r="N210" s="24"/>
      <c r="O210" s="15"/>
      <c r="Q210" s="68" t="str">
        <f t="shared" si="36"/>
        <v>Muhammad Adil Chizqi Azwan</v>
      </c>
      <c r="R210" s="21" t="str">
        <f t="shared" si="37"/>
        <v>85</v>
      </c>
      <c r="S210" s="14"/>
      <c r="T210" s="15" t="s">
        <v>34</v>
      </c>
    </row>
    <row r="211" spans="1:20" ht="12" customHeight="1" x14ac:dyDescent="0.25">
      <c r="A211" s="21">
        <v>16</v>
      </c>
      <c r="B211" s="19"/>
      <c r="C211" s="82" t="str">
        <f>DATA!J25</f>
        <v>Muhammad Alif Aditya Hartafi</v>
      </c>
      <c r="D211" s="248">
        <v>30</v>
      </c>
      <c r="E211" s="43"/>
      <c r="F211" s="43"/>
      <c r="G211" s="43"/>
      <c r="H211" s="44"/>
      <c r="I211" s="181">
        <f t="shared" si="32"/>
        <v>30</v>
      </c>
      <c r="J211" s="45">
        <f t="shared" si="33"/>
        <v>30</v>
      </c>
      <c r="K211" s="21" t="str">
        <f t="shared" si="34"/>
        <v>tdk tuntas</v>
      </c>
      <c r="L211" s="210" t="str">
        <f t="shared" si="35"/>
        <v>80</v>
      </c>
      <c r="M211" s="14" t="s">
        <v>52</v>
      </c>
      <c r="N211" s="24"/>
      <c r="O211" s="15"/>
      <c r="Q211" s="68" t="str">
        <f t="shared" si="36"/>
        <v>Muhammad Alif Aditya Hartafi</v>
      </c>
      <c r="R211" s="21" t="str">
        <f>IF(I211&lt;$N$10,"84","")</f>
        <v>84</v>
      </c>
      <c r="S211" s="14"/>
      <c r="T211" s="15"/>
    </row>
    <row r="212" spans="1:20" ht="12" customHeight="1" x14ac:dyDescent="0.25">
      <c r="A212" s="21">
        <v>17</v>
      </c>
      <c r="B212" s="19"/>
      <c r="C212" s="82" t="str">
        <f>DATA!J26</f>
        <v>Muhammad Azid Syaifurridho</v>
      </c>
      <c r="D212" s="134">
        <v>10</v>
      </c>
      <c r="E212" s="43"/>
      <c r="F212" s="43"/>
      <c r="G212" s="43"/>
      <c r="H212" s="44"/>
      <c r="I212" s="181">
        <f t="shared" si="32"/>
        <v>10</v>
      </c>
      <c r="J212" s="45">
        <f t="shared" si="33"/>
        <v>10</v>
      </c>
      <c r="K212" s="21" t="str">
        <f t="shared" si="34"/>
        <v>tdk tuntas</v>
      </c>
      <c r="L212" s="210" t="str">
        <f t="shared" si="35"/>
        <v>80</v>
      </c>
      <c r="N212" s="24"/>
      <c r="O212" s="15"/>
      <c r="Q212" s="68" t="str">
        <f t="shared" si="36"/>
        <v>Muhammad Azid Syaifurridho</v>
      </c>
      <c r="R212" s="21" t="str">
        <f t="shared" ref="R212:R218" si="38">IF(I212&lt;$N$10,"82","")</f>
        <v>82</v>
      </c>
      <c r="S212" s="14"/>
      <c r="T212" s="63" t="s">
        <v>41</v>
      </c>
    </row>
    <row r="213" spans="1:20" ht="12" customHeight="1" x14ac:dyDescent="0.25">
      <c r="A213" s="21">
        <v>18</v>
      </c>
      <c r="B213" s="19"/>
      <c r="C213" s="82" t="str">
        <f>DATA!J27</f>
        <v>Muhammad Hayqal Al Farizzi</v>
      </c>
      <c r="D213" s="134">
        <v>70</v>
      </c>
      <c r="E213" s="43"/>
      <c r="F213" s="43"/>
      <c r="G213" s="43"/>
      <c r="H213" s="44"/>
      <c r="I213" s="181">
        <f t="shared" si="32"/>
        <v>70</v>
      </c>
      <c r="J213" s="45">
        <f t="shared" si="33"/>
        <v>70</v>
      </c>
      <c r="K213" s="21" t="str">
        <f t="shared" si="34"/>
        <v>tdk tuntas</v>
      </c>
      <c r="L213" s="210" t="str">
        <f t="shared" si="35"/>
        <v>83</v>
      </c>
      <c r="M213" s="14"/>
      <c r="N213" s="24"/>
      <c r="O213" s="15"/>
      <c r="Q213" s="68" t="str">
        <f t="shared" si="36"/>
        <v>Muhammad Hayqal Al Farizzi</v>
      </c>
      <c r="R213" s="21" t="str">
        <f t="shared" si="38"/>
        <v>82</v>
      </c>
      <c r="S213" s="14"/>
      <c r="T213" s="63"/>
    </row>
    <row r="214" spans="1:20" ht="12" customHeight="1" x14ac:dyDescent="0.25">
      <c r="A214" s="21">
        <v>19</v>
      </c>
      <c r="B214" s="19"/>
      <c r="C214" s="82" t="str">
        <f>DATA!J28</f>
        <v>Muhammad Shobar Shodiq</v>
      </c>
      <c r="D214" s="248">
        <v>30</v>
      </c>
      <c r="E214" s="43"/>
      <c r="F214" s="43"/>
      <c r="G214" s="43"/>
      <c r="H214" s="44"/>
      <c r="I214" s="181">
        <f t="shared" si="32"/>
        <v>30</v>
      </c>
      <c r="J214" s="45">
        <f t="shared" si="33"/>
        <v>30</v>
      </c>
      <c r="K214" s="21" t="str">
        <f t="shared" si="34"/>
        <v>tdk tuntas</v>
      </c>
      <c r="L214" s="210" t="str">
        <f t="shared" si="35"/>
        <v>80</v>
      </c>
      <c r="M214" s="14"/>
      <c r="N214" s="24"/>
      <c r="O214" s="15"/>
      <c r="Q214" s="68" t="str">
        <f t="shared" si="36"/>
        <v>Muhammad Shobar Shodiq</v>
      </c>
      <c r="R214" s="21" t="str">
        <f t="shared" si="38"/>
        <v>82</v>
      </c>
      <c r="S214" s="14"/>
      <c r="T214" s="63"/>
    </row>
    <row r="215" spans="1:20" ht="12" customHeight="1" x14ac:dyDescent="0.25">
      <c r="A215" s="21">
        <v>20</v>
      </c>
      <c r="B215" s="19"/>
      <c r="C215" s="82" t="str">
        <f>DATA!J29</f>
        <v>Nabila Putri Noor Maulidhanti</v>
      </c>
      <c r="D215" s="134">
        <v>20</v>
      </c>
      <c r="E215" s="43"/>
      <c r="F215" s="43"/>
      <c r="G215" s="43"/>
      <c r="H215" s="44"/>
      <c r="I215" s="181">
        <f>SUM(D215:H215)</f>
        <v>20</v>
      </c>
      <c r="J215" s="45">
        <f>I215</f>
        <v>20</v>
      </c>
      <c r="K215" s="21" t="str">
        <f>IF(J215&lt;$N$10,"tdk tuntas","tuntas")</f>
        <v>tdk tuntas</v>
      </c>
      <c r="L215" s="210" t="str">
        <f t="shared" si="35"/>
        <v>80</v>
      </c>
      <c r="M215" s="14" t="s">
        <v>53</v>
      </c>
      <c r="N215" s="78">
        <f>I232</f>
        <v>1290</v>
      </c>
      <c r="O215" s="15"/>
      <c r="Q215" s="68" t="str">
        <f t="shared" si="36"/>
        <v>Nabila Putri Noor Maulidhanti</v>
      </c>
      <c r="R215" s="21" t="str">
        <f t="shared" si="38"/>
        <v>82</v>
      </c>
      <c r="S215" s="14"/>
      <c r="T215" s="63"/>
    </row>
    <row r="216" spans="1:20" ht="12" customHeight="1" x14ac:dyDescent="0.25">
      <c r="A216" s="21">
        <v>21</v>
      </c>
      <c r="B216" s="19"/>
      <c r="C216" s="82" t="str">
        <f>DATA!J30</f>
        <v>Naila Faizatis Syifa</v>
      </c>
      <c r="D216" s="248"/>
      <c r="E216" s="43"/>
      <c r="F216" s="43"/>
      <c r="G216" s="43"/>
      <c r="H216" s="44"/>
      <c r="I216" s="181">
        <f t="shared" si="32"/>
        <v>0</v>
      </c>
      <c r="J216" s="45">
        <f t="shared" si="33"/>
        <v>0</v>
      </c>
      <c r="K216" s="21" t="str">
        <f t="shared" si="34"/>
        <v>tdk tuntas</v>
      </c>
      <c r="L216" s="210" t="str">
        <f t="shared" si="35"/>
        <v>80</v>
      </c>
      <c r="M216" s="14" t="s">
        <v>54</v>
      </c>
      <c r="N216" s="78">
        <f>I233</f>
        <v>3000</v>
      </c>
      <c r="O216" s="15"/>
      <c r="Q216" s="68" t="str">
        <f t="shared" si="36"/>
        <v>Naila Faizatis Syifa</v>
      </c>
      <c r="R216" s="21" t="str">
        <f t="shared" si="38"/>
        <v>82</v>
      </c>
      <c r="S216" s="14"/>
      <c r="T216" s="63" t="str">
        <f>T28</f>
        <v>KASMIN, S.Pd</v>
      </c>
    </row>
    <row r="217" spans="1:20" ht="12" customHeight="1" x14ac:dyDescent="0.25">
      <c r="A217" s="21">
        <v>22</v>
      </c>
      <c r="B217" s="19"/>
      <c r="C217" s="82" t="str">
        <f>DATA!J31</f>
        <v>Nur Hijrah Maudhina</v>
      </c>
      <c r="D217" s="248">
        <v>0</v>
      </c>
      <c r="E217" s="43"/>
      <c r="F217" s="43"/>
      <c r="G217" s="43"/>
      <c r="H217" s="44"/>
      <c r="I217" s="181">
        <f t="shared" si="32"/>
        <v>0</v>
      </c>
      <c r="J217" s="45">
        <f t="shared" si="33"/>
        <v>0</v>
      </c>
      <c r="K217" s="21" t="str">
        <f t="shared" si="34"/>
        <v>tdk tuntas</v>
      </c>
      <c r="L217" s="210" t="str">
        <f t="shared" si="35"/>
        <v>80</v>
      </c>
      <c r="M217" s="14" t="s">
        <v>13</v>
      </c>
      <c r="N217" s="84">
        <f>N215/N216*100</f>
        <v>43</v>
      </c>
      <c r="O217" s="79" t="s">
        <v>4</v>
      </c>
      <c r="Q217" s="68" t="str">
        <f t="shared" si="36"/>
        <v>Nur Hijrah Maudhina</v>
      </c>
      <c r="R217" s="21" t="str">
        <f t="shared" si="38"/>
        <v>82</v>
      </c>
      <c r="S217" s="14"/>
      <c r="T217" s="83" t="str">
        <f>T29</f>
        <v>NIP : 196609141990031007</v>
      </c>
    </row>
    <row r="218" spans="1:20" ht="12" customHeight="1" x14ac:dyDescent="0.25">
      <c r="A218" s="21">
        <v>23</v>
      </c>
      <c r="B218" s="19"/>
      <c r="C218" s="82" t="str">
        <f>DATA!J32</f>
        <v>Ozil Azzariat</v>
      </c>
      <c r="D218" s="248">
        <v>30</v>
      </c>
      <c r="E218" s="43"/>
      <c r="F218" s="43"/>
      <c r="G218" s="43"/>
      <c r="H218" s="44"/>
      <c r="I218" s="181">
        <f t="shared" si="32"/>
        <v>30</v>
      </c>
      <c r="J218" s="45">
        <f t="shared" si="33"/>
        <v>30</v>
      </c>
      <c r="K218" s="21" t="str">
        <f t="shared" si="34"/>
        <v>tdk tuntas</v>
      </c>
      <c r="L218" s="210" t="str">
        <f t="shared" si="35"/>
        <v>80</v>
      </c>
      <c r="M218" s="14"/>
      <c r="N218" s="24"/>
      <c r="O218" s="15"/>
      <c r="Q218" s="68" t="str">
        <f t="shared" si="36"/>
        <v>Ozil Azzariat</v>
      </c>
      <c r="R218" s="21" t="str">
        <f t="shared" si="38"/>
        <v>82</v>
      </c>
      <c r="S218" s="14"/>
      <c r="T218" s="15"/>
    </row>
    <row r="219" spans="1:20" ht="12" customHeight="1" x14ac:dyDescent="0.25">
      <c r="A219" s="21">
        <v>24</v>
      </c>
      <c r="B219" s="19"/>
      <c r="C219" s="82" t="str">
        <f>DATA!J33</f>
        <v>Pranata Diaz Saputra</v>
      </c>
      <c r="D219" s="248">
        <v>30</v>
      </c>
      <c r="E219" s="43"/>
      <c r="F219" s="43"/>
      <c r="G219" s="43"/>
      <c r="H219" s="44"/>
      <c r="I219" s="181">
        <f t="shared" si="32"/>
        <v>30</v>
      </c>
      <c r="J219" s="45">
        <f t="shared" si="33"/>
        <v>30</v>
      </c>
      <c r="K219" s="21" t="str">
        <f t="shared" si="34"/>
        <v>tdk tuntas</v>
      </c>
      <c r="L219" s="210" t="str">
        <f t="shared" si="35"/>
        <v>80</v>
      </c>
      <c r="M219" s="14"/>
      <c r="N219" s="24"/>
      <c r="O219" s="15"/>
      <c r="Q219" s="68" t="str">
        <f t="shared" si="36"/>
        <v>Pranata Diaz Saputra</v>
      </c>
      <c r="R219" s="21" t="str">
        <f>IF(I219&lt;$N$10,"85","")</f>
        <v>85</v>
      </c>
      <c r="S219" s="14"/>
      <c r="T219" s="63" t="s">
        <v>42</v>
      </c>
    </row>
    <row r="220" spans="1:20" ht="12" customHeight="1" x14ac:dyDescent="0.25">
      <c r="A220" s="21">
        <v>25</v>
      </c>
      <c r="B220" s="19"/>
      <c r="C220" s="82" t="str">
        <f>DATA!J34</f>
        <v>Rafki Bais Abimanyu</v>
      </c>
      <c r="D220" s="248">
        <v>30</v>
      </c>
      <c r="E220" s="43"/>
      <c r="F220" s="43"/>
      <c r="G220" s="43"/>
      <c r="H220" s="44"/>
      <c r="I220" s="181">
        <f t="shared" si="32"/>
        <v>30</v>
      </c>
      <c r="J220" s="45">
        <f t="shared" si="33"/>
        <v>30</v>
      </c>
      <c r="K220" s="21" t="str">
        <f t="shared" si="34"/>
        <v>tdk tuntas</v>
      </c>
      <c r="L220" s="210" t="str">
        <f t="shared" si="35"/>
        <v>80</v>
      </c>
      <c r="M220" s="14" t="s">
        <v>14</v>
      </c>
      <c r="N220" s="24"/>
      <c r="O220" s="15"/>
      <c r="Q220" s="68" t="str">
        <f t="shared" si="36"/>
        <v>Rafki Bais Abimanyu</v>
      </c>
      <c r="R220" s="21" t="str">
        <f>IF(I220&lt;$N$10,"81","")</f>
        <v>81</v>
      </c>
      <c r="S220" s="14"/>
      <c r="T220" s="63"/>
    </row>
    <row r="221" spans="1:20" ht="12" customHeight="1" x14ac:dyDescent="0.25">
      <c r="A221" s="21">
        <v>26</v>
      </c>
      <c r="B221" s="19"/>
      <c r="C221" s="82" t="str">
        <f>DATA!J35</f>
        <v>Risma Liana Gita Pratiwi</v>
      </c>
      <c r="D221" s="248">
        <v>100</v>
      </c>
      <c r="E221" s="43"/>
      <c r="F221" s="43"/>
      <c r="G221" s="43"/>
      <c r="H221" s="44"/>
      <c r="I221" s="181">
        <f t="shared" si="32"/>
        <v>100</v>
      </c>
      <c r="J221" s="45">
        <f t="shared" si="33"/>
        <v>100</v>
      </c>
      <c r="K221" s="21" t="str">
        <f t="shared" si="34"/>
        <v>tuntas</v>
      </c>
      <c r="L221" s="210">
        <f t="shared" si="35"/>
        <v>100</v>
      </c>
      <c r="M221" s="14" t="s">
        <v>15</v>
      </c>
      <c r="N221" s="24"/>
      <c r="O221" s="15"/>
      <c r="Q221" s="68" t="str">
        <f t="shared" si="36"/>
        <v>Risma Liana Gita Pratiwi</v>
      </c>
      <c r="R221" s="21" t="str">
        <f>IF(I221&lt;$N$10,"82","")</f>
        <v/>
      </c>
      <c r="S221" s="14"/>
      <c r="T221" s="63"/>
    </row>
    <row r="222" spans="1:20" ht="12" customHeight="1" x14ac:dyDescent="0.3">
      <c r="A222" s="21">
        <v>27</v>
      </c>
      <c r="B222" s="19"/>
      <c r="C222" s="82" t="str">
        <f>DATA!J36</f>
        <v>Rizky Bagoes Sasongko</v>
      </c>
      <c r="D222" s="248">
        <v>90</v>
      </c>
      <c r="E222" s="43"/>
      <c r="F222" s="43"/>
      <c r="G222" s="43"/>
      <c r="H222" s="44"/>
      <c r="I222" s="181">
        <f t="shared" si="32"/>
        <v>90</v>
      </c>
      <c r="J222" s="45">
        <f t="shared" si="33"/>
        <v>90</v>
      </c>
      <c r="K222" s="21" t="str">
        <f t="shared" si="34"/>
        <v>tuntas</v>
      </c>
      <c r="L222" s="210">
        <f t="shared" si="35"/>
        <v>90</v>
      </c>
      <c r="M222" s="155" t="s">
        <v>80</v>
      </c>
      <c r="N222" s="24"/>
      <c r="O222" s="15"/>
      <c r="Q222" s="68" t="str">
        <f t="shared" si="36"/>
        <v>Rizky Bagoes Sasongko</v>
      </c>
      <c r="R222" s="21" t="str">
        <f>IF(I222&lt;$N$10,"82","")</f>
        <v/>
      </c>
      <c r="S222" s="14"/>
      <c r="T222" s="63"/>
    </row>
    <row r="223" spans="1:20" ht="12" customHeight="1" x14ac:dyDescent="0.25">
      <c r="A223" s="21">
        <v>28</v>
      </c>
      <c r="B223" s="19"/>
      <c r="C223" s="82" t="str">
        <f>DATA!J37</f>
        <v>Thalita Nava Ailsanti</v>
      </c>
      <c r="D223" s="134">
        <v>10</v>
      </c>
      <c r="E223" s="43"/>
      <c r="F223" s="43"/>
      <c r="G223" s="43"/>
      <c r="H223" s="44"/>
      <c r="I223" s="181">
        <f t="shared" si="32"/>
        <v>10</v>
      </c>
      <c r="J223" s="45">
        <f t="shared" si="33"/>
        <v>10</v>
      </c>
      <c r="K223" s="21" t="str">
        <f t="shared" si="34"/>
        <v>tdk tuntas</v>
      </c>
      <c r="L223" s="210" t="str">
        <f t="shared" si="35"/>
        <v>80</v>
      </c>
      <c r="M223" s="14"/>
      <c r="N223" s="24"/>
      <c r="O223" s="15"/>
      <c r="Q223" s="68" t="str">
        <f t="shared" si="36"/>
        <v>Thalita Nava Ailsanti</v>
      </c>
      <c r="R223" s="21" t="str">
        <f>IF(I223&lt;$N$10,"81","")</f>
        <v>81</v>
      </c>
      <c r="S223" s="14"/>
      <c r="T223" s="63"/>
    </row>
    <row r="224" spans="1:20" ht="12" customHeight="1" x14ac:dyDescent="0.25">
      <c r="A224" s="21">
        <v>29</v>
      </c>
      <c r="B224" s="19"/>
      <c r="C224" s="82" t="str">
        <f>DATA!J38</f>
        <v>Wahid Sulistiyo</v>
      </c>
      <c r="D224" s="134">
        <v>70</v>
      </c>
      <c r="E224" s="43"/>
      <c r="F224" s="43"/>
      <c r="G224" s="43"/>
      <c r="H224" s="44"/>
      <c r="I224" s="181">
        <f t="shared" si="32"/>
        <v>70</v>
      </c>
      <c r="J224" s="45">
        <f t="shared" si="33"/>
        <v>70</v>
      </c>
      <c r="K224" s="21" t="str">
        <f t="shared" si="34"/>
        <v>tdk tuntas</v>
      </c>
      <c r="L224" s="210" t="str">
        <f t="shared" si="35"/>
        <v>83</v>
      </c>
      <c r="M224" s="14"/>
      <c r="N224" s="24"/>
      <c r="O224" s="15"/>
      <c r="Q224" s="68" t="str">
        <f t="shared" si="36"/>
        <v>Wahid Sulistiyo</v>
      </c>
      <c r="R224" s="21" t="str">
        <f>IF(I224&lt;$N$10,"85","")</f>
        <v>85</v>
      </c>
      <c r="S224" s="14"/>
      <c r="T224" s="63"/>
    </row>
    <row r="225" spans="1:20" ht="12" customHeight="1" x14ac:dyDescent="0.25">
      <c r="A225" s="21">
        <v>30</v>
      </c>
      <c r="B225" s="19"/>
      <c r="C225" s="82" t="str">
        <f>DATA!J39</f>
        <v>Yanuar Putra Akbar</v>
      </c>
      <c r="D225" s="248">
        <v>0</v>
      </c>
      <c r="E225" s="43"/>
      <c r="F225" s="43"/>
      <c r="G225" s="43"/>
      <c r="H225" s="44"/>
      <c r="I225" s="181">
        <f>SUM(D225:H225)</f>
        <v>0</v>
      </c>
      <c r="J225" s="45">
        <f>I225</f>
        <v>0</v>
      </c>
      <c r="K225" s="21" t="str">
        <f>IF(J225&lt;$N$10,"tdk tuntas","tuntas")</f>
        <v>tdk tuntas</v>
      </c>
      <c r="L225" s="210" t="str">
        <f t="shared" si="35"/>
        <v>80</v>
      </c>
      <c r="M225" s="14"/>
      <c r="N225" s="24"/>
      <c r="O225" s="15"/>
      <c r="Q225" s="68" t="str">
        <f t="shared" si="36"/>
        <v>Yanuar Putra Akbar</v>
      </c>
      <c r="R225" s="21" t="str">
        <f>IF(I225&lt;$N$10,"84","")</f>
        <v>84</v>
      </c>
      <c r="S225" s="14"/>
      <c r="T225" s="63" t="str">
        <f>T37</f>
        <v>Dra. BAROKAH GUNIARTI</v>
      </c>
    </row>
    <row r="226" spans="1:20" ht="12" customHeight="1" x14ac:dyDescent="0.25">
      <c r="A226" s="21">
        <v>31</v>
      </c>
      <c r="B226" s="19"/>
      <c r="C226" s="82"/>
      <c r="D226" s="134"/>
      <c r="E226" s="43"/>
      <c r="F226" s="43"/>
      <c r="G226" s="43"/>
      <c r="H226" s="44"/>
      <c r="I226" s="181"/>
      <c r="J226" s="45"/>
      <c r="K226" s="21"/>
      <c r="L226" s="210"/>
      <c r="M226" s="14" t="s">
        <v>56</v>
      </c>
      <c r="N226" s="24"/>
      <c r="O226" s="15"/>
      <c r="Q226" s="68">
        <f>C226</f>
        <v>0</v>
      </c>
      <c r="R226" s="21" t="str">
        <f>IF(I226&lt;$N$10,"84","")</f>
        <v>84</v>
      </c>
      <c r="S226" s="14"/>
      <c r="T226" s="103" t="str">
        <f>T38</f>
        <v>NIP : 196901081996122004</v>
      </c>
    </row>
    <row r="227" spans="1:20" ht="12" customHeight="1" x14ac:dyDescent="0.25">
      <c r="A227" s="21">
        <v>32</v>
      </c>
      <c r="B227" s="19"/>
      <c r="C227" s="82"/>
      <c r="D227" s="248"/>
      <c r="E227" s="43"/>
      <c r="F227" s="43"/>
      <c r="G227" s="43"/>
      <c r="H227" s="44"/>
      <c r="I227" s="181"/>
      <c r="J227" s="45"/>
      <c r="K227" s="21"/>
      <c r="L227" s="210"/>
      <c r="M227" s="14"/>
      <c r="N227" s="24"/>
      <c r="O227" s="15"/>
      <c r="Q227" s="68">
        <f>C227</f>
        <v>0</v>
      </c>
      <c r="R227" s="21"/>
      <c r="S227" s="14"/>
      <c r="T227" s="15"/>
    </row>
    <row r="228" spans="1:20" ht="12" customHeight="1" x14ac:dyDescent="0.25">
      <c r="A228" s="21">
        <v>33</v>
      </c>
      <c r="B228" s="19"/>
      <c r="C228" s="82"/>
      <c r="D228" s="42" t="s">
        <v>63</v>
      </c>
      <c r="E228" s="43"/>
      <c r="F228" s="43"/>
      <c r="G228" s="43"/>
      <c r="H228" s="44"/>
      <c r="I228" s="21"/>
      <c r="J228" s="45"/>
      <c r="K228" s="21"/>
      <c r="L228" s="210"/>
      <c r="M228" s="14" t="s">
        <v>16</v>
      </c>
      <c r="N228" s="24"/>
      <c r="O228" s="15"/>
      <c r="Q228" s="68">
        <f>C228</f>
        <v>0</v>
      </c>
      <c r="R228" s="21"/>
      <c r="S228" s="14"/>
      <c r="T228" s="15"/>
    </row>
    <row r="229" spans="1:20" ht="12" customHeight="1" x14ac:dyDescent="0.25">
      <c r="A229" s="21">
        <v>34</v>
      </c>
      <c r="B229" s="19"/>
      <c r="C229" s="82"/>
      <c r="D229" s="42" t="s">
        <v>63</v>
      </c>
      <c r="E229" s="43"/>
      <c r="F229" s="43"/>
      <c r="G229" s="43"/>
      <c r="H229" s="44"/>
      <c r="I229" s="21"/>
      <c r="J229" s="45"/>
      <c r="K229" s="21"/>
      <c r="L229" s="210"/>
      <c r="M229" s="14" t="s">
        <v>82</v>
      </c>
      <c r="N229" s="24">
        <f>N198</f>
        <v>80</v>
      </c>
      <c r="O229" s="15"/>
      <c r="Q229" s="68"/>
      <c r="R229" s="21"/>
      <c r="S229" s="14"/>
      <c r="T229" s="15"/>
    </row>
    <row r="230" spans="1:20" ht="12" customHeight="1" x14ac:dyDescent="0.25">
      <c r="A230" s="21">
        <v>35</v>
      </c>
      <c r="B230" s="22"/>
      <c r="C230" s="162"/>
      <c r="D230" s="136" t="s">
        <v>63</v>
      </c>
      <c r="E230" s="137"/>
      <c r="F230" s="137"/>
      <c r="G230" s="137"/>
      <c r="H230" s="138"/>
      <c r="I230" s="21"/>
      <c r="J230" s="45"/>
      <c r="K230" s="21"/>
      <c r="L230" s="247"/>
      <c r="M230" s="14" t="s">
        <v>23</v>
      </c>
      <c r="N230" s="24"/>
      <c r="O230" s="15"/>
      <c r="Q230" s="68"/>
      <c r="R230" s="21"/>
      <c r="S230" s="16"/>
      <c r="T230" s="17"/>
    </row>
    <row r="231" spans="1:20" ht="12" customHeight="1" x14ac:dyDescent="0.25">
      <c r="A231" s="101" t="s">
        <v>64</v>
      </c>
      <c r="B231" s="96"/>
      <c r="C231" s="97"/>
      <c r="D231" s="93"/>
      <c r="E231" s="94"/>
      <c r="F231" s="94"/>
      <c r="G231" s="94"/>
      <c r="H231" s="95"/>
      <c r="I231" s="98">
        <f>AVERAGE(I196:I230)</f>
        <v>43</v>
      </c>
      <c r="J231" s="74"/>
      <c r="K231" s="47"/>
      <c r="L231" s="65"/>
      <c r="M231" s="14"/>
      <c r="N231" s="24"/>
      <c r="O231" s="15"/>
      <c r="Q231" s="60"/>
      <c r="R231" s="471" t="str">
        <f>C192</f>
        <v>9E</v>
      </c>
      <c r="S231" s="471"/>
      <c r="T231" s="61"/>
    </row>
    <row r="232" spans="1:20" ht="12" customHeight="1" x14ac:dyDescent="0.25">
      <c r="A232" s="14" t="s">
        <v>17</v>
      </c>
      <c r="B232" s="24"/>
      <c r="C232" s="15"/>
      <c r="D232" s="42">
        <f>SUM(D196:D230)</f>
        <v>1290</v>
      </c>
      <c r="E232" s="43">
        <f>SUM(E196:E230)</f>
        <v>0</v>
      </c>
      <c r="F232" s="43">
        <f>SUM(F196:F230)</f>
        <v>0</v>
      </c>
      <c r="G232" s="43">
        <f>SUM(G196:G230)</f>
        <v>0</v>
      </c>
      <c r="H232" s="44"/>
      <c r="I232" s="80">
        <f>SUM(D232:H232)</f>
        <v>1290</v>
      </c>
      <c r="J232" s="85" t="s">
        <v>49</v>
      </c>
      <c r="K232" s="48">
        <f>COUNTIF(K196:K230,J232)</f>
        <v>7</v>
      </c>
      <c r="L232" s="64"/>
      <c r="M232" s="14"/>
      <c r="N232" s="24"/>
      <c r="O232" s="15"/>
      <c r="Q232" s="30"/>
      <c r="R232" s="472"/>
      <c r="S232" s="472"/>
      <c r="T232" s="31"/>
    </row>
    <row r="233" spans="1:20" ht="12" customHeight="1" x14ac:dyDescent="0.25">
      <c r="A233" s="14" t="s">
        <v>18</v>
      </c>
      <c r="B233" s="24"/>
      <c r="C233" s="15"/>
      <c r="D233" s="42">
        <f>D194*K234</f>
        <v>900</v>
      </c>
      <c r="E233" s="43">
        <f>E194*K234</f>
        <v>1200</v>
      </c>
      <c r="F233" s="43">
        <f>F194*K234</f>
        <v>900</v>
      </c>
      <c r="G233" s="43">
        <f>G194*K234</f>
        <v>0</v>
      </c>
      <c r="H233" s="44"/>
      <c r="I233" s="80">
        <f>SUM(D233:H233)</f>
        <v>3000</v>
      </c>
      <c r="J233" s="86" t="s">
        <v>50</v>
      </c>
      <c r="K233" s="48">
        <f>COUNTIF(K196:K230,J233)</f>
        <v>23</v>
      </c>
      <c r="L233" s="64"/>
      <c r="M233" s="14"/>
      <c r="N233" s="24"/>
      <c r="O233" s="15"/>
      <c r="Q233" s="30"/>
      <c r="R233" s="472"/>
      <c r="S233" s="472"/>
      <c r="T233" s="31"/>
    </row>
    <row r="234" spans="1:20" ht="12" customHeight="1" x14ac:dyDescent="0.25">
      <c r="A234" s="26" t="s">
        <v>19</v>
      </c>
      <c r="B234" s="27"/>
      <c r="C234" s="28"/>
      <c r="D234" s="136">
        <f>D232/D233*100</f>
        <v>143.33333333333334</v>
      </c>
      <c r="E234" s="137">
        <f>E232/E233*100</f>
        <v>0</v>
      </c>
      <c r="F234" s="137">
        <f>F232/F233*100</f>
        <v>0</v>
      </c>
      <c r="G234" s="137" t="e">
        <f>G232/G233*100</f>
        <v>#DIV/0!</v>
      </c>
      <c r="H234" s="138"/>
      <c r="I234" s="50">
        <f>I232/I233*100</f>
        <v>43</v>
      </c>
      <c r="J234" s="75" t="s">
        <v>57</v>
      </c>
      <c r="K234" s="49">
        <f>SUM(K232:K233)</f>
        <v>30</v>
      </c>
      <c r="L234" s="66"/>
      <c r="M234" s="16"/>
      <c r="N234" s="25"/>
      <c r="O234" s="17"/>
      <c r="Q234" s="8"/>
      <c r="R234" s="473"/>
      <c r="S234" s="473"/>
      <c r="T234" s="9"/>
    </row>
    <row r="235" spans="1:20" ht="12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1:20" ht="12" customHeight="1" x14ac:dyDescent="0.25">
      <c r="A236" s="456" t="str">
        <f>A189</f>
        <v>ANALISA HASIL PH MATEMATIKA KLS IX  SMT GENAP</v>
      </c>
      <c r="B236" s="457"/>
      <c r="C236" s="457"/>
      <c r="D236" s="457"/>
      <c r="E236" s="457"/>
      <c r="F236" s="457"/>
      <c r="G236" s="457"/>
      <c r="H236" s="457"/>
      <c r="I236" s="457"/>
      <c r="J236" s="457"/>
      <c r="K236" s="457"/>
      <c r="L236" s="457"/>
      <c r="M236" s="457"/>
      <c r="N236" s="457"/>
      <c r="O236" s="458"/>
      <c r="Q236" s="456" t="s">
        <v>40</v>
      </c>
      <c r="R236" s="457"/>
      <c r="S236" s="457"/>
      <c r="T236" s="458"/>
    </row>
    <row r="237" spans="1:20" ht="12" customHeight="1" x14ac:dyDescent="0.25">
      <c r="A237" s="453" t="str">
        <f>A190</f>
        <v>SMP I LIMBANGAN  TH 2025/2026</v>
      </c>
      <c r="B237" s="454"/>
      <c r="C237" s="454"/>
      <c r="D237" s="454"/>
      <c r="E237" s="454"/>
      <c r="F237" s="454"/>
      <c r="G237" s="454"/>
      <c r="H237" s="454"/>
      <c r="I237" s="454"/>
      <c r="J237" s="454"/>
      <c r="K237" s="454"/>
      <c r="L237" s="454"/>
      <c r="M237" s="454"/>
      <c r="N237" s="454"/>
      <c r="O237" s="455"/>
      <c r="Q237" s="453" t="s">
        <v>61</v>
      </c>
      <c r="R237" s="454"/>
      <c r="S237" s="454"/>
      <c r="T237" s="455"/>
    </row>
    <row r="238" spans="1:20" ht="12" customHeight="1" x14ac:dyDescent="0.25"/>
    <row r="239" spans="1:20" ht="12" customHeight="1" x14ac:dyDescent="0.25">
      <c r="A239" s="99" t="s">
        <v>65</v>
      </c>
      <c r="C239" s="102" t="str">
        <f>DATA!L8</f>
        <v>9F</v>
      </c>
      <c r="D239" t="s">
        <v>297</v>
      </c>
      <c r="F239" s="179">
        <f>F51</f>
        <v>1</v>
      </c>
      <c r="I239" t="s">
        <v>20</v>
      </c>
      <c r="K239" s="72">
        <v>44775</v>
      </c>
      <c r="M239" s="1" t="s">
        <v>60</v>
      </c>
      <c r="N239" s="179">
        <f>N51</f>
        <v>1</v>
      </c>
      <c r="Q239" t="s">
        <v>28</v>
      </c>
      <c r="R239" s="470">
        <f>K239+7</f>
        <v>44782</v>
      </c>
      <c r="S239" s="470"/>
    </row>
    <row r="240" spans="1:20" ht="12" customHeight="1" x14ac:dyDescent="0.25">
      <c r="A240" s="2"/>
      <c r="B240" s="2"/>
      <c r="C240" s="3" t="s">
        <v>7</v>
      </c>
      <c r="D240" s="32">
        <v>1</v>
      </c>
      <c r="E240" s="33">
        <v>2</v>
      </c>
      <c r="F240" s="33">
        <v>3</v>
      </c>
      <c r="G240" s="33">
        <v>4</v>
      </c>
      <c r="H240" s="34">
        <v>5</v>
      </c>
      <c r="I240" s="35" t="s">
        <v>3</v>
      </c>
      <c r="J240" s="4" t="s">
        <v>4</v>
      </c>
      <c r="K240" s="53" t="s">
        <v>83</v>
      </c>
      <c r="L240" s="35" t="s">
        <v>43</v>
      </c>
      <c r="M240" s="459" t="s">
        <v>9</v>
      </c>
      <c r="N240" s="460"/>
      <c r="O240" s="461"/>
      <c r="Q240" s="2"/>
      <c r="R240" s="35" t="s">
        <v>24</v>
      </c>
      <c r="S240" s="60"/>
      <c r="T240" s="61"/>
    </row>
    <row r="241" spans="1:20" ht="12" customHeight="1" x14ac:dyDescent="0.25">
      <c r="A241" s="6" t="s">
        <v>0</v>
      </c>
      <c r="B241" s="6" t="s">
        <v>1</v>
      </c>
      <c r="C241" s="5" t="s">
        <v>8</v>
      </c>
      <c r="D241" s="55">
        <f>D194</f>
        <v>30</v>
      </c>
      <c r="E241" s="55">
        <f>E194</f>
        <v>40</v>
      </c>
      <c r="F241" s="55">
        <f>F194</f>
        <v>30</v>
      </c>
      <c r="G241" s="55">
        <f>G194</f>
        <v>0</v>
      </c>
      <c r="H241" s="55">
        <f>H194</f>
        <v>0</v>
      </c>
      <c r="I241" s="21">
        <f>SUM(D241:H241)</f>
        <v>100</v>
      </c>
      <c r="J241" s="6" t="s">
        <v>5</v>
      </c>
      <c r="K241" s="52" t="s">
        <v>22</v>
      </c>
      <c r="L241" s="11" t="s">
        <v>44</v>
      </c>
      <c r="M241" s="462"/>
      <c r="N241" s="463"/>
      <c r="O241" s="464"/>
      <c r="Q241" s="6" t="s">
        <v>2</v>
      </c>
      <c r="R241" s="11" t="s">
        <v>25</v>
      </c>
      <c r="S241" s="468" t="s">
        <v>27</v>
      </c>
      <c r="T241" s="469"/>
    </row>
    <row r="242" spans="1:20" ht="12" customHeight="1" x14ac:dyDescent="0.25">
      <c r="A242" s="6"/>
      <c r="B242" s="6"/>
      <c r="C242" s="51" t="s">
        <v>2</v>
      </c>
      <c r="D242" s="36"/>
      <c r="E242" s="37"/>
      <c r="F242" s="37"/>
      <c r="G242" s="37"/>
      <c r="H242" s="38"/>
      <c r="I242" s="11"/>
      <c r="J242" s="6" t="s">
        <v>6</v>
      </c>
      <c r="K242" s="54"/>
      <c r="L242" s="59" t="s">
        <v>45</v>
      </c>
      <c r="M242" s="465"/>
      <c r="N242" s="466"/>
      <c r="O242" s="467"/>
      <c r="Q242" s="7"/>
      <c r="R242" s="59" t="s">
        <v>26</v>
      </c>
      <c r="S242" s="8"/>
      <c r="T242" s="9"/>
    </row>
    <row r="243" spans="1:20" ht="12" customHeight="1" x14ac:dyDescent="0.25">
      <c r="A243" s="20">
        <v>1</v>
      </c>
      <c r="B243" s="18"/>
      <c r="C243" s="81" t="str">
        <f>DATA!L10</f>
        <v>Ahmad Azam Muhanif</v>
      </c>
      <c r="D243" s="131" t="s">
        <v>63</v>
      </c>
      <c r="E243" s="40"/>
      <c r="F243" s="40"/>
      <c r="G243" s="40"/>
      <c r="H243" s="41"/>
      <c r="I243" s="180">
        <f>SUM(D243:H243)</f>
        <v>0</v>
      </c>
      <c r="J243" s="46">
        <f>I243</f>
        <v>0</v>
      </c>
      <c r="K243" s="21" t="str">
        <f>IF(J243&lt;$N$10,"tdk tuntas","tuntas")</f>
        <v>tdk tuntas</v>
      </c>
      <c r="L243" s="209" t="str">
        <f>IF(J243&lt;=39.9,"80",IF(J243&lt;=59.9,"81",IF(J243&lt;=69.9,"82",IF(J243&lt;=74.9,"83",IF(J243&lt;=78.9,"84",IF(J243&lt;=78.9,"85",IF(J243&gt;=78.9,J243," ")))))))</f>
        <v>80</v>
      </c>
      <c r="M243" s="12"/>
      <c r="N243" s="23"/>
      <c r="O243" s="13"/>
      <c r="Q243" s="67" t="str">
        <f>C243</f>
        <v>Ahmad Azam Muhanif</v>
      </c>
      <c r="R243" s="21" t="str">
        <f>IF(I243&lt;$N$10,"80","")</f>
        <v>80</v>
      </c>
      <c r="S243" s="12"/>
      <c r="T243" s="13"/>
    </row>
    <row r="244" spans="1:20" ht="12" customHeight="1" x14ac:dyDescent="0.25">
      <c r="A244" s="21">
        <v>2</v>
      </c>
      <c r="B244" s="19"/>
      <c r="C244" s="82" t="str">
        <f>DATA!L11</f>
        <v>Ananda Rafa Mahesa Putra</v>
      </c>
      <c r="D244" s="248" t="s">
        <v>63</v>
      </c>
      <c r="E244" s="43"/>
      <c r="F244" s="43"/>
      <c r="G244" s="43"/>
      <c r="H244" s="44"/>
      <c r="I244" s="181">
        <f t="shared" ref="I244:I273" si="39">SUM(D244:H244)</f>
        <v>0</v>
      </c>
      <c r="J244" s="45">
        <f>I244</f>
        <v>0</v>
      </c>
      <c r="K244" s="21" t="str">
        <f t="shared" ref="K244:K272" si="40">IF(J244&lt;$N$10,"tdk tuntas","tuntas")</f>
        <v>tdk tuntas</v>
      </c>
      <c r="L244" s="210" t="str">
        <f t="shared" ref="L244:L273" si="41">IF(J244&lt;=39.9,"80",IF(J244&lt;=59.9,"81",IF(J244&lt;=69.9,"82",IF(J244&lt;=74.9,"83",IF(J244&lt;=78.9,"84",IF(J244&lt;=78.9,"85",IF(J244&gt;=78.9,J244," ")))))))</f>
        <v>80</v>
      </c>
      <c r="M244" s="14"/>
      <c r="N244" s="24"/>
      <c r="O244" s="15"/>
      <c r="Q244" s="68" t="str">
        <f t="shared" ref="Q244:Q272" si="42">C244</f>
        <v>Ananda Rafa Mahesa Putra</v>
      </c>
      <c r="R244" s="21" t="str">
        <f>IF(I244&lt;$N$10,"81","")</f>
        <v>81</v>
      </c>
      <c r="S244" s="14" t="s">
        <v>29</v>
      </c>
      <c r="T244" s="15"/>
    </row>
    <row r="245" spans="1:20" ht="12" customHeight="1" thickBot="1" x14ac:dyDescent="0.35">
      <c r="A245" s="21">
        <v>3</v>
      </c>
      <c r="B245" s="19"/>
      <c r="C245" s="82" t="str">
        <f>DATA!L12</f>
        <v>Aprian Caysa Raditiansyah</v>
      </c>
      <c r="D245" s="248" t="s">
        <v>63</v>
      </c>
      <c r="E245" s="43"/>
      <c r="F245" s="43"/>
      <c r="G245" s="43"/>
      <c r="H245" s="44"/>
      <c r="I245" s="181">
        <f t="shared" si="39"/>
        <v>0</v>
      </c>
      <c r="J245" s="45">
        <f>I245</f>
        <v>0</v>
      </c>
      <c r="K245" s="21" t="str">
        <f t="shared" si="40"/>
        <v>tdk tuntas</v>
      </c>
      <c r="L245" s="210" t="str">
        <f t="shared" si="41"/>
        <v>80</v>
      </c>
      <c r="M245" s="70" t="s">
        <v>62</v>
      </c>
      <c r="N245" s="76">
        <f>N57</f>
        <v>80</v>
      </c>
      <c r="O245" s="15"/>
      <c r="Q245" s="68" t="str">
        <f t="shared" si="42"/>
        <v>Aprian Caysa Raditiansyah</v>
      </c>
      <c r="R245" s="21" t="str">
        <f>IF(I245&lt;$N$10,"81","")</f>
        <v>81</v>
      </c>
      <c r="S245" s="26"/>
      <c r="T245" s="15"/>
    </row>
    <row r="246" spans="1:20" ht="12" customHeight="1" thickTop="1" thickBot="1" x14ac:dyDescent="0.3">
      <c r="A246" s="21">
        <v>4</v>
      </c>
      <c r="B246" s="19"/>
      <c r="C246" s="82" t="str">
        <f>DATA!L13</f>
        <v>Attaya Nadine Vanessa</v>
      </c>
      <c r="D246" s="248" t="s">
        <v>63</v>
      </c>
      <c r="E246" s="43"/>
      <c r="F246" s="43"/>
      <c r="G246" s="43"/>
      <c r="H246" s="44"/>
      <c r="I246" s="181">
        <f t="shared" si="39"/>
        <v>0</v>
      </c>
      <c r="J246" s="45">
        <f>I246</f>
        <v>0</v>
      </c>
      <c r="K246" s="21" t="str">
        <f t="shared" si="40"/>
        <v>tdk tuntas</v>
      </c>
      <c r="L246" s="210" t="str">
        <f t="shared" si="41"/>
        <v>80</v>
      </c>
      <c r="M246" s="14"/>
      <c r="N246" s="24"/>
      <c r="O246" s="15"/>
      <c r="Q246" s="68" t="str">
        <f t="shared" si="42"/>
        <v>Attaya Nadine Vanessa</v>
      </c>
      <c r="R246" s="21" t="str">
        <f>IF(I246&lt;$N$10,"84","")</f>
        <v>84</v>
      </c>
      <c r="S246" s="62"/>
      <c r="T246" s="15" t="s">
        <v>35</v>
      </c>
    </row>
    <row r="247" spans="1:20" ht="12" customHeight="1" thickTop="1" thickBot="1" x14ac:dyDescent="0.3">
      <c r="A247" s="21">
        <v>5</v>
      </c>
      <c r="B247" s="19"/>
      <c r="C247" s="82" t="str">
        <f>DATA!L14</f>
        <v>Dimas Suryo Admodjo</v>
      </c>
      <c r="D247" s="248" t="s">
        <v>63</v>
      </c>
      <c r="E247" s="43"/>
      <c r="F247" s="43"/>
      <c r="G247" s="43"/>
      <c r="H247" s="44"/>
      <c r="I247" s="181">
        <f t="shared" si="39"/>
        <v>0</v>
      </c>
      <c r="J247" s="45">
        <f t="shared" ref="J247:J272" si="43">I247</f>
        <v>0</v>
      </c>
      <c r="K247" s="21" t="str">
        <f t="shared" si="40"/>
        <v>tdk tuntas</v>
      </c>
      <c r="L247" s="210" t="str">
        <f t="shared" si="41"/>
        <v>80</v>
      </c>
      <c r="M247" s="14"/>
      <c r="N247" s="24"/>
      <c r="O247" s="15"/>
      <c r="Q247" s="68" t="str">
        <f t="shared" si="42"/>
        <v>Dimas Suryo Admodjo</v>
      </c>
      <c r="R247" s="21" t="str">
        <f>IF(I247&lt;$N$10,"87","")</f>
        <v>87</v>
      </c>
      <c r="S247" s="62"/>
      <c r="T247" s="15" t="s">
        <v>38</v>
      </c>
    </row>
    <row r="248" spans="1:20" ht="12" customHeight="1" thickTop="1" thickBot="1" x14ac:dyDescent="0.3">
      <c r="A248" s="21">
        <v>6</v>
      </c>
      <c r="B248" s="19"/>
      <c r="C248" s="82" t="str">
        <f>DATA!L15</f>
        <v>Dwi Erinadestari</v>
      </c>
      <c r="D248" s="134" t="s">
        <v>63</v>
      </c>
      <c r="E248" s="43"/>
      <c r="F248" s="43"/>
      <c r="G248" s="43"/>
      <c r="H248" s="44"/>
      <c r="I248" s="181">
        <f t="shared" si="39"/>
        <v>0</v>
      </c>
      <c r="J248" s="45">
        <f t="shared" si="43"/>
        <v>0</v>
      </c>
      <c r="K248" s="21" t="str">
        <f t="shared" si="40"/>
        <v>tdk tuntas</v>
      </c>
      <c r="L248" s="210" t="str">
        <f t="shared" si="41"/>
        <v>80</v>
      </c>
      <c r="M248" s="14" t="s">
        <v>10</v>
      </c>
      <c r="N248" s="24"/>
      <c r="O248" s="15"/>
      <c r="Q248" s="68" t="str">
        <f t="shared" si="42"/>
        <v>Dwi Erinadestari</v>
      </c>
      <c r="R248" s="21" t="str">
        <f>IF(I248&lt;$N$10,"82","")</f>
        <v>82</v>
      </c>
      <c r="S248" s="14"/>
      <c r="T248" s="15" t="s">
        <v>39</v>
      </c>
    </row>
    <row r="249" spans="1:20" ht="12" customHeight="1" thickTop="1" thickBot="1" x14ac:dyDescent="0.35">
      <c r="A249" s="21">
        <v>7</v>
      </c>
      <c r="B249" s="19"/>
      <c r="C249" s="82" t="str">
        <f>DATA!L16</f>
        <v>Eka Yuanita Safa</v>
      </c>
      <c r="D249" s="248" t="s">
        <v>63</v>
      </c>
      <c r="E249" s="43"/>
      <c r="F249" s="43"/>
      <c r="G249" s="43"/>
      <c r="H249" s="44"/>
      <c r="I249" s="181">
        <f t="shared" si="39"/>
        <v>0</v>
      </c>
      <c r="J249" s="45">
        <f t="shared" si="43"/>
        <v>0</v>
      </c>
      <c r="K249" s="21" t="str">
        <f t="shared" si="40"/>
        <v>tdk tuntas</v>
      </c>
      <c r="L249" s="210" t="str">
        <f t="shared" si="41"/>
        <v>80</v>
      </c>
      <c r="M249" s="14"/>
      <c r="N249" s="24"/>
      <c r="O249" s="15"/>
      <c r="Q249" s="68" t="str">
        <f t="shared" si="42"/>
        <v>Eka Yuanita Safa</v>
      </c>
      <c r="R249" s="21" t="str">
        <f>IF(I249&lt;$N$10,"80","")</f>
        <v>80</v>
      </c>
      <c r="S249" s="71" t="s">
        <v>46</v>
      </c>
      <c r="T249" s="119" t="s">
        <v>36</v>
      </c>
    </row>
    <row r="250" spans="1:20" ht="12" customHeight="1" thickTop="1" x14ac:dyDescent="0.3">
      <c r="A250" s="21">
        <v>8</v>
      </c>
      <c r="B250" s="19"/>
      <c r="C250" s="82" t="str">
        <f>DATA!L17</f>
        <v>Ellisa Adelia Putri</v>
      </c>
      <c r="D250" s="134" t="s">
        <v>63</v>
      </c>
      <c r="E250" s="43"/>
      <c r="F250" s="43"/>
      <c r="G250" s="43"/>
      <c r="H250" s="44"/>
      <c r="I250" s="181">
        <f t="shared" si="39"/>
        <v>0</v>
      </c>
      <c r="J250" s="45">
        <f t="shared" si="43"/>
        <v>0</v>
      </c>
      <c r="K250" s="21" t="str">
        <f t="shared" si="40"/>
        <v>tdk tuntas</v>
      </c>
      <c r="L250" s="210" t="str">
        <f t="shared" si="41"/>
        <v>80</v>
      </c>
      <c r="M250" s="77" t="s">
        <v>51</v>
      </c>
      <c r="N250" s="24"/>
      <c r="O250" s="15"/>
      <c r="Q250" s="68" t="str">
        <f t="shared" si="42"/>
        <v>Ellisa Adelia Putri</v>
      </c>
      <c r="R250" s="21" t="str">
        <f>IF(I250&lt;$N$10,"84","")</f>
        <v>84</v>
      </c>
      <c r="S250" s="70"/>
      <c r="T250" s="119" t="s">
        <v>37</v>
      </c>
    </row>
    <row r="251" spans="1:20" ht="12" customHeight="1" x14ac:dyDescent="0.25">
      <c r="A251" s="21">
        <v>9</v>
      </c>
      <c r="B251" s="19"/>
      <c r="C251" s="82" t="str">
        <f>DATA!L18</f>
        <v>Elsa Adinda Putri</v>
      </c>
      <c r="D251" s="134" t="s">
        <v>63</v>
      </c>
      <c r="E251" s="43"/>
      <c r="F251" s="43"/>
      <c r="G251" s="43"/>
      <c r="H251" s="44"/>
      <c r="I251" s="181">
        <f t="shared" si="39"/>
        <v>0</v>
      </c>
      <c r="J251" s="45">
        <f t="shared" si="43"/>
        <v>0</v>
      </c>
      <c r="K251" s="21" t="str">
        <f t="shared" si="40"/>
        <v>tdk tuntas</v>
      </c>
      <c r="L251" s="210" t="str">
        <f t="shared" si="41"/>
        <v>80</v>
      </c>
      <c r="N251" s="24"/>
      <c r="O251" s="15"/>
      <c r="Q251" s="68" t="str">
        <f t="shared" si="42"/>
        <v>Elsa Adinda Putri</v>
      </c>
      <c r="R251" s="21" t="str">
        <f>IF(I251&lt;$N$10,"88","")</f>
        <v>88</v>
      </c>
      <c r="S251" s="14"/>
      <c r="T251" s="15"/>
    </row>
    <row r="252" spans="1:20" ht="12" customHeight="1" x14ac:dyDescent="0.25">
      <c r="A252" s="21">
        <v>10</v>
      </c>
      <c r="B252" s="19"/>
      <c r="C252" s="82" t="str">
        <f>DATA!L19</f>
        <v>Erick Putra Wijaya</v>
      </c>
      <c r="D252" s="248" t="s">
        <v>63</v>
      </c>
      <c r="E252" s="43"/>
      <c r="F252" s="43"/>
      <c r="G252" s="43"/>
      <c r="H252" s="44"/>
      <c r="I252" s="181">
        <f t="shared" si="39"/>
        <v>0</v>
      </c>
      <c r="J252" s="45">
        <f t="shared" si="43"/>
        <v>0</v>
      </c>
      <c r="K252" s="21" t="str">
        <f t="shared" si="40"/>
        <v>tdk tuntas</v>
      </c>
      <c r="L252" s="210" t="str">
        <f t="shared" si="41"/>
        <v>80</v>
      </c>
      <c r="M252" s="14"/>
      <c r="N252" s="24"/>
      <c r="O252" s="15"/>
      <c r="Q252" s="68" t="str">
        <f t="shared" si="42"/>
        <v>Erick Putra Wijaya</v>
      </c>
      <c r="R252" s="21" t="str">
        <f t="shared" ref="R252:R257" si="44">IF(I252&lt;$N$10,"85","")</f>
        <v>85</v>
      </c>
      <c r="S252" s="14" t="s">
        <v>30</v>
      </c>
      <c r="T252" s="15"/>
    </row>
    <row r="253" spans="1:20" ht="12" customHeight="1" thickBot="1" x14ac:dyDescent="0.3">
      <c r="A253" s="21">
        <v>11</v>
      </c>
      <c r="B253" s="19"/>
      <c r="C253" s="82" t="str">
        <f>DATA!L20</f>
        <v>Intan Qurrota A'Yun</v>
      </c>
      <c r="D253" s="248" t="s">
        <v>63</v>
      </c>
      <c r="E253" s="43"/>
      <c r="F253" s="43"/>
      <c r="G253" s="43"/>
      <c r="H253" s="44"/>
      <c r="I253" s="181">
        <f t="shared" si="39"/>
        <v>0</v>
      </c>
      <c r="J253" s="45">
        <f t="shared" si="43"/>
        <v>0</v>
      </c>
      <c r="K253" s="21" t="str">
        <f t="shared" si="40"/>
        <v>tdk tuntas</v>
      </c>
      <c r="L253" s="210" t="str">
        <f t="shared" si="41"/>
        <v>80</v>
      </c>
      <c r="M253" s="14"/>
      <c r="N253" s="24"/>
      <c r="O253" s="15"/>
      <c r="Q253" s="68" t="str">
        <f t="shared" si="42"/>
        <v>Intan Qurrota A'Yun</v>
      </c>
      <c r="R253" s="21" t="str">
        <f t="shared" si="44"/>
        <v>85</v>
      </c>
      <c r="T253" s="15"/>
    </row>
    <row r="254" spans="1:20" ht="12" customHeight="1" thickTop="1" thickBot="1" x14ac:dyDescent="0.35">
      <c r="A254" s="21">
        <v>12</v>
      </c>
      <c r="B254" s="19"/>
      <c r="C254" s="82" t="str">
        <f>DATA!L21</f>
        <v>Johan Renaldi</v>
      </c>
      <c r="D254" s="248" t="s">
        <v>63</v>
      </c>
      <c r="E254" s="43"/>
      <c r="F254" s="43"/>
      <c r="G254" s="43"/>
      <c r="H254" s="44"/>
      <c r="I254" s="181">
        <f t="shared" si="39"/>
        <v>0</v>
      </c>
      <c r="J254" s="45">
        <f t="shared" si="43"/>
        <v>0</v>
      </c>
      <c r="K254" s="21" t="str">
        <f t="shared" si="40"/>
        <v>tdk tuntas</v>
      </c>
      <c r="L254" s="210" t="str">
        <f t="shared" si="41"/>
        <v>80</v>
      </c>
      <c r="M254" s="14" t="s">
        <v>11</v>
      </c>
      <c r="N254" s="58">
        <f>K281</f>
        <v>31</v>
      </c>
      <c r="O254" s="15"/>
      <c r="Q254" s="68" t="str">
        <f t="shared" si="42"/>
        <v>Johan Renaldi</v>
      </c>
      <c r="R254" s="21" t="str">
        <f t="shared" si="44"/>
        <v>85</v>
      </c>
      <c r="S254" s="71" t="s">
        <v>46</v>
      </c>
      <c r="T254" s="119" t="s">
        <v>31</v>
      </c>
    </row>
    <row r="255" spans="1:20" ht="12" customHeight="1" thickTop="1" thickBot="1" x14ac:dyDescent="0.35">
      <c r="A255" s="21">
        <v>13</v>
      </c>
      <c r="B255" s="19"/>
      <c r="C255" s="82" t="str">
        <f>DATA!L22</f>
        <v>Lituhayu Sabrina</v>
      </c>
      <c r="D255" s="248" t="s">
        <v>63</v>
      </c>
      <c r="E255" s="43"/>
      <c r="F255" s="43"/>
      <c r="G255" s="43"/>
      <c r="H255" s="44"/>
      <c r="I255" s="181">
        <f t="shared" si="39"/>
        <v>0</v>
      </c>
      <c r="J255" s="45">
        <f t="shared" si="43"/>
        <v>0</v>
      </c>
      <c r="K255" s="21" t="str">
        <f t="shared" si="40"/>
        <v>tdk tuntas</v>
      </c>
      <c r="L255" s="210" t="str">
        <f t="shared" si="41"/>
        <v>80</v>
      </c>
      <c r="M255" s="14" t="s">
        <v>12</v>
      </c>
      <c r="N255" s="58">
        <f>K279</f>
        <v>0</v>
      </c>
      <c r="O255" s="15"/>
      <c r="Q255" s="68" t="str">
        <f t="shared" si="42"/>
        <v>Lituhayu Sabrina</v>
      </c>
      <c r="R255" s="21" t="str">
        <f t="shared" si="44"/>
        <v>85</v>
      </c>
      <c r="S255" s="70"/>
      <c r="T255" s="119" t="s">
        <v>32</v>
      </c>
    </row>
    <row r="256" spans="1:20" ht="12" customHeight="1" thickTop="1" thickBot="1" x14ac:dyDescent="0.35">
      <c r="A256" s="21">
        <v>14</v>
      </c>
      <c r="B256" s="19"/>
      <c r="C256" s="82" t="str">
        <f>DATA!L23</f>
        <v>Luthfi Az Zahra Aulyvia</v>
      </c>
      <c r="D256" s="134" t="s">
        <v>63</v>
      </c>
      <c r="E256" s="43"/>
      <c r="F256" s="43"/>
      <c r="G256" s="43"/>
      <c r="H256" s="44"/>
      <c r="I256" s="181">
        <f t="shared" si="39"/>
        <v>0</v>
      </c>
      <c r="J256" s="45">
        <f t="shared" si="43"/>
        <v>0</v>
      </c>
      <c r="K256" s="21" t="str">
        <f t="shared" si="40"/>
        <v>tdk tuntas</v>
      </c>
      <c r="L256" s="210" t="str">
        <f t="shared" si="41"/>
        <v>80</v>
      </c>
      <c r="M256" s="14" t="s">
        <v>13</v>
      </c>
      <c r="N256" s="58">
        <f>N255/N254*100</f>
        <v>0</v>
      </c>
      <c r="O256" s="15" t="s">
        <v>4</v>
      </c>
      <c r="Q256" s="68" t="str">
        <f t="shared" si="42"/>
        <v>Luthfi Az Zahra Aulyvia</v>
      </c>
      <c r="R256" s="21" t="str">
        <f t="shared" si="44"/>
        <v>85</v>
      </c>
      <c r="S256" s="62"/>
      <c r="T256" s="15" t="s">
        <v>33</v>
      </c>
    </row>
    <row r="257" spans="1:20" ht="12" customHeight="1" thickTop="1" x14ac:dyDescent="0.25">
      <c r="A257" s="21">
        <v>15</v>
      </c>
      <c r="B257" s="19"/>
      <c r="C257" s="82" t="str">
        <f>DATA!L24</f>
        <v>Maulana Rizki Kurniawan</v>
      </c>
      <c r="D257" s="134" t="s">
        <v>63</v>
      </c>
      <c r="E257" s="43"/>
      <c r="F257" s="43"/>
      <c r="G257" s="43"/>
      <c r="H257" s="44"/>
      <c r="I257" s="181">
        <f t="shared" si="39"/>
        <v>0</v>
      </c>
      <c r="J257" s="45">
        <f t="shared" si="43"/>
        <v>0</v>
      </c>
      <c r="K257" s="21" t="str">
        <f t="shared" si="40"/>
        <v>tdk tuntas</v>
      </c>
      <c r="L257" s="210" t="str">
        <f t="shared" si="41"/>
        <v>80</v>
      </c>
      <c r="M257" s="14"/>
      <c r="N257" s="24"/>
      <c r="O257" s="15"/>
      <c r="Q257" s="68" t="str">
        <f t="shared" si="42"/>
        <v>Maulana Rizki Kurniawan</v>
      </c>
      <c r="R257" s="21" t="str">
        <f t="shared" si="44"/>
        <v>85</v>
      </c>
      <c r="S257" s="14"/>
      <c r="T257" s="15" t="s">
        <v>34</v>
      </c>
    </row>
    <row r="258" spans="1:20" ht="12" customHeight="1" x14ac:dyDescent="0.25">
      <c r="A258" s="21">
        <v>16</v>
      </c>
      <c r="B258" s="19"/>
      <c r="C258" s="82" t="str">
        <f>DATA!L25</f>
        <v>Meisya Anindita</v>
      </c>
      <c r="D258" s="248" t="s">
        <v>63</v>
      </c>
      <c r="E258" s="43"/>
      <c r="F258" s="43"/>
      <c r="G258" s="43"/>
      <c r="H258" s="44"/>
      <c r="I258" s="181">
        <f t="shared" si="39"/>
        <v>0</v>
      </c>
      <c r="J258" s="45">
        <f t="shared" si="43"/>
        <v>0</v>
      </c>
      <c r="K258" s="21" t="str">
        <f t="shared" si="40"/>
        <v>tdk tuntas</v>
      </c>
      <c r="L258" s="210" t="str">
        <f t="shared" si="41"/>
        <v>80</v>
      </c>
      <c r="M258" s="14" t="s">
        <v>52</v>
      </c>
      <c r="N258" s="24"/>
      <c r="O258" s="15"/>
      <c r="Q258" s="68" t="str">
        <f t="shared" si="42"/>
        <v>Meisya Anindita</v>
      </c>
      <c r="R258" s="21" t="str">
        <f>IF(I258&lt;$N$10,"84","")</f>
        <v>84</v>
      </c>
      <c r="S258" s="14"/>
      <c r="T258" s="15"/>
    </row>
    <row r="259" spans="1:20" ht="12" customHeight="1" x14ac:dyDescent="0.25">
      <c r="A259" s="21">
        <v>17</v>
      </c>
      <c r="B259" s="19"/>
      <c r="C259" s="82" t="str">
        <f>DATA!L26</f>
        <v>Melilea Azahra</v>
      </c>
      <c r="D259" s="134" t="s">
        <v>63</v>
      </c>
      <c r="E259" s="43"/>
      <c r="F259" s="43"/>
      <c r="G259" s="43"/>
      <c r="H259" s="44"/>
      <c r="I259" s="181">
        <f t="shared" si="39"/>
        <v>0</v>
      </c>
      <c r="J259" s="45">
        <f t="shared" si="43"/>
        <v>0</v>
      </c>
      <c r="K259" s="21" t="str">
        <f t="shared" si="40"/>
        <v>tdk tuntas</v>
      </c>
      <c r="L259" s="210" t="str">
        <f t="shared" si="41"/>
        <v>80</v>
      </c>
      <c r="N259" s="24"/>
      <c r="O259" s="15"/>
      <c r="Q259" s="68" t="str">
        <f t="shared" si="42"/>
        <v>Melilea Azahra</v>
      </c>
      <c r="R259" s="21" t="str">
        <f t="shared" ref="R259:R265" si="45">IF(I259&lt;$N$10,"82","")</f>
        <v>82</v>
      </c>
      <c r="S259" s="14"/>
      <c r="T259" s="63" t="s">
        <v>41</v>
      </c>
    </row>
    <row r="260" spans="1:20" ht="12" customHeight="1" x14ac:dyDescent="0.25">
      <c r="A260" s="21">
        <v>18</v>
      </c>
      <c r="B260" s="19"/>
      <c r="C260" s="82" t="str">
        <f>DATA!L27</f>
        <v>Muhammad Furqon Ashfary</v>
      </c>
      <c r="D260" s="134" t="s">
        <v>63</v>
      </c>
      <c r="E260" s="43"/>
      <c r="F260" s="43"/>
      <c r="G260" s="43"/>
      <c r="H260" s="44"/>
      <c r="I260" s="181">
        <f t="shared" si="39"/>
        <v>0</v>
      </c>
      <c r="J260" s="45">
        <f t="shared" si="43"/>
        <v>0</v>
      </c>
      <c r="K260" s="21" t="str">
        <f t="shared" si="40"/>
        <v>tdk tuntas</v>
      </c>
      <c r="L260" s="210" t="str">
        <f t="shared" si="41"/>
        <v>80</v>
      </c>
      <c r="M260" s="14"/>
      <c r="N260" s="24"/>
      <c r="O260" s="15"/>
      <c r="Q260" s="68" t="str">
        <f t="shared" si="42"/>
        <v>Muhammad Furqon Ashfary</v>
      </c>
      <c r="R260" s="21" t="str">
        <f t="shared" si="45"/>
        <v>82</v>
      </c>
      <c r="S260" s="14"/>
      <c r="T260" s="63"/>
    </row>
    <row r="261" spans="1:20" ht="12" customHeight="1" x14ac:dyDescent="0.25">
      <c r="A261" s="21">
        <v>19</v>
      </c>
      <c r="B261" s="19"/>
      <c r="C261" s="82" t="str">
        <f>DATA!L28</f>
        <v>Muhammad Rizky Fahreza</v>
      </c>
      <c r="D261" s="248" t="s">
        <v>63</v>
      </c>
      <c r="E261" s="43"/>
      <c r="F261" s="43"/>
      <c r="G261" s="43"/>
      <c r="H261" s="44"/>
      <c r="I261" s="181">
        <f t="shared" si="39"/>
        <v>0</v>
      </c>
      <c r="J261" s="45">
        <f t="shared" si="43"/>
        <v>0</v>
      </c>
      <c r="K261" s="21" t="str">
        <f t="shared" si="40"/>
        <v>tdk tuntas</v>
      </c>
      <c r="L261" s="210" t="str">
        <f t="shared" si="41"/>
        <v>80</v>
      </c>
      <c r="M261" s="14"/>
      <c r="N261" s="24"/>
      <c r="O261" s="15"/>
      <c r="Q261" s="68" t="str">
        <f t="shared" si="42"/>
        <v>Muhammad Rizky Fahreza</v>
      </c>
      <c r="R261" s="21" t="str">
        <f t="shared" si="45"/>
        <v>82</v>
      </c>
      <c r="S261" s="14"/>
      <c r="T261" s="63"/>
    </row>
    <row r="262" spans="1:20" ht="12" customHeight="1" x14ac:dyDescent="0.25">
      <c r="A262" s="21">
        <v>20</v>
      </c>
      <c r="B262" s="19"/>
      <c r="C262" s="82" t="str">
        <f>DATA!L29</f>
        <v>Mutiara Yuliyanti</v>
      </c>
      <c r="D262" s="134" t="s">
        <v>63</v>
      </c>
      <c r="E262" s="43"/>
      <c r="F262" s="43"/>
      <c r="G262" s="43"/>
      <c r="H262" s="44"/>
      <c r="I262" s="181">
        <f t="shared" si="39"/>
        <v>0</v>
      </c>
      <c r="J262" s="45">
        <f t="shared" si="43"/>
        <v>0</v>
      </c>
      <c r="K262" s="21" t="str">
        <f t="shared" si="40"/>
        <v>tdk tuntas</v>
      </c>
      <c r="L262" s="210" t="str">
        <f t="shared" si="41"/>
        <v>80</v>
      </c>
      <c r="M262" s="14" t="s">
        <v>53</v>
      </c>
      <c r="N262" s="78">
        <f>I279</f>
        <v>0</v>
      </c>
      <c r="O262" s="15"/>
      <c r="Q262" s="68" t="str">
        <f t="shared" si="42"/>
        <v>Mutiara Yuliyanti</v>
      </c>
      <c r="R262" s="21" t="str">
        <f t="shared" si="45"/>
        <v>82</v>
      </c>
      <c r="S262" s="14"/>
      <c r="T262" s="63"/>
    </row>
    <row r="263" spans="1:20" ht="12" customHeight="1" x14ac:dyDescent="0.25">
      <c r="A263" s="21">
        <v>21</v>
      </c>
      <c r="B263" s="19"/>
      <c r="C263" s="82" t="str">
        <f>DATA!L30</f>
        <v>Nathasya Maharani Putri Agustina</v>
      </c>
      <c r="D263" s="248" t="s">
        <v>63</v>
      </c>
      <c r="E263" s="43"/>
      <c r="F263" s="43"/>
      <c r="G263" s="43"/>
      <c r="H263" s="44"/>
      <c r="I263" s="181">
        <f t="shared" si="39"/>
        <v>0</v>
      </c>
      <c r="J263" s="45">
        <f t="shared" si="43"/>
        <v>0</v>
      </c>
      <c r="K263" s="21" t="str">
        <f t="shared" si="40"/>
        <v>tdk tuntas</v>
      </c>
      <c r="L263" s="210" t="str">
        <f t="shared" si="41"/>
        <v>80</v>
      </c>
      <c r="M263" s="14" t="s">
        <v>54</v>
      </c>
      <c r="N263" s="78">
        <f>I280</f>
        <v>3100</v>
      </c>
      <c r="O263" s="15"/>
      <c r="Q263" s="68" t="str">
        <f t="shared" si="42"/>
        <v>Nathasya Maharani Putri Agustina</v>
      </c>
      <c r="R263" s="21" t="str">
        <f t="shared" si="45"/>
        <v>82</v>
      </c>
      <c r="S263" s="14"/>
      <c r="T263" s="63" t="str">
        <f>T28</f>
        <v>KASMIN, S.Pd</v>
      </c>
    </row>
    <row r="264" spans="1:20" ht="12" customHeight="1" x14ac:dyDescent="0.25">
      <c r="A264" s="21">
        <v>22</v>
      </c>
      <c r="B264" s="19"/>
      <c r="C264" s="82" t="str">
        <f>DATA!L31</f>
        <v>Naysilla Anindya Ramadhani Nayra</v>
      </c>
      <c r="D264" s="248" t="s">
        <v>63</v>
      </c>
      <c r="E264" s="43"/>
      <c r="F264" s="43"/>
      <c r="G264" s="43"/>
      <c r="H264" s="44"/>
      <c r="I264" s="181">
        <f t="shared" si="39"/>
        <v>0</v>
      </c>
      <c r="J264" s="45">
        <f t="shared" si="43"/>
        <v>0</v>
      </c>
      <c r="K264" s="21" t="str">
        <f t="shared" si="40"/>
        <v>tdk tuntas</v>
      </c>
      <c r="L264" s="210" t="str">
        <f t="shared" si="41"/>
        <v>80</v>
      </c>
      <c r="M264" s="14" t="s">
        <v>13</v>
      </c>
      <c r="N264" s="84">
        <f>N262/N263*100</f>
        <v>0</v>
      </c>
      <c r="O264" s="79" t="s">
        <v>4</v>
      </c>
      <c r="Q264" s="68" t="str">
        <f t="shared" si="42"/>
        <v>Naysilla Anindya Ramadhani Nayra</v>
      </c>
      <c r="R264" s="21" t="str">
        <f t="shared" si="45"/>
        <v>82</v>
      </c>
      <c r="S264" s="14"/>
      <c r="T264" s="83" t="str">
        <f>T29</f>
        <v>NIP : 196609141990031007</v>
      </c>
    </row>
    <row r="265" spans="1:20" ht="12" customHeight="1" x14ac:dyDescent="0.25">
      <c r="A265" s="21">
        <v>23</v>
      </c>
      <c r="B265" s="19"/>
      <c r="C265" s="82" t="str">
        <f>DATA!L32</f>
        <v>Qaleesya Juliandhifa Putri Ajisia</v>
      </c>
      <c r="D265" s="248" t="s">
        <v>63</v>
      </c>
      <c r="E265" s="43"/>
      <c r="F265" s="43"/>
      <c r="G265" s="43"/>
      <c r="H265" s="44"/>
      <c r="I265" s="181">
        <f t="shared" si="39"/>
        <v>0</v>
      </c>
      <c r="J265" s="45">
        <f t="shared" si="43"/>
        <v>0</v>
      </c>
      <c r="K265" s="21" t="str">
        <f t="shared" si="40"/>
        <v>tdk tuntas</v>
      </c>
      <c r="L265" s="210" t="str">
        <f t="shared" si="41"/>
        <v>80</v>
      </c>
      <c r="M265" s="14"/>
      <c r="N265" s="24"/>
      <c r="O265" s="15"/>
      <c r="Q265" s="68" t="str">
        <f t="shared" si="42"/>
        <v>Qaleesya Juliandhifa Putri Ajisia</v>
      </c>
      <c r="R265" s="21" t="str">
        <f t="shared" si="45"/>
        <v>82</v>
      </c>
      <c r="S265" s="14"/>
      <c r="T265" s="15"/>
    </row>
    <row r="266" spans="1:20" ht="12" customHeight="1" x14ac:dyDescent="0.25">
      <c r="A266" s="21">
        <v>24</v>
      </c>
      <c r="B266" s="19"/>
      <c r="C266" s="82" t="str">
        <f>DATA!L33</f>
        <v>Rahesya Firmansah</v>
      </c>
      <c r="D266" s="248" t="s">
        <v>63</v>
      </c>
      <c r="E266" s="43"/>
      <c r="F266" s="43"/>
      <c r="G266" s="43"/>
      <c r="H266" s="44"/>
      <c r="I266" s="181">
        <f t="shared" si="39"/>
        <v>0</v>
      </c>
      <c r="J266" s="45">
        <f t="shared" si="43"/>
        <v>0</v>
      </c>
      <c r="K266" s="21" t="str">
        <f t="shared" si="40"/>
        <v>tdk tuntas</v>
      </c>
      <c r="L266" s="210" t="str">
        <f t="shared" si="41"/>
        <v>80</v>
      </c>
      <c r="M266" s="14"/>
      <c r="N266" s="24"/>
      <c r="O266" s="15"/>
      <c r="Q266" s="68" t="str">
        <f t="shared" si="42"/>
        <v>Rahesya Firmansah</v>
      </c>
      <c r="R266" s="21" t="str">
        <f>IF(I266&lt;$N$10,"85","")</f>
        <v>85</v>
      </c>
      <c r="S266" s="14"/>
      <c r="T266" s="63" t="s">
        <v>42</v>
      </c>
    </row>
    <row r="267" spans="1:20" ht="12" customHeight="1" x14ac:dyDescent="0.25">
      <c r="A267" s="21">
        <v>25</v>
      </c>
      <c r="B267" s="19"/>
      <c r="C267" s="82" t="str">
        <f>DATA!L34</f>
        <v>Revalino Adhyaqsa Pamungkas</v>
      </c>
      <c r="D267" s="248" t="s">
        <v>63</v>
      </c>
      <c r="E267" s="43"/>
      <c r="F267" s="43"/>
      <c r="G267" s="43"/>
      <c r="H267" s="44"/>
      <c r="I267" s="181">
        <f t="shared" si="39"/>
        <v>0</v>
      </c>
      <c r="J267" s="45">
        <f t="shared" si="43"/>
        <v>0</v>
      </c>
      <c r="K267" s="21" t="str">
        <f t="shared" si="40"/>
        <v>tdk tuntas</v>
      </c>
      <c r="L267" s="210" t="str">
        <f t="shared" si="41"/>
        <v>80</v>
      </c>
      <c r="M267" s="14" t="s">
        <v>14</v>
      </c>
      <c r="N267" s="24"/>
      <c r="O267" s="15"/>
      <c r="Q267" s="68" t="str">
        <f t="shared" si="42"/>
        <v>Revalino Adhyaqsa Pamungkas</v>
      </c>
      <c r="R267" s="21" t="str">
        <f>IF(I267&lt;$N$10,"81","")</f>
        <v>81</v>
      </c>
      <c r="S267" s="14"/>
      <c r="T267" s="63"/>
    </row>
    <row r="268" spans="1:20" ht="12" customHeight="1" x14ac:dyDescent="0.25">
      <c r="A268" s="21">
        <v>26</v>
      </c>
      <c r="B268" s="19"/>
      <c r="C268" s="82" t="str">
        <f>DATA!L35</f>
        <v>Rokhan Dwi Ma'Arif</v>
      </c>
      <c r="D268" s="248" t="s">
        <v>63</v>
      </c>
      <c r="E268" s="43"/>
      <c r="F268" s="43"/>
      <c r="G268" s="43"/>
      <c r="H268" s="44"/>
      <c r="I268" s="181">
        <f t="shared" si="39"/>
        <v>0</v>
      </c>
      <c r="J268" s="45">
        <f t="shared" si="43"/>
        <v>0</v>
      </c>
      <c r="K268" s="21" t="str">
        <f t="shared" si="40"/>
        <v>tdk tuntas</v>
      </c>
      <c r="L268" s="210" t="str">
        <f t="shared" si="41"/>
        <v>80</v>
      </c>
      <c r="M268" s="14" t="s">
        <v>15</v>
      </c>
      <c r="N268" s="24"/>
      <c r="O268" s="15"/>
      <c r="Q268" s="68" t="str">
        <f t="shared" si="42"/>
        <v>Rokhan Dwi Ma'Arif</v>
      </c>
      <c r="R268" s="21" t="str">
        <f>IF(I268&lt;$N$10,"82","")</f>
        <v>82</v>
      </c>
      <c r="S268" s="14"/>
      <c r="T268" s="63"/>
    </row>
    <row r="269" spans="1:20" ht="12" customHeight="1" x14ac:dyDescent="0.3">
      <c r="A269" s="21">
        <v>27</v>
      </c>
      <c r="B269" s="19"/>
      <c r="C269" s="82" t="str">
        <f>DATA!L36</f>
        <v>Sawung Lintang Kamandanu</v>
      </c>
      <c r="D269" s="248" t="s">
        <v>63</v>
      </c>
      <c r="E269" s="43"/>
      <c r="F269" s="43"/>
      <c r="G269" s="43"/>
      <c r="H269" s="44"/>
      <c r="I269" s="181">
        <f t="shared" si="39"/>
        <v>0</v>
      </c>
      <c r="J269" s="45">
        <f t="shared" si="43"/>
        <v>0</v>
      </c>
      <c r="K269" s="21" t="str">
        <f t="shared" si="40"/>
        <v>tdk tuntas</v>
      </c>
      <c r="L269" s="210" t="str">
        <f t="shared" si="41"/>
        <v>80</v>
      </c>
      <c r="M269" s="155" t="s">
        <v>80</v>
      </c>
      <c r="N269" s="24"/>
      <c r="O269" s="15"/>
      <c r="Q269" s="68" t="str">
        <f t="shared" si="42"/>
        <v>Sawung Lintang Kamandanu</v>
      </c>
      <c r="R269" s="21" t="str">
        <f>IF(I269&lt;$N$10,"82","")</f>
        <v>82</v>
      </c>
      <c r="S269" s="14"/>
      <c r="T269" s="63"/>
    </row>
    <row r="270" spans="1:20" ht="12" customHeight="1" x14ac:dyDescent="0.25">
      <c r="A270" s="21">
        <v>28</v>
      </c>
      <c r="B270" s="19"/>
      <c r="C270" s="82" t="str">
        <f>DATA!L37</f>
        <v>Taufik Hidayat</v>
      </c>
      <c r="D270" s="134" t="s">
        <v>63</v>
      </c>
      <c r="E270" s="43"/>
      <c r="F270" s="43"/>
      <c r="G270" s="43"/>
      <c r="H270" s="44"/>
      <c r="I270" s="181">
        <f t="shared" si="39"/>
        <v>0</v>
      </c>
      <c r="J270" s="45">
        <f t="shared" si="43"/>
        <v>0</v>
      </c>
      <c r="K270" s="21" t="str">
        <f t="shared" si="40"/>
        <v>tdk tuntas</v>
      </c>
      <c r="L270" s="210" t="str">
        <f t="shared" si="41"/>
        <v>80</v>
      </c>
      <c r="M270" s="14"/>
      <c r="N270" s="24"/>
      <c r="O270" s="15"/>
      <c r="Q270" s="68" t="str">
        <f t="shared" si="42"/>
        <v>Taufik Hidayat</v>
      </c>
      <c r="R270" s="21" t="str">
        <f>IF(I270&lt;$N$10,"81","")</f>
        <v>81</v>
      </c>
      <c r="S270" s="14"/>
      <c r="T270" s="63"/>
    </row>
    <row r="271" spans="1:20" ht="12" customHeight="1" x14ac:dyDescent="0.25">
      <c r="A271" s="21">
        <v>29</v>
      </c>
      <c r="B271" s="19"/>
      <c r="C271" s="82" t="str">
        <f>DATA!L38</f>
        <v>Valentino Febrianzah</v>
      </c>
      <c r="D271" s="134" t="s">
        <v>63</v>
      </c>
      <c r="E271" s="43"/>
      <c r="F271" s="43"/>
      <c r="G271" s="43"/>
      <c r="H271" s="44"/>
      <c r="I271" s="181">
        <f t="shared" si="39"/>
        <v>0</v>
      </c>
      <c r="J271" s="45">
        <f t="shared" si="43"/>
        <v>0</v>
      </c>
      <c r="K271" s="21" t="str">
        <f t="shared" si="40"/>
        <v>tdk tuntas</v>
      </c>
      <c r="L271" s="210" t="str">
        <f t="shared" si="41"/>
        <v>80</v>
      </c>
      <c r="M271" s="14"/>
      <c r="N271" s="24"/>
      <c r="O271" s="15"/>
      <c r="Q271" s="68" t="str">
        <f t="shared" si="42"/>
        <v>Valentino Febrianzah</v>
      </c>
      <c r="R271" s="21" t="str">
        <f>IF(I271&lt;$N$10,"85","")</f>
        <v>85</v>
      </c>
      <c r="S271" s="14"/>
      <c r="T271" s="63"/>
    </row>
    <row r="272" spans="1:20" ht="12" customHeight="1" x14ac:dyDescent="0.25">
      <c r="A272" s="21">
        <v>30</v>
      </c>
      <c r="B272" s="19"/>
      <c r="C272" s="82" t="str">
        <f>DATA!L39</f>
        <v>Vega Olivia Ramandhani</v>
      </c>
      <c r="D272" s="248" t="s">
        <v>63</v>
      </c>
      <c r="E272" s="43"/>
      <c r="F272" s="43"/>
      <c r="G272" s="43"/>
      <c r="H272" s="44"/>
      <c r="I272" s="181">
        <f t="shared" si="39"/>
        <v>0</v>
      </c>
      <c r="J272" s="45">
        <f t="shared" si="43"/>
        <v>0</v>
      </c>
      <c r="K272" s="21" t="str">
        <f t="shared" si="40"/>
        <v>tdk tuntas</v>
      </c>
      <c r="L272" s="210" t="str">
        <f t="shared" si="41"/>
        <v>80</v>
      </c>
      <c r="M272" s="14"/>
      <c r="N272" s="24"/>
      <c r="O272" s="15"/>
      <c r="Q272" s="68" t="str">
        <f t="shared" si="42"/>
        <v>Vega Olivia Ramandhani</v>
      </c>
      <c r="R272" s="21" t="str">
        <f>IF(I272&lt;$N$10,"84","")</f>
        <v>84</v>
      </c>
      <c r="S272" s="14"/>
      <c r="T272" s="63" t="str">
        <f>T37</f>
        <v>Dra. BAROKAH GUNIARTI</v>
      </c>
    </row>
    <row r="273" spans="1:20" ht="12" customHeight="1" x14ac:dyDescent="0.25">
      <c r="A273" s="21">
        <v>31</v>
      </c>
      <c r="B273" s="19"/>
      <c r="C273" s="82">
        <f>DATA!L40</f>
        <v>0</v>
      </c>
      <c r="D273" s="134" t="s">
        <v>63</v>
      </c>
      <c r="E273" s="43"/>
      <c r="F273" s="43"/>
      <c r="G273" s="43"/>
      <c r="H273" s="44"/>
      <c r="I273" s="181">
        <f t="shared" si="39"/>
        <v>0</v>
      </c>
      <c r="J273" s="45">
        <f>I273</f>
        <v>0</v>
      </c>
      <c r="K273" s="21" t="str">
        <f>IF(J273&lt;$N$10,"tdk tuntas","tuntas")</f>
        <v>tdk tuntas</v>
      </c>
      <c r="L273" s="210" t="str">
        <f t="shared" si="41"/>
        <v>80</v>
      </c>
      <c r="M273" s="14" t="s">
        <v>56</v>
      </c>
      <c r="N273" s="24"/>
      <c r="O273" s="15"/>
      <c r="Q273" s="68">
        <f>C273</f>
        <v>0</v>
      </c>
      <c r="R273" s="21" t="str">
        <f>IF(I273&lt;$N$10,"84","")</f>
        <v>84</v>
      </c>
      <c r="S273" s="14"/>
      <c r="T273" s="103" t="str">
        <f>T38</f>
        <v>NIP : 196901081996122004</v>
      </c>
    </row>
    <row r="274" spans="1:20" ht="12" customHeight="1" x14ac:dyDescent="0.25">
      <c r="A274" s="21">
        <v>32</v>
      </c>
      <c r="B274" s="19"/>
      <c r="C274" s="82"/>
      <c r="D274" s="248" t="s">
        <v>63</v>
      </c>
      <c r="E274" s="43"/>
      <c r="F274" s="43"/>
      <c r="G274" s="43"/>
      <c r="H274" s="44"/>
      <c r="I274" s="246"/>
      <c r="J274" s="45"/>
      <c r="K274" s="21"/>
      <c r="L274" s="210"/>
      <c r="M274" s="14"/>
      <c r="N274" s="24"/>
      <c r="O274" s="15"/>
      <c r="Q274" s="68">
        <f>C274</f>
        <v>0</v>
      </c>
      <c r="R274" s="21"/>
      <c r="S274" s="14"/>
      <c r="T274" s="15"/>
    </row>
    <row r="275" spans="1:20" ht="12" customHeight="1" x14ac:dyDescent="0.25">
      <c r="A275" s="21">
        <v>33</v>
      </c>
      <c r="B275" s="19"/>
      <c r="C275" s="82"/>
      <c r="D275" s="42" t="s">
        <v>63</v>
      </c>
      <c r="E275" s="43"/>
      <c r="F275" s="43"/>
      <c r="G275" s="43"/>
      <c r="H275" s="44"/>
      <c r="I275" s="21"/>
      <c r="J275" s="45"/>
      <c r="K275" s="21"/>
      <c r="L275" s="210"/>
      <c r="M275" s="14" t="s">
        <v>16</v>
      </c>
      <c r="N275" s="24"/>
      <c r="O275" s="15"/>
      <c r="Q275" s="68">
        <f>C275</f>
        <v>0</v>
      </c>
      <c r="R275" s="21"/>
      <c r="S275" s="14"/>
      <c r="T275" s="15"/>
    </row>
    <row r="276" spans="1:20" ht="12" customHeight="1" x14ac:dyDescent="0.25">
      <c r="A276" s="21">
        <v>34</v>
      </c>
      <c r="B276" s="19"/>
      <c r="C276" s="82"/>
      <c r="D276" s="42"/>
      <c r="E276" s="43"/>
      <c r="F276" s="43"/>
      <c r="G276" s="43"/>
      <c r="H276" s="44"/>
      <c r="I276" s="21"/>
      <c r="J276" s="45"/>
      <c r="K276" s="21"/>
      <c r="L276" s="210"/>
      <c r="M276" s="14" t="s">
        <v>82</v>
      </c>
      <c r="N276" s="24">
        <f>N245</f>
        <v>80</v>
      </c>
      <c r="O276" s="15"/>
      <c r="Q276" s="68"/>
      <c r="R276" s="21"/>
      <c r="S276" s="14"/>
      <c r="T276" s="15"/>
    </row>
    <row r="277" spans="1:20" ht="12" customHeight="1" x14ac:dyDescent="0.25">
      <c r="A277" s="21">
        <v>35</v>
      </c>
      <c r="B277" s="22"/>
      <c r="C277" s="162"/>
      <c r="D277" s="136"/>
      <c r="E277" s="137"/>
      <c r="F277" s="137"/>
      <c r="G277" s="137"/>
      <c r="H277" s="138"/>
      <c r="I277" s="21"/>
      <c r="J277" s="45"/>
      <c r="K277" s="21"/>
      <c r="L277" s="247"/>
      <c r="M277" s="14" t="s">
        <v>23</v>
      </c>
      <c r="N277" s="24"/>
      <c r="O277" s="15"/>
      <c r="Q277" s="68"/>
      <c r="R277" s="21"/>
      <c r="S277" s="16"/>
      <c r="T277" s="17"/>
    </row>
    <row r="278" spans="1:20" ht="12" customHeight="1" x14ac:dyDescent="0.25">
      <c r="A278" s="101" t="s">
        <v>64</v>
      </c>
      <c r="B278" s="96"/>
      <c r="C278" s="97"/>
      <c r="D278" s="93"/>
      <c r="E278" s="94"/>
      <c r="F278" s="94"/>
      <c r="G278" s="94"/>
      <c r="H278" s="95"/>
      <c r="I278" s="98">
        <f>AVERAGE(I243:I277)</f>
        <v>0</v>
      </c>
      <c r="J278" s="74"/>
      <c r="K278" s="47"/>
      <c r="L278" s="65"/>
      <c r="M278" s="14"/>
      <c r="N278" s="24"/>
      <c r="O278" s="15"/>
      <c r="Q278" s="60"/>
      <c r="R278" s="471" t="str">
        <f>C239</f>
        <v>9F</v>
      </c>
      <c r="S278" s="471"/>
      <c r="T278" s="61"/>
    </row>
    <row r="279" spans="1:20" ht="12" customHeight="1" x14ac:dyDescent="0.25">
      <c r="A279" s="14" t="s">
        <v>17</v>
      </c>
      <c r="B279" s="24"/>
      <c r="C279" s="15"/>
      <c r="D279" s="42">
        <f>SUM(D243:D277)</f>
        <v>0</v>
      </c>
      <c r="E279" s="43">
        <f>SUM(E243:E277)</f>
        <v>0</v>
      </c>
      <c r="F279" s="43">
        <f>SUM(F243:F277)</f>
        <v>0</v>
      </c>
      <c r="G279" s="43">
        <f>SUM(G243:G277)</f>
        <v>0</v>
      </c>
      <c r="H279" s="44"/>
      <c r="I279" s="80">
        <f>SUM(D279:H279)</f>
        <v>0</v>
      </c>
      <c r="J279" s="85" t="s">
        <v>49</v>
      </c>
      <c r="K279" s="48">
        <f>COUNTIF(K243:K277,J279)</f>
        <v>0</v>
      </c>
      <c r="L279" s="64"/>
      <c r="M279" s="14"/>
      <c r="N279" s="24"/>
      <c r="O279" s="15"/>
      <c r="Q279" s="30"/>
      <c r="R279" s="472"/>
      <c r="S279" s="472"/>
      <c r="T279" s="31"/>
    </row>
    <row r="280" spans="1:20" ht="12" customHeight="1" x14ac:dyDescent="0.25">
      <c r="A280" s="14" t="s">
        <v>18</v>
      </c>
      <c r="B280" s="24"/>
      <c r="C280" s="15"/>
      <c r="D280" s="42">
        <f>D241*K281</f>
        <v>930</v>
      </c>
      <c r="E280" s="43">
        <f>E241*K281</f>
        <v>1240</v>
      </c>
      <c r="F280" s="43">
        <f>F241*K281</f>
        <v>930</v>
      </c>
      <c r="G280" s="43">
        <f>G241*K281</f>
        <v>0</v>
      </c>
      <c r="H280" s="44"/>
      <c r="I280" s="80">
        <f>SUM(D280:H280)</f>
        <v>3100</v>
      </c>
      <c r="J280" s="86" t="s">
        <v>50</v>
      </c>
      <c r="K280" s="48">
        <f>COUNTIF(K243:K277,J280)</f>
        <v>31</v>
      </c>
      <c r="L280" s="64"/>
      <c r="M280" s="14"/>
      <c r="N280" s="24"/>
      <c r="O280" s="15"/>
      <c r="Q280" s="30"/>
      <c r="R280" s="472"/>
      <c r="S280" s="472"/>
      <c r="T280" s="31"/>
    </row>
    <row r="281" spans="1:20" ht="12" customHeight="1" x14ac:dyDescent="0.25">
      <c r="A281" s="26" t="s">
        <v>19</v>
      </c>
      <c r="B281" s="27"/>
      <c r="C281" s="28"/>
      <c r="D281" s="136">
        <f>D279/D280*100</f>
        <v>0</v>
      </c>
      <c r="E281" s="137">
        <f>E279/E280*100</f>
        <v>0</v>
      </c>
      <c r="F281" s="137">
        <f>F279/F280*100</f>
        <v>0</v>
      </c>
      <c r="G281" s="137" t="e">
        <f>G279/G280*100</f>
        <v>#DIV/0!</v>
      </c>
      <c r="H281" s="138"/>
      <c r="I281" s="50">
        <f>I279/I280*100</f>
        <v>0</v>
      </c>
      <c r="J281" s="75" t="s">
        <v>57</v>
      </c>
      <c r="K281" s="49">
        <f>SUM(K279:K280)</f>
        <v>31</v>
      </c>
      <c r="L281" s="66"/>
      <c r="M281" s="16"/>
      <c r="N281" s="25"/>
      <c r="O281" s="17"/>
      <c r="Q281" s="8"/>
      <c r="R281" s="473"/>
      <c r="S281" s="473"/>
      <c r="T281" s="9"/>
    </row>
    <row r="282" spans="1:20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</sheetData>
  <mergeCells count="48">
    <mergeCell ref="R90:S93"/>
    <mergeCell ref="R137:S140"/>
    <mergeCell ref="R184:S187"/>
    <mergeCell ref="R231:S234"/>
    <mergeCell ref="R278:S281"/>
    <mergeCell ref="A236:O236"/>
    <mergeCell ref="A237:O237"/>
    <mergeCell ref="M240:O242"/>
    <mergeCell ref="Q236:T236"/>
    <mergeCell ref="Q237:T237"/>
    <mergeCell ref="R239:S239"/>
    <mergeCell ref="S241:T241"/>
    <mergeCell ref="A49:O49"/>
    <mergeCell ref="Q49:T49"/>
    <mergeCell ref="M5:O7"/>
    <mergeCell ref="A1:O1"/>
    <mergeCell ref="A2:O2"/>
    <mergeCell ref="S6:T6"/>
    <mergeCell ref="Q1:T1"/>
    <mergeCell ref="Q2:T2"/>
    <mergeCell ref="R43:S46"/>
    <mergeCell ref="Q96:T96"/>
    <mergeCell ref="R4:S4"/>
    <mergeCell ref="R51:S51"/>
    <mergeCell ref="A48:O48"/>
    <mergeCell ref="M99:O101"/>
    <mergeCell ref="S100:T100"/>
    <mergeCell ref="M52:O54"/>
    <mergeCell ref="S53:T53"/>
    <mergeCell ref="A95:O95"/>
    <mergeCell ref="Q48:T48"/>
    <mergeCell ref="Q95:T95"/>
    <mergeCell ref="R98:S98"/>
    <mergeCell ref="M146:O148"/>
    <mergeCell ref="S147:T147"/>
    <mergeCell ref="A142:O142"/>
    <mergeCell ref="Q142:T142"/>
    <mergeCell ref="A143:O143"/>
    <mergeCell ref="Q143:T143"/>
    <mergeCell ref="R145:S145"/>
    <mergeCell ref="A96:O96"/>
    <mergeCell ref="A189:O189"/>
    <mergeCell ref="A190:O190"/>
    <mergeCell ref="M193:O195"/>
    <mergeCell ref="Q189:T189"/>
    <mergeCell ref="Q190:T190"/>
    <mergeCell ref="S194:T194"/>
    <mergeCell ref="R192:S192"/>
  </mergeCells>
  <phoneticPr fontId="2" type="noConversion"/>
  <pageMargins left="0.47" right="0.13" top="0.39" bottom="0.18" header="0.12" footer="0.14000000000000001"/>
  <pageSetup paperSize="5"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029" r:id="rId4">
          <objectPr defaultSize="0" autoPict="0" r:id="rId5">
            <anchor moveWithCells="1" sizeWithCells="1">
              <from>
                <xdr:col>12</xdr:col>
                <xdr:colOff>12700</xdr:colOff>
                <xdr:row>15</xdr:row>
                <xdr:rowOff>38100</xdr:rowOff>
              </from>
              <to>
                <xdr:col>14</xdr:col>
                <xdr:colOff>127000</xdr:colOff>
                <xdr:row>17</xdr:row>
                <xdr:rowOff>88900</xdr:rowOff>
              </to>
            </anchor>
          </objectPr>
        </oleObject>
      </mc:Choice>
      <mc:Fallback>
        <oleObject progId="Equation.3" shapeId="1029" r:id="rId4"/>
      </mc:Fallback>
    </mc:AlternateContent>
    <mc:AlternateContent xmlns:mc="http://schemas.openxmlformats.org/markup-compatibility/2006">
      <mc:Choice Requires="x14">
        <oleObject progId="Equation.3" shapeId="1030" r:id="rId6">
          <objectPr defaultSize="0" autoPict="0" r:id="rId7">
            <anchor moveWithCells="1" sizeWithCells="1">
              <from>
                <xdr:col>12</xdr:col>
                <xdr:colOff>19050</xdr:colOff>
                <xdr:row>23</xdr:row>
                <xdr:rowOff>57150</xdr:rowOff>
              </from>
              <to>
                <xdr:col>14</xdr:col>
                <xdr:colOff>38100</xdr:colOff>
                <xdr:row>25</xdr:row>
                <xdr:rowOff>69850</xdr:rowOff>
              </to>
            </anchor>
          </objectPr>
        </oleObject>
      </mc:Choice>
      <mc:Fallback>
        <oleObject progId="Equation.3" shapeId="1030" r:id="rId6"/>
      </mc:Fallback>
    </mc:AlternateContent>
    <mc:AlternateContent xmlns:mc="http://schemas.openxmlformats.org/markup-compatibility/2006">
      <mc:Choice Requires="x14">
        <oleObject progId="Equation.3" shapeId="1031" r:id="rId8">
          <objectPr defaultSize="0" autoPict="0" r:id="rId5">
            <anchor moveWithCells="1" sizeWithCells="1">
              <from>
                <xdr:col>12</xdr:col>
                <xdr:colOff>50800</xdr:colOff>
                <xdr:row>61</xdr:row>
                <xdr:rowOff>127000</xdr:rowOff>
              </from>
              <to>
                <xdr:col>14</xdr:col>
                <xdr:colOff>165100</xdr:colOff>
                <xdr:row>64</xdr:row>
                <xdr:rowOff>31750</xdr:rowOff>
              </to>
            </anchor>
          </objectPr>
        </oleObject>
      </mc:Choice>
      <mc:Fallback>
        <oleObject progId="Equation.3" shapeId="1031" r:id="rId8"/>
      </mc:Fallback>
    </mc:AlternateContent>
    <mc:AlternateContent xmlns:mc="http://schemas.openxmlformats.org/markup-compatibility/2006">
      <mc:Choice Requires="x14">
        <oleObject progId="Equation.3" shapeId="1033" r:id="rId9">
          <objectPr defaultSize="0" autoPict="0" r:id="rId5">
            <anchor moveWithCells="1" sizeWithCells="1">
              <from>
                <xdr:col>12</xdr:col>
                <xdr:colOff>0</xdr:colOff>
                <xdr:row>108</xdr:row>
                <xdr:rowOff>127000</xdr:rowOff>
              </from>
              <to>
                <xdr:col>14</xdr:col>
                <xdr:colOff>120650</xdr:colOff>
                <xdr:row>111</xdr:row>
                <xdr:rowOff>31750</xdr:rowOff>
              </to>
            </anchor>
          </objectPr>
        </oleObject>
      </mc:Choice>
      <mc:Fallback>
        <oleObject progId="Equation.3" shapeId="1033" r:id="rId9"/>
      </mc:Fallback>
    </mc:AlternateContent>
    <mc:AlternateContent xmlns:mc="http://schemas.openxmlformats.org/markup-compatibility/2006">
      <mc:Choice Requires="x14">
        <oleObject progId="Equation.3" shapeId="1034" r:id="rId10">
          <objectPr defaultSize="0" autoPict="0" r:id="rId7">
            <anchor moveWithCells="1" sizeWithCells="1">
              <from>
                <xdr:col>12</xdr:col>
                <xdr:colOff>0</xdr:colOff>
                <xdr:row>117</xdr:row>
                <xdr:rowOff>0</xdr:rowOff>
              </from>
              <to>
                <xdr:col>14</xdr:col>
                <xdr:colOff>69850</xdr:colOff>
                <xdr:row>119</xdr:row>
                <xdr:rowOff>12700</xdr:rowOff>
              </to>
            </anchor>
          </objectPr>
        </oleObject>
      </mc:Choice>
      <mc:Fallback>
        <oleObject progId="Equation.3" shapeId="1034" r:id="rId10"/>
      </mc:Fallback>
    </mc:AlternateContent>
    <mc:AlternateContent xmlns:mc="http://schemas.openxmlformats.org/markup-compatibility/2006">
      <mc:Choice Requires="x14">
        <oleObject progId="Equation.3" shapeId="1035" r:id="rId11">
          <objectPr defaultSize="0" autoPict="0" r:id="rId5">
            <anchor moveWithCells="1" sizeWithCells="1">
              <from>
                <xdr:col>12</xdr:col>
                <xdr:colOff>19050</xdr:colOff>
                <xdr:row>156</xdr:row>
                <xdr:rowOff>38100</xdr:rowOff>
              </from>
              <to>
                <xdr:col>14</xdr:col>
                <xdr:colOff>139700</xdr:colOff>
                <xdr:row>158</xdr:row>
                <xdr:rowOff>88900</xdr:rowOff>
              </to>
            </anchor>
          </objectPr>
        </oleObject>
      </mc:Choice>
      <mc:Fallback>
        <oleObject progId="Equation.3" shapeId="1035" r:id="rId11"/>
      </mc:Fallback>
    </mc:AlternateContent>
    <mc:AlternateContent xmlns:mc="http://schemas.openxmlformats.org/markup-compatibility/2006">
      <mc:Choice Requires="x14">
        <oleObject progId="Equation.3" shapeId="1036" r:id="rId12">
          <objectPr defaultSize="0" autoPict="0" r:id="rId7">
            <anchor moveWithCells="1" sizeWithCells="1">
              <from>
                <xdr:col>12</xdr:col>
                <xdr:colOff>0</xdr:colOff>
                <xdr:row>164</xdr:row>
                <xdr:rowOff>95250</xdr:rowOff>
              </from>
              <to>
                <xdr:col>14</xdr:col>
                <xdr:colOff>76200</xdr:colOff>
                <xdr:row>166</xdr:row>
                <xdr:rowOff>107950</xdr:rowOff>
              </to>
            </anchor>
          </objectPr>
        </oleObject>
      </mc:Choice>
      <mc:Fallback>
        <oleObject progId="Equation.3" shapeId="1036" r:id="rId12"/>
      </mc:Fallback>
    </mc:AlternateContent>
    <mc:AlternateContent xmlns:mc="http://schemas.openxmlformats.org/markup-compatibility/2006">
      <mc:Choice Requires="x14">
        <oleObject progId="Equation.3" shapeId="13766" r:id="rId13">
          <objectPr defaultSize="0" autoPict="0" r:id="rId5">
            <anchor moveWithCells="1" sizeWithCells="1">
              <from>
                <xdr:col>12</xdr:col>
                <xdr:colOff>12700</xdr:colOff>
                <xdr:row>258</xdr:row>
                <xdr:rowOff>12700</xdr:rowOff>
              </from>
              <to>
                <xdr:col>14</xdr:col>
                <xdr:colOff>127000</xdr:colOff>
                <xdr:row>260</xdr:row>
                <xdr:rowOff>57150</xdr:rowOff>
              </to>
            </anchor>
          </objectPr>
        </oleObject>
      </mc:Choice>
      <mc:Fallback>
        <oleObject progId="Equation.3" shapeId="13766" r:id="rId1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740A-121D-498C-9E9C-F2EC01B5A60B}">
  <dimension ref="A1:T282"/>
  <sheetViews>
    <sheetView topLeftCell="A133" zoomScaleNormal="100" workbookViewId="0">
      <selection activeCell="D196" sqref="D196:D225"/>
    </sheetView>
  </sheetViews>
  <sheetFormatPr defaultRowHeight="12.5" x14ac:dyDescent="0.25"/>
  <cols>
    <col min="1" max="1" width="3.54296875" customWidth="1"/>
    <col min="2" max="2" width="3.7265625" customWidth="1"/>
    <col min="3" max="3" width="15.7265625" customWidth="1"/>
    <col min="4" max="4" width="5" customWidth="1"/>
    <col min="5" max="5" width="4.453125" customWidth="1"/>
    <col min="6" max="6" width="4.54296875" customWidth="1"/>
    <col min="7" max="7" width="4.26953125" customWidth="1"/>
    <col min="8" max="8" width="3.7265625" customWidth="1"/>
    <col min="9" max="9" width="5.7265625" customWidth="1"/>
    <col min="10" max="10" width="6.54296875" customWidth="1"/>
    <col min="12" max="12" width="5.54296875" customWidth="1"/>
    <col min="13" max="13" width="23.54296875" customWidth="1"/>
    <col min="14" max="14" width="4.453125" customWidth="1"/>
    <col min="15" max="15" width="4.26953125" customWidth="1"/>
    <col min="16" max="16" width="3.1796875" customWidth="1"/>
    <col min="17" max="17" width="18.54296875" customWidth="1"/>
    <col min="18" max="18" width="5.1796875" customWidth="1"/>
    <col min="19" max="19" width="3.26953125" customWidth="1"/>
    <col min="20" max="20" width="24.7265625" customWidth="1"/>
  </cols>
  <sheetData>
    <row r="1" spans="1:20" ht="12" customHeight="1" x14ac:dyDescent="0.25">
      <c r="A1" s="456" t="str">
        <f>'UH1'!A1</f>
        <v>ANALISA HASIL PH MATEMATIKA KLS IX  SMT GENAP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8"/>
      <c r="Q1" s="456" t="s">
        <v>40</v>
      </c>
      <c r="R1" s="457"/>
      <c r="S1" s="457"/>
      <c r="T1" s="458"/>
    </row>
    <row r="2" spans="1:20" ht="12" customHeight="1" x14ac:dyDescent="0.25">
      <c r="A2" s="453" t="str">
        <f>'UH1'!A2</f>
        <v>SMP I LIMBANGAN  TH 2025/2026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5"/>
      <c r="Q2" s="453" t="s">
        <v>61</v>
      </c>
      <c r="R2" s="454"/>
      <c r="S2" s="454"/>
      <c r="T2" s="455"/>
    </row>
    <row r="3" spans="1:20" ht="12" customHeight="1" x14ac:dyDescent="0.25"/>
    <row r="4" spans="1:20" ht="12" customHeight="1" x14ac:dyDescent="0.25">
      <c r="A4" s="99" t="s">
        <v>66</v>
      </c>
      <c r="C4" s="102" t="str">
        <f>DATA!B8</f>
        <v>9A</v>
      </c>
      <c r="D4" t="s">
        <v>297</v>
      </c>
      <c r="F4" s="178">
        <v>2</v>
      </c>
      <c r="I4" t="s">
        <v>20</v>
      </c>
      <c r="J4" s="90"/>
      <c r="K4" s="88">
        <v>45936</v>
      </c>
      <c r="M4" s="1" t="s">
        <v>60</v>
      </c>
      <c r="N4" s="375">
        <v>2</v>
      </c>
      <c r="Q4" t="s">
        <v>28</v>
      </c>
      <c r="R4" s="470">
        <f>K4+7</f>
        <v>45943</v>
      </c>
      <c r="S4" s="470"/>
    </row>
    <row r="5" spans="1:20" ht="12" customHeight="1" x14ac:dyDescent="0.25">
      <c r="A5" s="2"/>
      <c r="B5" s="2"/>
      <c r="C5" s="3" t="s">
        <v>7</v>
      </c>
      <c r="D5" s="32">
        <v>1</v>
      </c>
      <c r="E5" s="33">
        <v>2</v>
      </c>
      <c r="F5" s="33">
        <v>3</v>
      </c>
      <c r="G5" s="33">
        <v>4</v>
      </c>
      <c r="H5" s="34">
        <v>5</v>
      </c>
      <c r="I5" s="35" t="s">
        <v>3</v>
      </c>
      <c r="J5" s="4" t="s">
        <v>4</v>
      </c>
      <c r="K5" s="53" t="s">
        <v>83</v>
      </c>
      <c r="L5" s="35" t="s">
        <v>43</v>
      </c>
      <c r="M5" s="459" t="s">
        <v>9</v>
      </c>
      <c r="N5" s="460"/>
      <c r="O5" s="461"/>
      <c r="Q5" s="2"/>
      <c r="R5" s="35" t="s">
        <v>24</v>
      </c>
      <c r="S5" s="60"/>
      <c r="T5" s="61"/>
    </row>
    <row r="6" spans="1:20" ht="12" customHeight="1" x14ac:dyDescent="0.25">
      <c r="A6" s="6" t="s">
        <v>0</v>
      </c>
      <c r="B6" s="6" t="s">
        <v>1</v>
      </c>
      <c r="C6" s="5" t="s">
        <v>8</v>
      </c>
      <c r="D6" s="55">
        <v>20</v>
      </c>
      <c r="E6" s="56">
        <v>20</v>
      </c>
      <c r="F6" s="56">
        <v>30</v>
      </c>
      <c r="G6" s="56">
        <v>30</v>
      </c>
      <c r="H6" s="57"/>
      <c r="I6" s="21">
        <f>SUM(D6:H6)</f>
        <v>100</v>
      </c>
      <c r="J6" s="6" t="s">
        <v>5</v>
      </c>
      <c r="K6" s="52" t="s">
        <v>22</v>
      </c>
      <c r="L6" s="11" t="s">
        <v>44</v>
      </c>
      <c r="M6" s="462"/>
      <c r="N6" s="463"/>
      <c r="O6" s="464"/>
      <c r="Q6" s="6" t="s">
        <v>2</v>
      </c>
      <c r="R6" s="11" t="s">
        <v>25</v>
      </c>
      <c r="S6" s="468" t="s">
        <v>27</v>
      </c>
      <c r="T6" s="469"/>
    </row>
    <row r="7" spans="1:20" ht="12" customHeight="1" x14ac:dyDescent="0.25">
      <c r="A7" s="6"/>
      <c r="B7" s="6"/>
      <c r="C7" s="51" t="s">
        <v>2</v>
      </c>
      <c r="D7" s="36"/>
      <c r="E7" s="37"/>
      <c r="F7" s="37"/>
      <c r="G7" s="37"/>
      <c r="H7" s="38"/>
      <c r="I7" s="11"/>
      <c r="J7" s="6" t="s">
        <v>6</v>
      </c>
      <c r="K7" s="54"/>
      <c r="L7" s="59" t="s">
        <v>45</v>
      </c>
      <c r="M7" s="465"/>
      <c r="N7" s="466"/>
      <c r="O7" s="467"/>
      <c r="Q7" s="7"/>
      <c r="R7" s="59" t="s">
        <v>26</v>
      </c>
      <c r="S7" s="8"/>
      <c r="T7" s="9"/>
    </row>
    <row r="8" spans="1:20" ht="12" customHeight="1" x14ac:dyDescent="0.3">
      <c r="A8" s="20">
        <v>1</v>
      </c>
      <c r="B8" s="18"/>
      <c r="C8" s="81" t="str">
        <f>DATA!B10</f>
        <v>Affan Bagus Ramadhani</v>
      </c>
      <c r="D8" s="381">
        <v>40</v>
      </c>
      <c r="E8" s="40"/>
      <c r="F8" s="40"/>
      <c r="G8" s="40"/>
      <c r="H8" s="41"/>
      <c r="I8" s="120">
        <f>SUM(D8:H8)</f>
        <v>40</v>
      </c>
      <c r="J8" s="121">
        <f>I8</f>
        <v>40</v>
      </c>
      <c r="K8" s="21" t="str">
        <f>IF(J8&lt;$N$10,"tdk tuntas","tuntas")</f>
        <v>tdk tuntas</v>
      </c>
      <c r="L8" s="209" t="str">
        <f>IF(J8&lt;=39.9,"80",IF(J8&lt;=59.9,"81",IF(J8&lt;=69.9,"82",IF(J8&lt;=74.9,"83",IF(J8&lt;=78.9,"84",IF(J8&lt;=78.9,"85",IF(J8&gt;=78.9,J8," ")))))))</f>
        <v>81</v>
      </c>
      <c r="M8" s="12"/>
      <c r="N8" s="23"/>
      <c r="O8" s="13"/>
      <c r="Q8" s="67" t="str">
        <f>C8</f>
        <v>Affan Bagus Ramadhani</v>
      </c>
      <c r="R8" s="21" t="str">
        <f>IF(I8&lt;$N$10,"80","")</f>
        <v>80</v>
      </c>
      <c r="S8" s="12"/>
      <c r="T8" s="13"/>
    </row>
    <row r="9" spans="1:20" ht="12" customHeight="1" x14ac:dyDescent="0.3">
      <c r="A9" s="21">
        <v>2</v>
      </c>
      <c r="B9" s="19"/>
      <c r="C9" s="82" t="str">
        <f>DATA!B11</f>
        <v>Affansa Rayya Assalafi</v>
      </c>
      <c r="D9" s="382">
        <v>40</v>
      </c>
      <c r="E9" s="43"/>
      <c r="F9" s="43"/>
      <c r="G9" s="43"/>
      <c r="H9" s="44"/>
      <c r="I9" s="122">
        <f t="shared" ref="I9:I39" si="0">SUM(D9:H9)</f>
        <v>40</v>
      </c>
      <c r="J9" s="123">
        <f t="shared" ref="J9:J34" si="1">I9</f>
        <v>40</v>
      </c>
      <c r="K9" s="21" t="str">
        <f t="shared" ref="K9:K34" si="2">IF(J9&lt;$N$10,"tdk tuntas","tuntas")</f>
        <v>tdk tuntas</v>
      </c>
      <c r="L9" s="210" t="str">
        <f t="shared" ref="L9:L39" si="3">IF(J9&lt;=39.9,"80",IF(J9&lt;=59.9,"81",IF(J9&lt;=69.9,"82",IF(J9&lt;=74.9,"83",IF(J9&lt;=78.9,"84",IF(J9&lt;=78.9,"85",IF(J9&gt;=78.9,J9," ")))))))</f>
        <v>81</v>
      </c>
      <c r="M9" s="14"/>
      <c r="N9" s="24"/>
      <c r="O9" s="15"/>
      <c r="Q9" s="68" t="str">
        <f t="shared" ref="Q9:Q38" si="4">C9</f>
        <v>Affansa Rayya Assalafi</v>
      </c>
      <c r="R9" s="21" t="str">
        <f>IF(I9&lt;$N$10,"81","")</f>
        <v>81</v>
      </c>
      <c r="S9" s="14" t="s">
        <v>29</v>
      </c>
      <c r="T9" s="15"/>
    </row>
    <row r="10" spans="1:20" ht="12" customHeight="1" thickBot="1" x14ac:dyDescent="0.35">
      <c r="A10" s="21">
        <v>3</v>
      </c>
      <c r="B10" s="19"/>
      <c r="C10" s="82" t="str">
        <f>DATA!B12</f>
        <v>Agel Fransiska</v>
      </c>
      <c r="D10" s="382">
        <v>45</v>
      </c>
      <c r="E10" s="43"/>
      <c r="F10" s="43"/>
      <c r="G10" s="43"/>
      <c r="H10" s="44"/>
      <c r="I10" s="122">
        <f t="shared" si="0"/>
        <v>45</v>
      </c>
      <c r="J10" s="123">
        <f t="shared" si="1"/>
        <v>45</v>
      </c>
      <c r="K10" s="21" t="str">
        <f t="shared" si="2"/>
        <v>tdk tuntas</v>
      </c>
      <c r="L10" s="210" t="str">
        <f t="shared" si="3"/>
        <v>81</v>
      </c>
      <c r="M10" s="70" t="s">
        <v>62</v>
      </c>
      <c r="N10" s="376">
        <f>DATA!F4</f>
        <v>80</v>
      </c>
      <c r="O10" s="15"/>
      <c r="Q10" s="68" t="str">
        <f t="shared" si="4"/>
        <v>Agel Fransiska</v>
      </c>
      <c r="R10" s="21" t="str">
        <f>IF(I10&lt;$N$10,"81","")</f>
        <v>81</v>
      </c>
      <c r="S10" s="26"/>
      <c r="T10" s="15"/>
    </row>
    <row r="11" spans="1:20" ht="12" customHeight="1" thickTop="1" thickBot="1" x14ac:dyDescent="0.35">
      <c r="A11" s="21">
        <v>4</v>
      </c>
      <c r="B11" s="19"/>
      <c r="C11" s="82" t="str">
        <f>DATA!B13</f>
        <v>Alfin Putra Firmansyah</v>
      </c>
      <c r="D11" s="382">
        <v>10</v>
      </c>
      <c r="E11" s="43"/>
      <c r="F11" s="43"/>
      <c r="G11" s="43"/>
      <c r="H11" s="44"/>
      <c r="I11" s="122">
        <f t="shared" si="0"/>
        <v>10</v>
      </c>
      <c r="J11" s="123">
        <f t="shared" si="1"/>
        <v>10</v>
      </c>
      <c r="K11" s="21" t="str">
        <f t="shared" si="2"/>
        <v>tdk tuntas</v>
      </c>
      <c r="L11" s="210" t="str">
        <f t="shared" si="3"/>
        <v>80</v>
      </c>
      <c r="M11" s="14"/>
      <c r="N11" s="159" t="s">
        <v>63</v>
      </c>
      <c r="O11" s="15"/>
      <c r="Q11" s="68" t="str">
        <f t="shared" si="4"/>
        <v>Alfin Putra Firmansyah</v>
      </c>
      <c r="R11" s="21" t="str">
        <f>IF(I11&lt;$N$10,"84","")</f>
        <v>84</v>
      </c>
      <c r="S11" s="62"/>
      <c r="T11" s="15" t="s">
        <v>35</v>
      </c>
    </row>
    <row r="12" spans="1:20" ht="12" customHeight="1" thickTop="1" thickBot="1" x14ac:dyDescent="0.35">
      <c r="A12" s="21">
        <v>5</v>
      </c>
      <c r="B12" s="19"/>
      <c r="C12" s="82" t="str">
        <f>DATA!B14</f>
        <v>Almira Sadia Qonitah</v>
      </c>
      <c r="D12" s="382">
        <v>50</v>
      </c>
      <c r="E12" s="43"/>
      <c r="F12" s="43"/>
      <c r="G12" s="43"/>
      <c r="H12" s="44"/>
      <c r="I12" s="122">
        <f t="shared" si="0"/>
        <v>50</v>
      </c>
      <c r="J12" s="123">
        <f t="shared" si="1"/>
        <v>50</v>
      </c>
      <c r="K12" s="21" t="str">
        <f t="shared" si="2"/>
        <v>tdk tuntas</v>
      </c>
      <c r="L12" s="210" t="str">
        <f t="shared" si="3"/>
        <v>81</v>
      </c>
      <c r="M12" s="14"/>
      <c r="N12" s="24"/>
      <c r="O12" s="15"/>
      <c r="Q12" s="68" t="str">
        <f t="shared" si="4"/>
        <v>Almira Sadia Qonitah</v>
      </c>
      <c r="R12" s="21" t="str">
        <f>IF(I12&lt;$N$10,"87","")</f>
        <v>87</v>
      </c>
      <c r="S12" s="158" t="s">
        <v>81</v>
      </c>
      <c r="T12" s="15" t="s">
        <v>38</v>
      </c>
    </row>
    <row r="13" spans="1:20" ht="12" customHeight="1" thickTop="1" thickBot="1" x14ac:dyDescent="0.35">
      <c r="A13" s="21">
        <v>6</v>
      </c>
      <c r="B13" s="19"/>
      <c r="C13" s="82" t="str">
        <f>DATA!B15</f>
        <v>Arif Perdana Putra</v>
      </c>
      <c r="D13" s="382">
        <v>25</v>
      </c>
      <c r="E13" s="43"/>
      <c r="F13" s="43"/>
      <c r="G13" s="43"/>
      <c r="H13" s="44"/>
      <c r="I13" s="122">
        <f t="shared" si="0"/>
        <v>25</v>
      </c>
      <c r="J13" s="123">
        <f t="shared" si="1"/>
        <v>25</v>
      </c>
      <c r="K13" s="21" t="str">
        <f t="shared" si="2"/>
        <v>tdk tuntas</v>
      </c>
      <c r="L13" s="210" t="str">
        <f t="shared" si="3"/>
        <v>80</v>
      </c>
      <c r="M13" s="14" t="s">
        <v>10</v>
      </c>
      <c r="N13" s="24"/>
      <c r="O13" s="15"/>
      <c r="Q13" s="68" t="str">
        <f t="shared" si="4"/>
        <v>Arif Perdana Putra</v>
      </c>
      <c r="R13" s="21" t="str">
        <f>IF(I13&lt;$N$10,"82","")</f>
        <v>82</v>
      </c>
      <c r="S13" s="155"/>
      <c r="T13" s="15" t="s">
        <v>39</v>
      </c>
    </row>
    <row r="14" spans="1:20" ht="12" customHeight="1" thickTop="1" thickBot="1" x14ac:dyDescent="0.35">
      <c r="A14" s="21">
        <v>7</v>
      </c>
      <c r="B14" s="19"/>
      <c r="C14" s="82" t="str">
        <f>DATA!B16</f>
        <v>Asifa Nariyati</v>
      </c>
      <c r="D14" s="382">
        <v>40</v>
      </c>
      <c r="E14" s="43"/>
      <c r="F14" s="43"/>
      <c r="G14" s="43"/>
      <c r="H14" s="44"/>
      <c r="I14" s="122">
        <f t="shared" si="0"/>
        <v>40</v>
      </c>
      <c r="J14" s="123">
        <f t="shared" si="1"/>
        <v>40</v>
      </c>
      <c r="K14" s="21" t="str">
        <f t="shared" si="2"/>
        <v>tdk tuntas</v>
      </c>
      <c r="L14" s="210" t="str">
        <f t="shared" si="3"/>
        <v>81</v>
      </c>
      <c r="M14" s="14"/>
      <c r="N14" s="24"/>
      <c r="O14" s="15"/>
      <c r="Q14" s="68" t="str">
        <f t="shared" si="4"/>
        <v>Asifa Nariyati</v>
      </c>
      <c r="R14" s="21" t="str">
        <f>IF(I14&lt;$N$10,"80","")</f>
        <v>80</v>
      </c>
      <c r="S14" s="158"/>
      <c r="T14" s="119" t="s">
        <v>36</v>
      </c>
    </row>
    <row r="15" spans="1:20" ht="12" customHeight="1" thickTop="1" x14ac:dyDescent="0.3">
      <c r="A15" s="21">
        <v>8</v>
      </c>
      <c r="B15" s="19"/>
      <c r="C15" s="82" t="str">
        <f>DATA!B17</f>
        <v>Calvin Mandala Putra</v>
      </c>
      <c r="D15" s="382">
        <v>35</v>
      </c>
      <c r="E15" s="43"/>
      <c r="F15" s="43"/>
      <c r="G15" s="43"/>
      <c r="H15" s="44"/>
      <c r="I15" s="122">
        <f t="shared" si="0"/>
        <v>35</v>
      </c>
      <c r="J15" s="123">
        <f t="shared" si="1"/>
        <v>35</v>
      </c>
      <c r="K15" s="21" t="str">
        <f t="shared" si="2"/>
        <v>tdk tuntas</v>
      </c>
      <c r="L15" s="210" t="str">
        <f t="shared" si="3"/>
        <v>80</v>
      </c>
      <c r="M15" s="77" t="s">
        <v>51</v>
      </c>
      <c r="N15" s="24"/>
      <c r="O15" s="15"/>
      <c r="Q15" s="68" t="str">
        <f t="shared" si="4"/>
        <v>Calvin Mandala Putra</v>
      </c>
      <c r="R15" s="21" t="str">
        <f>IF(I15&lt;$N$10,"84","")</f>
        <v>84</v>
      </c>
      <c r="S15" s="155"/>
      <c r="T15" s="119" t="s">
        <v>37</v>
      </c>
    </row>
    <row r="16" spans="1:20" ht="12" customHeight="1" x14ac:dyDescent="0.3">
      <c r="A16" s="21">
        <v>9</v>
      </c>
      <c r="B16" s="19"/>
      <c r="C16" s="82" t="str">
        <f>DATA!B18</f>
        <v>Decha Rifqoh Alma Dhini</v>
      </c>
      <c r="D16" s="382">
        <v>25</v>
      </c>
      <c r="E16" s="43"/>
      <c r="F16" s="43"/>
      <c r="G16" s="43"/>
      <c r="H16" s="44"/>
      <c r="I16" s="122">
        <f t="shared" si="0"/>
        <v>25</v>
      </c>
      <c r="J16" s="123">
        <f t="shared" si="1"/>
        <v>25</v>
      </c>
      <c r="K16" s="21" t="str">
        <f t="shared" si="2"/>
        <v>tdk tuntas</v>
      </c>
      <c r="L16" s="210" t="str">
        <f t="shared" si="3"/>
        <v>80</v>
      </c>
      <c r="N16" s="24"/>
      <c r="O16" s="15"/>
      <c r="Q16" s="68" t="str">
        <f t="shared" si="4"/>
        <v>Decha Rifqoh Alma Dhini</v>
      </c>
      <c r="R16" s="21" t="str">
        <f>IF(I16&lt;$N$10,"88","")</f>
        <v>88</v>
      </c>
      <c r="S16" s="14"/>
      <c r="T16" s="15"/>
    </row>
    <row r="17" spans="1:20" ht="12" customHeight="1" x14ac:dyDescent="0.3">
      <c r="A17" s="21">
        <v>10</v>
      </c>
      <c r="B17" s="19"/>
      <c r="C17" s="82" t="str">
        <f>DATA!B19</f>
        <v>Fathir Hibatullah Harahap</v>
      </c>
      <c r="D17" s="382">
        <v>50</v>
      </c>
      <c r="E17" s="43"/>
      <c r="F17" s="43"/>
      <c r="G17" s="43"/>
      <c r="H17" s="44"/>
      <c r="I17" s="122">
        <f t="shared" si="0"/>
        <v>50</v>
      </c>
      <c r="J17" s="123">
        <f t="shared" si="1"/>
        <v>50</v>
      </c>
      <c r="K17" s="21" t="str">
        <f t="shared" si="2"/>
        <v>tdk tuntas</v>
      </c>
      <c r="L17" s="210" t="str">
        <f t="shared" si="3"/>
        <v>81</v>
      </c>
      <c r="M17" s="14"/>
      <c r="N17" s="24"/>
      <c r="O17" s="15"/>
      <c r="Q17" s="68" t="str">
        <f t="shared" si="4"/>
        <v>Fathir Hibatullah Harahap</v>
      </c>
      <c r="R17" s="21" t="str">
        <f t="shared" ref="R17:R22" si="5">IF(I17&lt;$N$10,"85","")</f>
        <v>85</v>
      </c>
      <c r="S17" s="14" t="s">
        <v>30</v>
      </c>
      <c r="T17" s="15"/>
    </row>
    <row r="18" spans="1:20" ht="12" customHeight="1" thickBot="1" x14ac:dyDescent="0.35">
      <c r="A18" s="21">
        <v>11</v>
      </c>
      <c r="B18" s="19"/>
      <c r="C18" s="82" t="str">
        <f>DATA!B20</f>
        <v>Gendhis Putri Ayreanti</v>
      </c>
      <c r="D18" s="382">
        <v>65</v>
      </c>
      <c r="E18" s="43"/>
      <c r="F18" s="43"/>
      <c r="G18" s="43"/>
      <c r="H18" s="44"/>
      <c r="I18" s="122">
        <f t="shared" si="0"/>
        <v>65</v>
      </c>
      <c r="J18" s="123">
        <f t="shared" si="1"/>
        <v>65</v>
      </c>
      <c r="K18" s="21" t="str">
        <f t="shared" si="2"/>
        <v>tdk tuntas</v>
      </c>
      <c r="L18" s="210" t="str">
        <f t="shared" si="3"/>
        <v>82</v>
      </c>
      <c r="M18" s="14"/>
      <c r="N18" s="24"/>
      <c r="O18" s="15"/>
      <c r="Q18" s="68" t="str">
        <f t="shared" si="4"/>
        <v>Gendhis Putri Ayreanti</v>
      </c>
      <c r="R18" s="21" t="str">
        <f t="shared" si="5"/>
        <v>85</v>
      </c>
      <c r="T18" s="15"/>
    </row>
    <row r="19" spans="1:20" ht="12" customHeight="1" thickTop="1" thickBot="1" x14ac:dyDescent="0.35">
      <c r="A19" s="21">
        <v>12</v>
      </c>
      <c r="B19" s="19"/>
      <c r="C19" s="82" t="str">
        <f>DATA!B21</f>
        <v>Habibi Lazuardi</v>
      </c>
      <c r="D19" s="382">
        <v>50</v>
      </c>
      <c r="E19" s="43"/>
      <c r="F19" s="43"/>
      <c r="G19" s="43"/>
      <c r="H19" s="44"/>
      <c r="I19" s="122">
        <f t="shared" si="0"/>
        <v>50</v>
      </c>
      <c r="J19" s="123">
        <f t="shared" si="1"/>
        <v>50</v>
      </c>
      <c r="K19" s="21" t="str">
        <f t="shared" si="2"/>
        <v>tdk tuntas</v>
      </c>
      <c r="L19" s="210" t="str">
        <f t="shared" si="3"/>
        <v>81</v>
      </c>
      <c r="M19" s="14" t="s">
        <v>11</v>
      </c>
      <c r="N19" s="58">
        <f>K46</f>
        <v>32</v>
      </c>
      <c r="O19" s="15"/>
      <c r="Q19" s="68" t="str">
        <f t="shared" si="4"/>
        <v>Habibi Lazuardi</v>
      </c>
      <c r="R19" s="21" t="str">
        <f t="shared" si="5"/>
        <v>85</v>
      </c>
      <c r="S19" s="158" t="s">
        <v>46</v>
      </c>
      <c r="T19" s="119" t="s">
        <v>31</v>
      </c>
    </row>
    <row r="20" spans="1:20" ht="12" customHeight="1" thickTop="1" thickBot="1" x14ac:dyDescent="0.35">
      <c r="A20" s="21">
        <v>13</v>
      </c>
      <c r="B20" s="19"/>
      <c r="C20" s="82" t="str">
        <f>DATA!B22</f>
        <v>Herina Sasha Rasati</v>
      </c>
      <c r="D20" s="382">
        <v>45</v>
      </c>
      <c r="E20" s="43"/>
      <c r="F20" s="43"/>
      <c r="G20" s="43"/>
      <c r="H20" s="44"/>
      <c r="I20" s="122">
        <f t="shared" si="0"/>
        <v>45</v>
      </c>
      <c r="J20" s="123">
        <f t="shared" si="1"/>
        <v>45</v>
      </c>
      <c r="K20" s="21" t="str">
        <f t="shared" si="2"/>
        <v>tdk tuntas</v>
      </c>
      <c r="L20" s="210" t="str">
        <f t="shared" si="3"/>
        <v>81</v>
      </c>
      <c r="M20" s="14" t="s">
        <v>12</v>
      </c>
      <c r="N20" s="58">
        <f>K44</f>
        <v>0</v>
      </c>
      <c r="O20" s="15"/>
      <c r="Q20" s="68" t="str">
        <f t="shared" si="4"/>
        <v>Herina Sasha Rasati</v>
      </c>
      <c r="R20" s="21" t="str">
        <f t="shared" si="5"/>
        <v>85</v>
      </c>
      <c r="S20" s="155"/>
      <c r="T20" s="119" t="s">
        <v>32</v>
      </c>
    </row>
    <row r="21" spans="1:20" ht="12" customHeight="1" thickTop="1" thickBot="1" x14ac:dyDescent="0.35">
      <c r="A21" s="21">
        <v>14</v>
      </c>
      <c r="B21" s="19"/>
      <c r="C21" s="82" t="str">
        <f>DATA!B23</f>
        <v>Ivan Adi Saputra</v>
      </c>
      <c r="D21" s="382">
        <v>30</v>
      </c>
      <c r="E21" s="43"/>
      <c r="F21" s="43"/>
      <c r="G21" s="43"/>
      <c r="H21" s="44"/>
      <c r="I21" s="122">
        <f t="shared" si="0"/>
        <v>30</v>
      </c>
      <c r="J21" s="123">
        <f t="shared" si="1"/>
        <v>30</v>
      </c>
      <c r="K21" s="21" t="str">
        <f t="shared" si="2"/>
        <v>tdk tuntas</v>
      </c>
      <c r="L21" s="210" t="str">
        <f t="shared" si="3"/>
        <v>80</v>
      </c>
      <c r="M21" s="14" t="s">
        <v>13</v>
      </c>
      <c r="N21" s="58">
        <f>N20/N19*100</f>
        <v>0</v>
      </c>
      <c r="O21" s="15" t="s">
        <v>4</v>
      </c>
      <c r="Q21" s="68" t="str">
        <f t="shared" si="4"/>
        <v>Ivan Adi Saputra</v>
      </c>
      <c r="R21" s="21" t="str">
        <f t="shared" si="5"/>
        <v>85</v>
      </c>
      <c r="S21" s="62"/>
      <c r="T21" s="15" t="s">
        <v>33</v>
      </c>
    </row>
    <row r="22" spans="1:20" ht="12" customHeight="1" thickTop="1" x14ac:dyDescent="0.3">
      <c r="A22" s="21">
        <v>15</v>
      </c>
      <c r="B22" s="19"/>
      <c r="C22" s="82" t="str">
        <f>DATA!B24</f>
        <v>Ivander Veda Ardyanta</v>
      </c>
      <c r="D22" s="382">
        <v>65</v>
      </c>
      <c r="E22" s="43"/>
      <c r="F22" s="43"/>
      <c r="G22" s="43"/>
      <c r="H22" s="44"/>
      <c r="I22" s="122">
        <f t="shared" si="0"/>
        <v>65</v>
      </c>
      <c r="J22" s="123">
        <f t="shared" si="1"/>
        <v>65</v>
      </c>
      <c r="K22" s="21" t="str">
        <f t="shared" si="2"/>
        <v>tdk tuntas</v>
      </c>
      <c r="L22" s="210" t="str">
        <f t="shared" si="3"/>
        <v>82</v>
      </c>
      <c r="M22" s="14"/>
      <c r="N22" s="24"/>
      <c r="O22" s="15"/>
      <c r="Q22" s="68" t="str">
        <f t="shared" si="4"/>
        <v>Ivander Veda Ardyanta</v>
      </c>
      <c r="R22" s="21" t="str">
        <f t="shared" si="5"/>
        <v>85</v>
      </c>
      <c r="S22" s="14"/>
      <c r="T22" s="15" t="s">
        <v>34</v>
      </c>
    </row>
    <row r="23" spans="1:20" ht="12" customHeight="1" x14ac:dyDescent="0.3">
      <c r="A23" s="21">
        <v>16</v>
      </c>
      <c r="B23" s="19"/>
      <c r="C23" s="82" t="str">
        <f>DATA!B25</f>
        <v>Keysa Lutfi Yana Putri</v>
      </c>
      <c r="D23" s="382">
        <v>25</v>
      </c>
      <c r="E23" s="43"/>
      <c r="F23" s="43"/>
      <c r="G23" s="43"/>
      <c r="H23" s="44"/>
      <c r="I23" s="122">
        <f t="shared" si="0"/>
        <v>25</v>
      </c>
      <c r="J23" s="123">
        <f t="shared" si="1"/>
        <v>25</v>
      </c>
      <c r="K23" s="21" t="str">
        <f t="shared" si="2"/>
        <v>tdk tuntas</v>
      </c>
      <c r="L23" s="210" t="str">
        <f t="shared" si="3"/>
        <v>80</v>
      </c>
      <c r="M23" s="14" t="s">
        <v>52</v>
      </c>
      <c r="N23" s="24"/>
      <c r="O23" s="15"/>
      <c r="Q23" s="68" t="str">
        <f t="shared" si="4"/>
        <v>Keysa Lutfi Yana Putri</v>
      </c>
      <c r="R23" s="21" t="str">
        <f>IF(I23&lt;$N$10,"84","")</f>
        <v>84</v>
      </c>
      <c r="S23" s="14"/>
      <c r="T23" s="15"/>
    </row>
    <row r="24" spans="1:20" ht="12" customHeight="1" x14ac:dyDescent="0.3">
      <c r="A24" s="21">
        <v>17</v>
      </c>
      <c r="B24" s="19"/>
      <c r="C24" s="82" t="str">
        <f>DATA!B26</f>
        <v>Khanaya Putri Emeyliana</v>
      </c>
      <c r="D24" s="382">
        <v>25</v>
      </c>
      <c r="E24" s="43"/>
      <c r="F24" s="43"/>
      <c r="G24" s="43"/>
      <c r="H24" s="44"/>
      <c r="I24" s="122">
        <f t="shared" si="0"/>
        <v>25</v>
      </c>
      <c r="J24" s="123">
        <f t="shared" si="1"/>
        <v>25</v>
      </c>
      <c r="K24" s="21" t="str">
        <f t="shared" si="2"/>
        <v>tdk tuntas</v>
      </c>
      <c r="L24" s="210" t="str">
        <f t="shared" si="3"/>
        <v>80</v>
      </c>
      <c r="N24" s="24"/>
      <c r="O24" s="15"/>
      <c r="Q24" s="68" t="str">
        <f t="shared" si="4"/>
        <v>Khanaya Putri Emeyliana</v>
      </c>
      <c r="R24" s="21" t="str">
        <f t="shared" ref="R24:R30" si="6">IF(I24&lt;$N$10,"82","")</f>
        <v>82</v>
      </c>
      <c r="S24" s="14"/>
      <c r="T24" s="63" t="s">
        <v>41</v>
      </c>
    </row>
    <row r="25" spans="1:20" ht="12" customHeight="1" x14ac:dyDescent="0.3">
      <c r="A25" s="21">
        <v>18</v>
      </c>
      <c r="B25" s="19"/>
      <c r="C25" s="82" t="str">
        <f>DATA!B27</f>
        <v>Khoirul Rodzikin</v>
      </c>
      <c r="D25" s="382">
        <v>35</v>
      </c>
      <c r="E25" s="43"/>
      <c r="F25" s="43"/>
      <c r="G25" s="43"/>
      <c r="H25" s="44"/>
      <c r="I25" s="122">
        <f t="shared" si="0"/>
        <v>35</v>
      </c>
      <c r="J25" s="123">
        <f t="shared" si="1"/>
        <v>35</v>
      </c>
      <c r="K25" s="21" t="str">
        <f t="shared" si="2"/>
        <v>tdk tuntas</v>
      </c>
      <c r="L25" s="210" t="str">
        <f t="shared" si="3"/>
        <v>80</v>
      </c>
      <c r="M25" s="14"/>
      <c r="N25" s="24"/>
      <c r="O25" s="15"/>
      <c r="Q25" s="68" t="str">
        <f t="shared" si="4"/>
        <v>Khoirul Rodzikin</v>
      </c>
      <c r="R25" s="21" t="str">
        <f t="shared" si="6"/>
        <v>82</v>
      </c>
      <c r="S25" s="14"/>
      <c r="T25" s="63"/>
    </row>
    <row r="26" spans="1:20" ht="12" customHeight="1" x14ac:dyDescent="0.3">
      <c r="A26" s="21">
        <v>19</v>
      </c>
      <c r="B26" s="19"/>
      <c r="C26" s="82" t="str">
        <f>DATA!B28</f>
        <v>Livia Mozavina</v>
      </c>
      <c r="D26" s="382">
        <v>46</v>
      </c>
      <c r="E26" s="43"/>
      <c r="F26" s="43"/>
      <c r="G26" s="43"/>
      <c r="H26" s="44"/>
      <c r="I26" s="122">
        <f t="shared" si="0"/>
        <v>46</v>
      </c>
      <c r="J26" s="123">
        <f t="shared" si="1"/>
        <v>46</v>
      </c>
      <c r="K26" s="21" t="str">
        <f t="shared" si="2"/>
        <v>tdk tuntas</v>
      </c>
      <c r="L26" s="210" t="str">
        <f t="shared" si="3"/>
        <v>81</v>
      </c>
      <c r="M26" s="14"/>
      <c r="N26" s="24"/>
      <c r="O26" s="15"/>
      <c r="Q26" s="68" t="str">
        <f t="shared" si="4"/>
        <v>Livia Mozavina</v>
      </c>
      <c r="R26" s="21" t="str">
        <f t="shared" si="6"/>
        <v>82</v>
      </c>
      <c r="S26" s="14"/>
      <c r="T26" s="63"/>
    </row>
    <row r="27" spans="1:20" ht="12" customHeight="1" x14ac:dyDescent="0.3">
      <c r="A27" s="21">
        <v>20</v>
      </c>
      <c r="B27" s="19"/>
      <c r="C27" s="82" t="str">
        <f>DATA!B29</f>
        <v>Milatul Ulya Azzahra</v>
      </c>
      <c r="D27" s="382">
        <v>40</v>
      </c>
      <c r="E27" s="43"/>
      <c r="F27" s="43"/>
      <c r="G27" s="43"/>
      <c r="H27" s="44"/>
      <c r="I27" s="122">
        <f t="shared" si="0"/>
        <v>40</v>
      </c>
      <c r="J27" s="123">
        <f t="shared" si="1"/>
        <v>40</v>
      </c>
      <c r="K27" s="21" t="str">
        <f t="shared" si="2"/>
        <v>tdk tuntas</v>
      </c>
      <c r="L27" s="210" t="str">
        <f t="shared" si="3"/>
        <v>81</v>
      </c>
      <c r="M27" s="14" t="s">
        <v>53</v>
      </c>
      <c r="N27" s="78">
        <f>I44</f>
        <v>1306</v>
      </c>
      <c r="O27" s="15"/>
      <c r="Q27" s="68" t="str">
        <f t="shared" si="4"/>
        <v>Milatul Ulya Azzahra</v>
      </c>
      <c r="R27" s="21" t="str">
        <f t="shared" si="6"/>
        <v>82</v>
      </c>
      <c r="S27" s="14"/>
      <c r="T27" s="63"/>
    </row>
    <row r="28" spans="1:20" ht="12" customHeight="1" x14ac:dyDescent="0.3">
      <c r="A28" s="21">
        <v>21</v>
      </c>
      <c r="B28" s="19"/>
      <c r="C28" s="82" t="str">
        <f>DATA!B30</f>
        <v>Muhammad Arif Pratama</v>
      </c>
      <c r="D28" s="382">
        <v>45</v>
      </c>
      <c r="E28" s="43"/>
      <c r="F28" s="43"/>
      <c r="G28" s="43"/>
      <c r="H28" s="44"/>
      <c r="I28" s="122">
        <f t="shared" si="0"/>
        <v>45</v>
      </c>
      <c r="J28" s="123">
        <f t="shared" si="1"/>
        <v>45</v>
      </c>
      <c r="K28" s="21" t="str">
        <f t="shared" si="2"/>
        <v>tdk tuntas</v>
      </c>
      <c r="L28" s="210" t="str">
        <f t="shared" si="3"/>
        <v>81</v>
      </c>
      <c r="M28" s="14" t="s">
        <v>54</v>
      </c>
      <c r="N28" s="78">
        <f>I45</f>
        <v>3200</v>
      </c>
      <c r="O28" s="15"/>
      <c r="Q28" s="68" t="str">
        <f t="shared" si="4"/>
        <v>Muhammad Arif Pratama</v>
      </c>
      <c r="R28" s="21" t="str">
        <f t="shared" si="6"/>
        <v>82</v>
      </c>
      <c r="S28" s="14"/>
      <c r="T28" s="63" t="str">
        <f>DATA!B3</f>
        <v>KASMIN, S.Pd</v>
      </c>
    </row>
    <row r="29" spans="1:20" ht="12" customHeight="1" x14ac:dyDescent="0.3">
      <c r="A29" s="21">
        <v>22</v>
      </c>
      <c r="B29" s="19"/>
      <c r="C29" s="82" t="str">
        <f>DATA!B31</f>
        <v>Muhammad Fahri Khoirudin</v>
      </c>
      <c r="D29" s="382">
        <v>45</v>
      </c>
      <c r="E29" s="43"/>
      <c r="F29" s="43"/>
      <c r="G29" s="43"/>
      <c r="H29" s="44"/>
      <c r="I29" s="122">
        <f t="shared" si="0"/>
        <v>45</v>
      </c>
      <c r="J29" s="123">
        <f t="shared" si="1"/>
        <v>45</v>
      </c>
      <c r="K29" s="21" t="str">
        <f t="shared" si="2"/>
        <v>tdk tuntas</v>
      </c>
      <c r="L29" s="210" t="str">
        <f t="shared" si="3"/>
        <v>81</v>
      </c>
      <c r="M29" s="14" t="s">
        <v>13</v>
      </c>
      <c r="N29" s="84">
        <f>N27/N28*100</f>
        <v>40.8125</v>
      </c>
      <c r="O29" s="79" t="s">
        <v>4</v>
      </c>
      <c r="Q29" s="68" t="str">
        <f t="shared" si="4"/>
        <v>Muhammad Fahri Khoirudin</v>
      </c>
      <c r="R29" s="21" t="str">
        <f t="shared" si="6"/>
        <v>82</v>
      </c>
      <c r="S29" s="14"/>
      <c r="T29" s="83" t="str">
        <f>DATA!B4</f>
        <v>NIP : 196609141990031007</v>
      </c>
    </row>
    <row r="30" spans="1:20" ht="12" customHeight="1" x14ac:dyDescent="0.3">
      <c r="A30" s="21">
        <v>23</v>
      </c>
      <c r="B30" s="19"/>
      <c r="C30" s="82" t="str">
        <f>DATA!B32</f>
        <v>Muhammad Rakha Razansyah</v>
      </c>
      <c r="D30" s="382">
        <v>60</v>
      </c>
      <c r="E30" s="43"/>
      <c r="F30" s="43"/>
      <c r="G30" s="43"/>
      <c r="H30" s="44"/>
      <c r="I30" s="122">
        <f t="shared" si="0"/>
        <v>60</v>
      </c>
      <c r="J30" s="123">
        <f t="shared" si="1"/>
        <v>60</v>
      </c>
      <c r="K30" s="21" t="str">
        <f t="shared" si="2"/>
        <v>tdk tuntas</v>
      </c>
      <c r="L30" s="210" t="str">
        <f t="shared" si="3"/>
        <v>82</v>
      </c>
      <c r="M30" s="14"/>
      <c r="N30" s="24"/>
      <c r="O30" s="15"/>
      <c r="Q30" s="68" t="str">
        <f t="shared" si="4"/>
        <v>Muhammad Rakha Razansyah</v>
      </c>
      <c r="R30" s="21" t="str">
        <f t="shared" si="6"/>
        <v>82</v>
      </c>
      <c r="S30" s="14"/>
      <c r="T30" s="15"/>
    </row>
    <row r="31" spans="1:20" ht="12" customHeight="1" x14ac:dyDescent="0.3">
      <c r="A31" s="21">
        <v>24</v>
      </c>
      <c r="B31" s="19"/>
      <c r="C31" s="82" t="str">
        <f>DATA!B33</f>
        <v>Mutiara Dewi Khusna</v>
      </c>
      <c r="D31" s="382">
        <v>25</v>
      </c>
      <c r="E31" s="43"/>
      <c r="F31" s="43"/>
      <c r="G31" s="43"/>
      <c r="H31" s="44"/>
      <c r="I31" s="122">
        <f>SUM(D31:H31)</f>
        <v>25</v>
      </c>
      <c r="J31" s="123">
        <f>I31</f>
        <v>25</v>
      </c>
      <c r="K31" s="21" t="str">
        <f t="shared" si="2"/>
        <v>tdk tuntas</v>
      </c>
      <c r="L31" s="210" t="str">
        <f t="shared" si="3"/>
        <v>80</v>
      </c>
      <c r="M31" s="14"/>
      <c r="N31" s="24"/>
      <c r="O31" s="15"/>
      <c r="Q31" s="68" t="str">
        <f t="shared" si="4"/>
        <v>Mutiara Dewi Khusna</v>
      </c>
      <c r="R31" s="21" t="str">
        <f>IF(I31&lt;$N$10,"85","")</f>
        <v>85</v>
      </c>
      <c r="S31" s="14"/>
      <c r="T31" s="63" t="s">
        <v>42</v>
      </c>
    </row>
    <row r="32" spans="1:20" ht="12" customHeight="1" x14ac:dyDescent="0.3">
      <c r="A32" s="21">
        <v>25</v>
      </c>
      <c r="B32" s="19"/>
      <c r="C32" s="82" t="str">
        <f>DATA!B34</f>
        <v>Qeysya Nabila Maharani</v>
      </c>
      <c r="D32" s="382">
        <v>40</v>
      </c>
      <c r="E32" s="43"/>
      <c r="F32" s="43"/>
      <c r="G32" s="43"/>
      <c r="H32" s="44"/>
      <c r="I32" s="122">
        <f t="shared" si="0"/>
        <v>40</v>
      </c>
      <c r="J32" s="123">
        <f t="shared" si="1"/>
        <v>40</v>
      </c>
      <c r="K32" s="21" t="str">
        <f t="shared" si="2"/>
        <v>tdk tuntas</v>
      </c>
      <c r="L32" s="210" t="str">
        <f t="shared" si="3"/>
        <v>81</v>
      </c>
      <c r="M32" s="14" t="s">
        <v>14</v>
      </c>
      <c r="N32" s="24"/>
      <c r="O32" s="15"/>
      <c r="Q32" s="68" t="str">
        <f t="shared" si="4"/>
        <v>Qeysya Nabila Maharani</v>
      </c>
      <c r="R32" s="21" t="str">
        <f>IF(I32&lt;$N$10,"81","")</f>
        <v>81</v>
      </c>
      <c r="S32" s="14"/>
      <c r="T32" s="63"/>
    </row>
    <row r="33" spans="1:20" ht="12" customHeight="1" x14ac:dyDescent="0.3">
      <c r="A33" s="21">
        <v>26</v>
      </c>
      <c r="B33" s="19"/>
      <c r="C33" s="82" t="str">
        <f>DATA!B35</f>
        <v>Raihan Akbar Ramadhan</v>
      </c>
      <c r="D33" s="382">
        <v>60</v>
      </c>
      <c r="E33" s="43"/>
      <c r="F33" s="43"/>
      <c r="G33" s="43"/>
      <c r="H33" s="44"/>
      <c r="I33" s="122">
        <f t="shared" si="0"/>
        <v>60</v>
      </c>
      <c r="J33" s="123">
        <f t="shared" si="1"/>
        <v>60</v>
      </c>
      <c r="K33" s="21" t="str">
        <f t="shared" si="2"/>
        <v>tdk tuntas</v>
      </c>
      <c r="L33" s="210" t="str">
        <f t="shared" si="3"/>
        <v>82</v>
      </c>
      <c r="M33" s="14" t="s">
        <v>15</v>
      </c>
      <c r="N33" s="24"/>
      <c r="O33" s="15"/>
      <c r="Q33" s="68" t="str">
        <f t="shared" si="4"/>
        <v>Raihan Akbar Ramadhan</v>
      </c>
      <c r="R33" s="21" t="str">
        <f>IF(I33&lt;$N$10,"82","")</f>
        <v>82</v>
      </c>
      <c r="S33" s="14"/>
      <c r="T33" s="63"/>
    </row>
    <row r="34" spans="1:20" ht="12" customHeight="1" x14ac:dyDescent="0.3">
      <c r="A34" s="21">
        <v>27</v>
      </c>
      <c r="B34" s="19"/>
      <c r="C34" s="82" t="str">
        <f>DATA!B36</f>
        <v>Ramadhani</v>
      </c>
      <c r="D34" s="382">
        <v>40</v>
      </c>
      <c r="E34" s="43"/>
      <c r="F34" s="43"/>
      <c r="G34" s="43"/>
      <c r="H34" s="44"/>
      <c r="I34" s="122">
        <f t="shared" si="0"/>
        <v>40</v>
      </c>
      <c r="J34" s="123">
        <f t="shared" si="1"/>
        <v>40</v>
      </c>
      <c r="K34" s="21" t="str">
        <f t="shared" si="2"/>
        <v>tdk tuntas</v>
      </c>
      <c r="L34" s="210" t="str">
        <f t="shared" si="3"/>
        <v>81</v>
      </c>
      <c r="M34" s="155" t="s">
        <v>80</v>
      </c>
      <c r="N34" s="24"/>
      <c r="O34" s="15"/>
      <c r="Q34" s="68" t="str">
        <f t="shared" si="4"/>
        <v>Ramadhani</v>
      </c>
      <c r="R34" s="21" t="str">
        <f>IF(I34&lt;$N$10,"82","")</f>
        <v>82</v>
      </c>
      <c r="S34" s="14"/>
      <c r="T34" s="63"/>
    </row>
    <row r="35" spans="1:20" ht="12" customHeight="1" x14ac:dyDescent="0.3">
      <c r="A35" s="21">
        <v>28</v>
      </c>
      <c r="B35" s="19"/>
      <c r="C35" s="82" t="str">
        <f>DATA!B37</f>
        <v>Rangga Putra Raditya</v>
      </c>
      <c r="D35" s="382">
        <v>20</v>
      </c>
      <c r="E35" s="43"/>
      <c r="F35" s="43"/>
      <c r="G35" s="43"/>
      <c r="H35" s="44"/>
      <c r="I35" s="122">
        <f t="shared" si="0"/>
        <v>20</v>
      </c>
      <c r="J35" s="123">
        <f>I35</f>
        <v>20</v>
      </c>
      <c r="K35" s="21" t="str">
        <f>IF(J35&lt;$N$10,"tdk tuntas","tuntas")</f>
        <v>tdk tuntas</v>
      </c>
      <c r="L35" s="210" t="str">
        <f t="shared" si="3"/>
        <v>80</v>
      </c>
      <c r="M35" s="14"/>
      <c r="N35" s="24"/>
      <c r="O35" s="15"/>
      <c r="Q35" s="68" t="str">
        <f t="shared" si="4"/>
        <v>Rangga Putra Raditya</v>
      </c>
      <c r="R35" s="21" t="str">
        <f>IF(I35&lt;$N$10,"81","")</f>
        <v>81</v>
      </c>
      <c r="S35" s="14"/>
      <c r="T35" s="63"/>
    </row>
    <row r="36" spans="1:20" ht="12" customHeight="1" x14ac:dyDescent="0.3">
      <c r="A36" s="21">
        <v>29</v>
      </c>
      <c r="B36" s="19"/>
      <c r="C36" s="82" t="str">
        <f>DATA!B38</f>
        <v>Safa Nasila Anajwa</v>
      </c>
      <c r="D36" s="382">
        <v>45</v>
      </c>
      <c r="E36" s="43"/>
      <c r="F36" s="43"/>
      <c r="G36" s="43"/>
      <c r="H36" s="44"/>
      <c r="I36" s="122">
        <f t="shared" si="0"/>
        <v>45</v>
      </c>
      <c r="J36" s="123">
        <f>I36</f>
        <v>45</v>
      </c>
      <c r="K36" s="21" t="str">
        <f>IF(J36&lt;$N$10,"tdk tuntas","tuntas")</f>
        <v>tdk tuntas</v>
      </c>
      <c r="L36" s="210" t="str">
        <f t="shared" si="3"/>
        <v>81</v>
      </c>
      <c r="M36" s="14"/>
      <c r="N36" s="24"/>
      <c r="O36" s="15"/>
      <c r="Q36" s="68" t="str">
        <f t="shared" si="4"/>
        <v>Safa Nasila Anajwa</v>
      </c>
      <c r="R36" s="21" t="str">
        <f>IF(I36&lt;$N$10,"85","")</f>
        <v>85</v>
      </c>
      <c r="S36" s="14"/>
      <c r="T36" s="63"/>
    </row>
    <row r="37" spans="1:20" ht="12" customHeight="1" x14ac:dyDescent="0.3">
      <c r="A37" s="21">
        <v>30</v>
      </c>
      <c r="B37" s="19"/>
      <c r="C37" s="82" t="str">
        <f>DATA!B39</f>
        <v>Sila Ayu Kurnia</v>
      </c>
      <c r="D37" s="382">
        <v>50</v>
      </c>
      <c r="E37" s="43"/>
      <c r="F37" s="43"/>
      <c r="G37" s="43"/>
      <c r="H37" s="44"/>
      <c r="I37" s="122">
        <f t="shared" si="0"/>
        <v>50</v>
      </c>
      <c r="J37" s="123">
        <f>I37</f>
        <v>50</v>
      </c>
      <c r="K37" s="21" t="str">
        <f>IF(J37&lt;$N$10,"tdk tuntas","tuntas")</f>
        <v>tdk tuntas</v>
      </c>
      <c r="L37" s="210" t="str">
        <f t="shared" si="3"/>
        <v>81</v>
      </c>
      <c r="M37" s="14"/>
      <c r="N37" s="24"/>
      <c r="O37" s="15"/>
      <c r="Q37" s="68" t="str">
        <f t="shared" si="4"/>
        <v>Sila Ayu Kurnia</v>
      </c>
      <c r="R37" s="21" t="str">
        <f>IF(I37&lt;$N$10,"84","")</f>
        <v>84</v>
      </c>
      <c r="S37" s="14"/>
      <c r="T37" s="63" t="str">
        <f>DATA!D3</f>
        <v>Dra. BAROKAH GUNIARTI</v>
      </c>
    </row>
    <row r="38" spans="1:20" ht="12" customHeight="1" x14ac:dyDescent="0.3">
      <c r="A38" s="21">
        <v>31</v>
      </c>
      <c r="B38" s="19"/>
      <c r="C38" s="82" t="str">
        <f>DATA!B40</f>
        <v>Sindhi Nandha Lusia</v>
      </c>
      <c r="D38" s="382">
        <v>40</v>
      </c>
      <c r="E38" s="43"/>
      <c r="F38" s="43"/>
      <c r="G38" s="43"/>
      <c r="H38" s="44"/>
      <c r="I38" s="122">
        <f t="shared" si="0"/>
        <v>40</v>
      </c>
      <c r="J38" s="123">
        <f>I38</f>
        <v>40</v>
      </c>
      <c r="K38" s="21" t="str">
        <f>IF(J38&lt;$N$10,"tdk tuntas","tuntas")</f>
        <v>tdk tuntas</v>
      </c>
      <c r="L38" s="210" t="str">
        <f t="shared" si="3"/>
        <v>81</v>
      </c>
      <c r="M38" s="14" t="s">
        <v>56</v>
      </c>
      <c r="N38" s="24"/>
      <c r="O38" s="15"/>
      <c r="Q38" s="68" t="str">
        <f t="shared" si="4"/>
        <v>Sindhi Nandha Lusia</v>
      </c>
      <c r="R38" s="21" t="str">
        <f>IF(I38&lt;$N$10,"84","")</f>
        <v>84</v>
      </c>
      <c r="S38" s="14"/>
      <c r="T38" s="103" t="str">
        <f>DATA!D4</f>
        <v>NIP : 196901081996122004</v>
      </c>
    </row>
    <row r="39" spans="1:20" ht="12" customHeight="1" x14ac:dyDescent="0.3">
      <c r="A39" s="21">
        <v>32</v>
      </c>
      <c r="B39" s="19"/>
      <c r="C39" s="82" t="str">
        <f>DATA!B41</f>
        <v>Siti Alfiani</v>
      </c>
      <c r="D39" s="382">
        <v>50</v>
      </c>
      <c r="E39" s="43"/>
      <c r="F39" s="43"/>
      <c r="G39" s="43"/>
      <c r="H39" s="44"/>
      <c r="I39" s="122">
        <f t="shared" si="0"/>
        <v>50</v>
      </c>
      <c r="J39" s="123">
        <f>I39</f>
        <v>50</v>
      </c>
      <c r="K39" s="21" t="str">
        <f>IF(J39&lt;$N$10,"tdk tuntas","tuntas")</f>
        <v>tdk tuntas</v>
      </c>
      <c r="L39" s="210" t="str">
        <f t="shared" si="3"/>
        <v>81</v>
      </c>
      <c r="M39" s="14"/>
      <c r="N39" s="24"/>
      <c r="O39" s="15"/>
      <c r="Q39" s="68"/>
      <c r="R39" s="21"/>
      <c r="S39" s="14"/>
      <c r="T39" s="15"/>
    </row>
    <row r="40" spans="1:20" ht="12" customHeight="1" x14ac:dyDescent="0.25">
      <c r="A40" s="21">
        <v>33</v>
      </c>
      <c r="B40" s="19"/>
      <c r="C40" s="82"/>
      <c r="D40" s="42"/>
      <c r="E40" s="43"/>
      <c r="F40" s="43"/>
      <c r="G40" s="43"/>
      <c r="H40" s="44"/>
      <c r="I40" s="122"/>
      <c r="J40" s="123"/>
      <c r="K40" s="21"/>
      <c r="L40" s="135"/>
      <c r="M40" s="14" t="s">
        <v>16</v>
      </c>
      <c r="N40" s="24"/>
      <c r="O40" s="15"/>
      <c r="Q40" s="68"/>
      <c r="R40" s="21"/>
      <c r="S40" s="14"/>
      <c r="T40" s="15"/>
    </row>
    <row r="41" spans="1:20" ht="12" customHeight="1" x14ac:dyDescent="0.25">
      <c r="A41" s="21">
        <v>34</v>
      </c>
      <c r="B41" s="19"/>
      <c r="C41" s="82"/>
      <c r="D41" s="42"/>
      <c r="E41" s="43"/>
      <c r="F41" s="43"/>
      <c r="G41" s="43"/>
      <c r="H41" s="44"/>
      <c r="I41" s="122"/>
      <c r="J41" s="123"/>
      <c r="K41" s="21"/>
      <c r="L41" s="135"/>
      <c r="M41" s="14" t="s">
        <v>59</v>
      </c>
      <c r="N41" s="24"/>
      <c r="O41" s="15"/>
      <c r="Q41" s="68"/>
      <c r="R41" s="21"/>
      <c r="S41" s="14"/>
      <c r="T41" s="15"/>
    </row>
    <row r="42" spans="1:20" ht="12" customHeight="1" x14ac:dyDescent="0.25">
      <c r="A42" s="21">
        <v>35</v>
      </c>
      <c r="B42" s="22"/>
      <c r="C42" s="162"/>
      <c r="D42" s="136" t="s">
        <v>63</v>
      </c>
      <c r="E42" s="137"/>
      <c r="F42" s="137"/>
      <c r="G42" s="137"/>
      <c r="H42" s="138"/>
      <c r="I42" s="122"/>
      <c r="J42" s="123"/>
      <c r="K42" s="21"/>
      <c r="L42" s="139"/>
      <c r="M42" s="14" t="s">
        <v>23</v>
      </c>
      <c r="N42" s="24"/>
      <c r="O42" s="15"/>
      <c r="Q42" s="68"/>
      <c r="R42" s="21"/>
      <c r="S42" s="16"/>
      <c r="T42" s="17"/>
    </row>
    <row r="43" spans="1:20" ht="12" customHeight="1" x14ac:dyDescent="0.25">
      <c r="A43" s="101" t="s">
        <v>64</v>
      </c>
      <c r="B43" s="96"/>
      <c r="C43" s="97"/>
      <c r="D43" s="93"/>
      <c r="E43" s="94"/>
      <c r="F43" s="94"/>
      <c r="G43" s="94"/>
      <c r="H43" s="95"/>
      <c r="I43" s="98">
        <f>AVERAGE(I8:I42)</f>
        <v>40.8125</v>
      </c>
      <c r="J43" s="74"/>
      <c r="K43" s="47"/>
      <c r="L43" s="65"/>
      <c r="M43" s="14"/>
      <c r="N43" s="24"/>
      <c r="O43" s="15"/>
      <c r="Q43" s="60" t="s">
        <v>63</v>
      </c>
      <c r="R43" s="471" t="str">
        <f>C4</f>
        <v>9A</v>
      </c>
      <c r="S43" s="471"/>
      <c r="T43" s="61"/>
    </row>
    <row r="44" spans="1:20" ht="12" customHeight="1" x14ac:dyDescent="0.25">
      <c r="A44" s="14" t="s">
        <v>17</v>
      </c>
      <c r="B44" s="24"/>
      <c r="C44" s="15"/>
      <c r="D44" s="42">
        <f>SUM(D8:D42)</f>
        <v>1306</v>
      </c>
      <c r="E44" s="43">
        <f>SUM(E8:E42)</f>
        <v>0</v>
      </c>
      <c r="F44" s="43">
        <f>SUM(F8:F42)</f>
        <v>0</v>
      </c>
      <c r="G44" s="43">
        <f>SUM(G8:G42)</f>
        <v>0</v>
      </c>
      <c r="H44" s="44">
        <f>SUM(H8:H42)</f>
        <v>0</v>
      </c>
      <c r="I44" s="80">
        <f>SUM(D44:H44)</f>
        <v>1306</v>
      </c>
      <c r="J44" s="85" t="s">
        <v>49</v>
      </c>
      <c r="K44" s="48">
        <f>COUNTIF(K8:K42,J44)</f>
        <v>0</v>
      </c>
      <c r="L44" s="64"/>
      <c r="M44" s="14"/>
      <c r="N44" s="24"/>
      <c r="O44" s="15"/>
      <c r="Q44" s="30"/>
      <c r="R44" s="472"/>
      <c r="S44" s="472"/>
      <c r="T44" s="31"/>
    </row>
    <row r="45" spans="1:20" ht="12" customHeight="1" x14ac:dyDescent="0.25">
      <c r="A45" s="14" t="s">
        <v>18</v>
      </c>
      <c r="B45" s="24"/>
      <c r="C45" s="15"/>
      <c r="D45" s="42">
        <f>D6*K46</f>
        <v>640</v>
      </c>
      <c r="E45" s="42">
        <f>E6*K46</f>
        <v>640</v>
      </c>
      <c r="F45" s="42">
        <f>F6*K46</f>
        <v>960</v>
      </c>
      <c r="G45" s="42">
        <f>G6*K46</f>
        <v>960</v>
      </c>
      <c r="H45" s="42">
        <f>H6*K46</f>
        <v>0</v>
      </c>
      <c r="I45" s="80">
        <f>SUM(D45:H45)</f>
        <v>3200</v>
      </c>
      <c r="J45" s="86" t="s">
        <v>50</v>
      </c>
      <c r="K45" s="48">
        <f>COUNTIF(K8:K42,J45)</f>
        <v>32</v>
      </c>
      <c r="L45" s="64"/>
      <c r="M45" s="14"/>
      <c r="N45" s="100"/>
      <c r="O45" s="15"/>
      <c r="Q45" s="30"/>
      <c r="R45" s="472"/>
      <c r="S45" s="472"/>
      <c r="T45" s="31"/>
    </row>
    <row r="46" spans="1:20" ht="12" customHeight="1" x14ac:dyDescent="0.25">
      <c r="A46" s="26" t="s">
        <v>19</v>
      </c>
      <c r="B46" s="27"/>
      <c r="C46" s="28"/>
      <c r="D46" s="136">
        <f t="shared" ref="D46:I46" si="7">D44/D45*100</f>
        <v>204.0625</v>
      </c>
      <c r="E46" s="136">
        <f t="shared" si="7"/>
        <v>0</v>
      </c>
      <c r="F46" s="136">
        <f t="shared" si="7"/>
        <v>0</v>
      </c>
      <c r="G46" s="136">
        <f t="shared" si="7"/>
        <v>0</v>
      </c>
      <c r="H46" s="136" t="e">
        <f t="shared" si="7"/>
        <v>#DIV/0!</v>
      </c>
      <c r="I46" s="50">
        <f t="shared" si="7"/>
        <v>40.8125</v>
      </c>
      <c r="J46" s="75" t="s">
        <v>57</v>
      </c>
      <c r="K46" s="49">
        <f>SUM(K44:K45)</f>
        <v>32</v>
      </c>
      <c r="L46" s="66"/>
      <c r="M46" s="16"/>
      <c r="N46" s="25"/>
      <c r="O46" s="17"/>
      <c r="Q46" s="8"/>
      <c r="R46" s="473"/>
      <c r="S46" s="473"/>
      <c r="T46" s="9"/>
    </row>
    <row r="47" spans="1:20" ht="12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20" ht="12" customHeight="1" x14ac:dyDescent="0.25">
      <c r="A48" s="456" t="str">
        <f>'UH1'!A48</f>
        <v>ANALISA HASIL PH MATEMATIKA KLS IX  SMT GENAP</v>
      </c>
      <c r="B48" s="457"/>
      <c r="C48" s="457"/>
      <c r="D48" s="457"/>
      <c r="E48" s="457"/>
      <c r="F48" s="457"/>
      <c r="G48" s="457"/>
      <c r="H48" s="457"/>
      <c r="I48" s="457"/>
      <c r="J48" s="457"/>
      <c r="K48" s="457"/>
      <c r="L48" s="457"/>
      <c r="M48" s="457"/>
      <c r="N48" s="457"/>
      <c r="O48" s="458"/>
      <c r="Q48" s="456" t="s">
        <v>40</v>
      </c>
      <c r="R48" s="457"/>
      <c r="S48" s="457"/>
      <c r="T48" s="458"/>
    </row>
    <row r="49" spans="1:20" ht="12" customHeight="1" x14ac:dyDescent="0.25">
      <c r="A49" s="453" t="str">
        <f>A2</f>
        <v>SMP I LIMBANGAN  TH 2025/2026</v>
      </c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  <c r="O49" s="455"/>
      <c r="Q49" s="453" t="s">
        <v>61</v>
      </c>
      <c r="R49" s="454"/>
      <c r="S49" s="454"/>
      <c r="T49" s="455"/>
    </row>
    <row r="50" spans="1:20" ht="12" customHeight="1" x14ac:dyDescent="0.25"/>
    <row r="51" spans="1:20" ht="12" customHeight="1" x14ac:dyDescent="0.25">
      <c r="A51" s="99" t="s">
        <v>65</v>
      </c>
      <c r="C51" s="102" t="str">
        <f>DATA!D8</f>
        <v>9B</v>
      </c>
      <c r="D51" t="s">
        <v>297</v>
      </c>
      <c r="F51" s="87">
        <f>F4</f>
        <v>2</v>
      </c>
      <c r="I51" t="s">
        <v>20</v>
      </c>
      <c r="K51" s="233">
        <v>45936</v>
      </c>
      <c r="M51" s="1" t="s">
        <v>60</v>
      </c>
      <c r="N51" s="87">
        <f>N4</f>
        <v>2</v>
      </c>
      <c r="Q51" t="s">
        <v>28</v>
      </c>
      <c r="R51" s="470">
        <f>K51+7</f>
        <v>45943</v>
      </c>
      <c r="S51" s="470"/>
    </row>
    <row r="52" spans="1:20" ht="12" customHeight="1" x14ac:dyDescent="0.25">
      <c r="A52" s="2"/>
      <c r="B52" s="2"/>
      <c r="C52" s="3" t="s">
        <v>7</v>
      </c>
      <c r="D52" s="32">
        <v>1</v>
      </c>
      <c r="E52" s="33">
        <v>2</v>
      </c>
      <c r="F52" s="33">
        <v>3</v>
      </c>
      <c r="G52" s="33">
        <v>4</v>
      </c>
      <c r="H52" s="34">
        <v>5</v>
      </c>
      <c r="I52" s="35" t="s">
        <v>3</v>
      </c>
      <c r="J52" s="4" t="s">
        <v>4</v>
      </c>
      <c r="K52" s="53" t="s">
        <v>83</v>
      </c>
      <c r="L52" s="35" t="s">
        <v>43</v>
      </c>
      <c r="M52" s="459" t="s">
        <v>9</v>
      </c>
      <c r="N52" s="460"/>
      <c r="O52" s="461"/>
      <c r="Q52" s="2"/>
      <c r="R52" s="35" t="s">
        <v>24</v>
      </c>
      <c r="S52" s="60"/>
      <c r="T52" s="61"/>
    </row>
    <row r="53" spans="1:20" ht="12" customHeight="1" x14ac:dyDescent="0.25">
      <c r="A53" s="6" t="s">
        <v>0</v>
      </c>
      <c r="B53" s="6" t="s">
        <v>1</v>
      </c>
      <c r="C53" s="5" t="s">
        <v>8</v>
      </c>
      <c r="D53" s="55">
        <f>D6</f>
        <v>20</v>
      </c>
      <c r="E53" s="55">
        <f>E6</f>
        <v>20</v>
      </c>
      <c r="F53" s="55">
        <f>F6</f>
        <v>30</v>
      </c>
      <c r="G53" s="55">
        <f>G6</f>
        <v>30</v>
      </c>
      <c r="H53" s="55">
        <f>H6</f>
        <v>0</v>
      </c>
      <c r="I53" s="21">
        <f>SUM(D53:H53)</f>
        <v>100</v>
      </c>
      <c r="J53" s="6" t="s">
        <v>5</v>
      </c>
      <c r="K53" s="52" t="s">
        <v>22</v>
      </c>
      <c r="L53" s="11" t="s">
        <v>44</v>
      </c>
      <c r="M53" s="462"/>
      <c r="N53" s="463"/>
      <c r="O53" s="464"/>
      <c r="Q53" s="6" t="s">
        <v>2</v>
      </c>
      <c r="R53" s="11" t="s">
        <v>25</v>
      </c>
      <c r="S53" s="468" t="s">
        <v>27</v>
      </c>
      <c r="T53" s="469"/>
    </row>
    <row r="54" spans="1:20" ht="12" customHeight="1" x14ac:dyDescent="0.25">
      <c r="A54" s="6"/>
      <c r="B54" s="6"/>
      <c r="C54" s="51" t="s">
        <v>2</v>
      </c>
      <c r="D54" s="36"/>
      <c r="E54" s="37"/>
      <c r="F54" s="37"/>
      <c r="G54" s="37"/>
      <c r="H54" s="38"/>
      <c r="I54" s="11"/>
      <c r="J54" s="6" t="s">
        <v>6</v>
      </c>
      <c r="K54" s="54"/>
      <c r="L54" s="59" t="s">
        <v>45</v>
      </c>
      <c r="M54" s="465"/>
      <c r="N54" s="466"/>
      <c r="O54" s="467"/>
      <c r="Q54" s="7"/>
      <c r="R54" s="59" t="s">
        <v>26</v>
      </c>
      <c r="S54" s="8"/>
      <c r="T54" s="9"/>
    </row>
    <row r="55" spans="1:20" ht="12" customHeight="1" x14ac:dyDescent="0.3">
      <c r="A55" s="20">
        <v>1</v>
      </c>
      <c r="B55" s="18"/>
      <c r="C55" s="81" t="str">
        <f>DATA!D10</f>
        <v>Abid Lionel Abdillah</v>
      </c>
      <c r="D55" s="381">
        <v>35</v>
      </c>
      <c r="E55" s="40"/>
      <c r="F55" s="40"/>
      <c r="G55" s="40"/>
      <c r="H55" s="41"/>
      <c r="I55" s="120">
        <f>SUM(D55:H55)</f>
        <v>35</v>
      </c>
      <c r="J55" s="121">
        <f>I55</f>
        <v>35</v>
      </c>
      <c r="K55" s="21" t="str">
        <f>IF(J55&lt;$N$10,"tdk tuntas","tuntas")</f>
        <v>tdk tuntas</v>
      </c>
      <c r="L55" s="209" t="str">
        <f>IF(J55&lt;=39.9,"80",IF(J55&lt;=59.9,"81",IF(J55&lt;=69.9,"82",IF(J55&lt;=74.9,"83",IF(J55&lt;=78.9,"84",IF(J55&lt;=78.9,"85",IF(J55&gt;=78.9,J55," ")))))))</f>
        <v>80</v>
      </c>
      <c r="M55" s="12"/>
      <c r="N55" s="23"/>
      <c r="O55" s="13"/>
      <c r="Q55" s="67" t="str">
        <f>C55</f>
        <v>Abid Lionel Abdillah</v>
      </c>
      <c r="R55" s="21" t="str">
        <f>IF(I55&lt;$N$10,"80","")</f>
        <v>80</v>
      </c>
      <c r="S55" s="12"/>
      <c r="T55" s="13"/>
    </row>
    <row r="56" spans="1:20" ht="12" customHeight="1" x14ac:dyDescent="0.3">
      <c r="A56" s="21">
        <v>2</v>
      </c>
      <c r="B56" s="19"/>
      <c r="C56" s="82" t="str">
        <f>DATA!D11</f>
        <v>Aditria Bintang Mustofa</v>
      </c>
      <c r="D56" s="382">
        <v>30</v>
      </c>
      <c r="E56" s="43"/>
      <c r="F56" s="43"/>
      <c r="G56" s="43"/>
      <c r="H56" s="44"/>
      <c r="I56" s="122">
        <f t="shared" ref="I56:I85" si="8">SUM(D56:H56)</f>
        <v>30</v>
      </c>
      <c r="J56" s="123">
        <f t="shared" ref="J56:J86" si="9">I56</f>
        <v>30</v>
      </c>
      <c r="K56" s="21" t="str">
        <f t="shared" ref="K56:K86" si="10">IF(J56&lt;$N$10,"tdk tuntas","tuntas")</f>
        <v>tdk tuntas</v>
      </c>
      <c r="L56" s="210" t="str">
        <f t="shared" ref="L56:L86" si="11">IF(J56&lt;=39.9,"80",IF(J56&lt;=59.9,"81",IF(J56&lt;=69.9,"82",IF(J56&lt;=74.9,"83",IF(J56&lt;=78.9,"84",IF(J56&lt;=78.9,"85",IF(J56&gt;=78.9,J56," ")))))))</f>
        <v>80</v>
      </c>
      <c r="M56" s="14"/>
      <c r="N56" s="24"/>
      <c r="O56" s="15"/>
      <c r="Q56" s="68" t="str">
        <f t="shared" ref="Q56:Q86" si="12">C56</f>
        <v>Aditria Bintang Mustofa</v>
      </c>
      <c r="R56" s="21" t="str">
        <f>IF(I56&lt;$N$10,"81","")</f>
        <v>81</v>
      </c>
      <c r="S56" s="14" t="s">
        <v>29</v>
      </c>
      <c r="T56" s="15"/>
    </row>
    <row r="57" spans="1:20" ht="12" customHeight="1" thickBot="1" x14ac:dyDescent="0.35">
      <c r="A57" s="21">
        <v>3</v>
      </c>
      <c r="B57" s="19"/>
      <c r="C57" s="82" t="str">
        <f>DATA!D12</f>
        <v>Agni Wulan Pramesti</v>
      </c>
      <c r="D57" s="382">
        <v>30</v>
      </c>
      <c r="E57" s="43"/>
      <c r="F57" s="43"/>
      <c r="G57" s="43"/>
      <c r="H57" s="44"/>
      <c r="I57" s="122">
        <f t="shared" si="8"/>
        <v>30</v>
      </c>
      <c r="J57" s="123">
        <f t="shared" si="9"/>
        <v>30</v>
      </c>
      <c r="K57" s="21" t="str">
        <f t="shared" si="10"/>
        <v>tdk tuntas</v>
      </c>
      <c r="L57" s="210" t="str">
        <f t="shared" si="11"/>
        <v>80</v>
      </c>
      <c r="M57" s="70" t="s">
        <v>62</v>
      </c>
      <c r="N57" s="76">
        <f>N10</f>
        <v>80</v>
      </c>
      <c r="O57" s="15"/>
      <c r="Q57" s="68" t="str">
        <f t="shared" si="12"/>
        <v>Agni Wulan Pramesti</v>
      </c>
      <c r="R57" s="21" t="str">
        <f>IF(I57&lt;$N$10,"81","")</f>
        <v>81</v>
      </c>
      <c r="S57" s="26"/>
      <c r="T57" s="15"/>
    </row>
    <row r="58" spans="1:20" ht="12" customHeight="1" thickTop="1" thickBot="1" x14ac:dyDescent="0.35">
      <c r="A58" s="21">
        <v>4</v>
      </c>
      <c r="B58" s="19"/>
      <c r="C58" s="133" t="str">
        <f>DATA!D13</f>
        <v>Ahmad Irfan Annadif</v>
      </c>
      <c r="D58" s="382">
        <v>20</v>
      </c>
      <c r="E58" s="43"/>
      <c r="F58" s="43"/>
      <c r="G58" s="43"/>
      <c r="H58" s="44"/>
      <c r="I58" s="122">
        <f>SUM(D58:H58)</f>
        <v>20</v>
      </c>
      <c r="J58" s="123">
        <f>I58</f>
        <v>20</v>
      </c>
      <c r="K58" s="21" t="str">
        <f>IF(J58&lt;$N$10,"tdk tuntas","tuntas")</f>
        <v>tdk tuntas</v>
      </c>
      <c r="L58" s="210" t="str">
        <f t="shared" si="11"/>
        <v>80</v>
      </c>
      <c r="M58" s="14"/>
      <c r="N58" s="24"/>
      <c r="O58" s="15"/>
      <c r="Q58" s="68" t="str">
        <f t="shared" si="12"/>
        <v>Ahmad Irfan Annadif</v>
      </c>
      <c r="R58" s="21" t="str">
        <f>IF(I58&lt;$N$10,"84","")</f>
        <v>84</v>
      </c>
      <c r="S58" s="62"/>
      <c r="T58" s="15" t="s">
        <v>35</v>
      </c>
    </row>
    <row r="59" spans="1:20" ht="12" customHeight="1" thickTop="1" thickBot="1" x14ac:dyDescent="0.35">
      <c r="A59" s="21">
        <v>5</v>
      </c>
      <c r="B59" s="19"/>
      <c r="C59" s="82" t="str">
        <f>DATA!D14</f>
        <v>Alesha Najwa Adelia</v>
      </c>
      <c r="D59" s="382">
        <v>35</v>
      </c>
      <c r="E59" s="43"/>
      <c r="F59" s="43"/>
      <c r="G59" s="43"/>
      <c r="H59" s="44"/>
      <c r="I59" s="122">
        <f t="shared" si="8"/>
        <v>35</v>
      </c>
      <c r="J59" s="123">
        <f t="shared" si="9"/>
        <v>35</v>
      </c>
      <c r="K59" s="21" t="str">
        <f t="shared" si="10"/>
        <v>tdk tuntas</v>
      </c>
      <c r="L59" s="210" t="str">
        <f t="shared" si="11"/>
        <v>80</v>
      </c>
      <c r="M59" s="14"/>
      <c r="N59" s="24"/>
      <c r="O59" s="15"/>
      <c r="Q59" s="68" t="str">
        <f t="shared" si="12"/>
        <v>Alesha Najwa Adelia</v>
      </c>
      <c r="R59" s="21" t="str">
        <f>IF(I59&lt;$N$10,"87","")</f>
        <v>87</v>
      </c>
      <c r="S59" s="158" t="s">
        <v>81</v>
      </c>
      <c r="T59" s="15" t="s">
        <v>38</v>
      </c>
    </row>
    <row r="60" spans="1:20" ht="12" customHeight="1" thickTop="1" thickBot="1" x14ac:dyDescent="0.35">
      <c r="A60" s="21">
        <v>6</v>
      </c>
      <c r="B60" s="19"/>
      <c r="C60" s="82" t="str">
        <f>DATA!D15</f>
        <v>Ana Kharisma Wardani</v>
      </c>
      <c r="D60" s="382">
        <v>70</v>
      </c>
      <c r="E60" s="43"/>
      <c r="F60" s="43"/>
      <c r="G60" s="43"/>
      <c r="H60" s="44"/>
      <c r="I60" s="122">
        <f t="shared" si="8"/>
        <v>70</v>
      </c>
      <c r="J60" s="123">
        <f t="shared" si="9"/>
        <v>70</v>
      </c>
      <c r="K60" s="21" t="str">
        <f t="shared" si="10"/>
        <v>tdk tuntas</v>
      </c>
      <c r="L60" s="210" t="str">
        <f t="shared" si="11"/>
        <v>83</v>
      </c>
      <c r="M60" s="14" t="s">
        <v>10</v>
      </c>
      <c r="N60" s="24"/>
      <c r="O60" s="15"/>
      <c r="Q60" s="68" t="str">
        <f t="shared" si="12"/>
        <v>Ana Kharisma Wardani</v>
      </c>
      <c r="R60" s="21" t="str">
        <f>IF(I60&lt;$N$10,"82","")</f>
        <v>82</v>
      </c>
      <c r="S60" s="155"/>
      <c r="T60" s="15" t="s">
        <v>39</v>
      </c>
    </row>
    <row r="61" spans="1:20" ht="12" customHeight="1" thickTop="1" thickBot="1" x14ac:dyDescent="0.35">
      <c r="A61" s="21">
        <v>7</v>
      </c>
      <c r="B61" s="19"/>
      <c r="C61" s="82" t="str">
        <f>DATA!D16</f>
        <v>Angga Rizki Satriya Utama</v>
      </c>
      <c r="D61" s="382">
        <v>30</v>
      </c>
      <c r="E61" s="43"/>
      <c r="F61" s="43"/>
      <c r="G61" s="43"/>
      <c r="H61" s="44"/>
      <c r="I61" s="122">
        <f t="shared" si="8"/>
        <v>30</v>
      </c>
      <c r="J61" s="123">
        <f t="shared" si="9"/>
        <v>30</v>
      </c>
      <c r="K61" s="21" t="str">
        <f t="shared" si="10"/>
        <v>tdk tuntas</v>
      </c>
      <c r="L61" s="210" t="str">
        <f t="shared" si="11"/>
        <v>80</v>
      </c>
      <c r="M61" s="14"/>
      <c r="N61" s="24"/>
      <c r="O61" s="15"/>
      <c r="Q61" s="68" t="str">
        <f t="shared" si="12"/>
        <v>Angga Rizki Satriya Utama</v>
      </c>
      <c r="R61" s="21" t="str">
        <f>IF(I61&lt;$N$10,"80","")</f>
        <v>80</v>
      </c>
      <c r="S61" s="158"/>
      <c r="T61" s="119" t="s">
        <v>36</v>
      </c>
    </row>
    <row r="62" spans="1:20" ht="12" customHeight="1" thickTop="1" x14ac:dyDescent="0.3">
      <c r="A62" s="21">
        <v>8</v>
      </c>
      <c r="B62" s="19"/>
      <c r="C62" s="82" t="str">
        <f>DATA!D17</f>
        <v>Ardiyan Vebri Pratama</v>
      </c>
      <c r="D62" s="382">
        <v>35</v>
      </c>
      <c r="E62" s="43"/>
      <c r="F62" s="43"/>
      <c r="G62" s="43"/>
      <c r="H62" s="44"/>
      <c r="I62" s="122">
        <f t="shared" si="8"/>
        <v>35</v>
      </c>
      <c r="J62" s="123">
        <f t="shared" si="9"/>
        <v>35</v>
      </c>
      <c r="K62" s="21" t="str">
        <f t="shared" si="10"/>
        <v>tdk tuntas</v>
      </c>
      <c r="L62" s="210" t="str">
        <f t="shared" si="11"/>
        <v>80</v>
      </c>
      <c r="M62" s="77" t="s">
        <v>51</v>
      </c>
      <c r="N62" s="24"/>
      <c r="O62" s="15"/>
      <c r="Q62" s="68" t="str">
        <f t="shared" si="12"/>
        <v>Ardiyan Vebri Pratama</v>
      </c>
      <c r="R62" s="21" t="str">
        <f>IF(I62&lt;$N$10,"84","")</f>
        <v>84</v>
      </c>
      <c r="S62" s="155"/>
      <c r="T62" s="119" t="s">
        <v>37</v>
      </c>
    </row>
    <row r="63" spans="1:20" ht="12" customHeight="1" x14ac:dyDescent="0.3">
      <c r="A63" s="21">
        <v>9</v>
      </c>
      <c r="B63" s="19"/>
      <c r="C63" s="82" t="str">
        <f>DATA!D18</f>
        <v>Aurel Azza Adellia Putri</v>
      </c>
      <c r="D63" s="382">
        <v>35</v>
      </c>
      <c r="E63" s="43"/>
      <c r="F63" s="43"/>
      <c r="G63" s="43"/>
      <c r="H63" s="44"/>
      <c r="I63" s="122">
        <f t="shared" si="8"/>
        <v>35</v>
      </c>
      <c r="J63" s="123">
        <f t="shared" si="9"/>
        <v>35</v>
      </c>
      <c r="K63" s="21" t="str">
        <f t="shared" si="10"/>
        <v>tdk tuntas</v>
      </c>
      <c r="L63" s="210" t="str">
        <f t="shared" si="11"/>
        <v>80</v>
      </c>
      <c r="N63" s="24"/>
      <c r="O63" s="15"/>
      <c r="Q63" s="68" t="str">
        <f t="shared" si="12"/>
        <v>Aurel Azza Adellia Putri</v>
      </c>
      <c r="R63" s="21" t="str">
        <f>IF(I63&lt;$N$10,"88","")</f>
        <v>88</v>
      </c>
      <c r="S63" s="14"/>
      <c r="T63" s="15"/>
    </row>
    <row r="64" spans="1:20" ht="12" customHeight="1" x14ac:dyDescent="0.3">
      <c r="A64" s="21">
        <v>10</v>
      </c>
      <c r="B64" s="19"/>
      <c r="C64" s="82" t="str">
        <f>DATA!D19</f>
        <v>Darasti Keyshafa Azumi</v>
      </c>
      <c r="D64" s="382">
        <v>35</v>
      </c>
      <c r="E64" s="43"/>
      <c r="F64" s="43"/>
      <c r="G64" s="43"/>
      <c r="H64" s="44"/>
      <c r="I64" s="122">
        <f t="shared" si="8"/>
        <v>35</v>
      </c>
      <c r="J64" s="123">
        <f t="shared" si="9"/>
        <v>35</v>
      </c>
      <c r="K64" s="21" t="str">
        <f t="shared" si="10"/>
        <v>tdk tuntas</v>
      </c>
      <c r="L64" s="210" t="str">
        <f t="shared" si="11"/>
        <v>80</v>
      </c>
      <c r="M64" s="14"/>
      <c r="N64" s="24"/>
      <c r="O64" s="15"/>
      <c r="Q64" s="68" t="str">
        <f t="shared" si="12"/>
        <v>Darasti Keyshafa Azumi</v>
      </c>
      <c r="R64" s="21" t="str">
        <f t="shared" ref="R64:R69" si="13">IF(I64&lt;$N$10,"85","")</f>
        <v>85</v>
      </c>
      <c r="S64" s="14" t="s">
        <v>30</v>
      </c>
      <c r="T64" s="15"/>
    </row>
    <row r="65" spans="1:20" ht="12" customHeight="1" thickBot="1" x14ac:dyDescent="0.35">
      <c r="A65" s="21">
        <v>11</v>
      </c>
      <c r="B65" s="19"/>
      <c r="C65" s="82" t="str">
        <f>DATA!D20</f>
        <v>Dea Resti Lian Dana Sari</v>
      </c>
      <c r="D65" s="382">
        <v>15</v>
      </c>
      <c r="E65" s="43"/>
      <c r="F65" s="43"/>
      <c r="G65" s="43"/>
      <c r="H65" s="44"/>
      <c r="I65" s="122">
        <f t="shared" si="8"/>
        <v>15</v>
      </c>
      <c r="J65" s="123">
        <f t="shared" si="9"/>
        <v>15</v>
      </c>
      <c r="K65" s="21" t="str">
        <f t="shared" si="10"/>
        <v>tdk tuntas</v>
      </c>
      <c r="L65" s="210" t="str">
        <f t="shared" si="11"/>
        <v>80</v>
      </c>
      <c r="M65" s="14"/>
      <c r="N65" s="24"/>
      <c r="O65" s="15"/>
      <c r="Q65" s="68" t="str">
        <f t="shared" si="12"/>
        <v>Dea Resti Lian Dana Sari</v>
      </c>
      <c r="R65" s="21" t="str">
        <f t="shared" si="13"/>
        <v>85</v>
      </c>
      <c r="T65" s="15"/>
    </row>
    <row r="66" spans="1:20" ht="12" customHeight="1" thickTop="1" thickBot="1" x14ac:dyDescent="0.35">
      <c r="A66" s="21">
        <v>12</v>
      </c>
      <c r="B66" s="19"/>
      <c r="C66" s="82" t="str">
        <f>DATA!D21</f>
        <v>Desta Dwi Lestari</v>
      </c>
      <c r="D66" s="382">
        <v>35</v>
      </c>
      <c r="E66" s="43"/>
      <c r="F66" s="43"/>
      <c r="G66" s="43"/>
      <c r="H66" s="44"/>
      <c r="I66" s="122">
        <f t="shared" si="8"/>
        <v>35</v>
      </c>
      <c r="J66" s="123">
        <f t="shared" si="9"/>
        <v>35</v>
      </c>
      <c r="K66" s="21" t="str">
        <f t="shared" si="10"/>
        <v>tdk tuntas</v>
      </c>
      <c r="L66" s="210" t="str">
        <f t="shared" si="11"/>
        <v>80</v>
      </c>
      <c r="M66" s="14" t="s">
        <v>11</v>
      </c>
      <c r="N66" s="58">
        <f>K93</f>
        <v>32</v>
      </c>
      <c r="O66" s="15"/>
      <c r="Q66" s="68" t="str">
        <f t="shared" si="12"/>
        <v>Desta Dwi Lestari</v>
      </c>
      <c r="R66" s="21" t="str">
        <f t="shared" si="13"/>
        <v>85</v>
      </c>
      <c r="S66" s="158" t="s">
        <v>46</v>
      </c>
      <c r="T66" s="119" t="s">
        <v>31</v>
      </c>
    </row>
    <row r="67" spans="1:20" ht="12" customHeight="1" thickTop="1" thickBot="1" x14ac:dyDescent="0.35">
      <c r="A67" s="21">
        <v>13</v>
      </c>
      <c r="B67" s="19"/>
      <c r="C67" s="82" t="str">
        <f>DATA!D22</f>
        <v>Faaz Nizzar Ardiansyah</v>
      </c>
      <c r="D67" s="382">
        <v>25</v>
      </c>
      <c r="E67" s="43"/>
      <c r="F67" s="43"/>
      <c r="G67" s="43"/>
      <c r="H67" s="44"/>
      <c r="I67" s="122">
        <f t="shared" si="8"/>
        <v>25</v>
      </c>
      <c r="J67" s="123">
        <f t="shared" si="9"/>
        <v>25</v>
      </c>
      <c r="K67" s="21" t="str">
        <f t="shared" si="10"/>
        <v>tdk tuntas</v>
      </c>
      <c r="L67" s="210" t="str">
        <f t="shared" si="11"/>
        <v>80</v>
      </c>
      <c r="M67" s="14" t="s">
        <v>12</v>
      </c>
      <c r="N67" s="58">
        <f>K91</f>
        <v>0</v>
      </c>
      <c r="O67" s="15"/>
      <c r="Q67" s="68" t="str">
        <f t="shared" si="12"/>
        <v>Faaz Nizzar Ardiansyah</v>
      </c>
      <c r="R67" s="21" t="str">
        <f t="shared" si="13"/>
        <v>85</v>
      </c>
      <c r="S67" s="155"/>
      <c r="T67" s="119" t="s">
        <v>32</v>
      </c>
    </row>
    <row r="68" spans="1:20" ht="12" customHeight="1" thickTop="1" thickBot="1" x14ac:dyDescent="0.35">
      <c r="A68" s="21">
        <v>14</v>
      </c>
      <c r="B68" s="19"/>
      <c r="C68" s="82" t="str">
        <f>DATA!D23</f>
        <v>Hazel Javier Ozora</v>
      </c>
      <c r="D68" s="382">
        <v>45</v>
      </c>
      <c r="E68" s="43"/>
      <c r="F68" s="43"/>
      <c r="G68" s="43"/>
      <c r="H68" s="44"/>
      <c r="I68" s="122">
        <f t="shared" si="8"/>
        <v>45</v>
      </c>
      <c r="J68" s="123">
        <f t="shared" si="9"/>
        <v>45</v>
      </c>
      <c r="K68" s="21" t="str">
        <f t="shared" si="10"/>
        <v>tdk tuntas</v>
      </c>
      <c r="L68" s="210" t="str">
        <f t="shared" si="11"/>
        <v>81</v>
      </c>
      <c r="M68" s="14" t="s">
        <v>13</v>
      </c>
      <c r="N68" s="58">
        <f>N67/N66*100</f>
        <v>0</v>
      </c>
      <c r="O68" s="15" t="s">
        <v>4</v>
      </c>
      <c r="Q68" s="68" t="str">
        <f t="shared" si="12"/>
        <v>Hazel Javier Ozora</v>
      </c>
      <c r="R68" s="21" t="str">
        <f t="shared" si="13"/>
        <v>85</v>
      </c>
      <c r="S68" s="62"/>
      <c r="T68" s="15" t="s">
        <v>33</v>
      </c>
    </row>
    <row r="69" spans="1:20" ht="12" customHeight="1" thickTop="1" x14ac:dyDescent="0.3">
      <c r="A69" s="21">
        <v>15</v>
      </c>
      <c r="B69" s="19"/>
      <c r="C69" s="82" t="str">
        <f>DATA!D24</f>
        <v>Indika Dwi Laksono</v>
      </c>
      <c r="D69" s="382">
        <v>35</v>
      </c>
      <c r="E69" s="43"/>
      <c r="F69" s="43"/>
      <c r="G69" s="43"/>
      <c r="H69" s="44"/>
      <c r="I69" s="122">
        <f t="shared" si="8"/>
        <v>35</v>
      </c>
      <c r="J69" s="123">
        <f t="shared" si="9"/>
        <v>35</v>
      </c>
      <c r="K69" s="21" t="str">
        <f t="shared" si="10"/>
        <v>tdk tuntas</v>
      </c>
      <c r="L69" s="210" t="str">
        <f t="shared" si="11"/>
        <v>80</v>
      </c>
      <c r="M69" s="14"/>
      <c r="N69" s="24"/>
      <c r="O69" s="15"/>
      <c r="Q69" s="68" t="str">
        <f t="shared" si="12"/>
        <v>Indika Dwi Laksono</v>
      </c>
      <c r="R69" s="21" t="str">
        <f t="shared" si="13"/>
        <v>85</v>
      </c>
      <c r="S69" s="14"/>
      <c r="T69" s="15" t="s">
        <v>34</v>
      </c>
    </row>
    <row r="70" spans="1:20" ht="12" customHeight="1" x14ac:dyDescent="0.3">
      <c r="A70" s="21">
        <v>16</v>
      </c>
      <c r="B70" s="19"/>
      <c r="C70" s="82" t="str">
        <f>DATA!D25</f>
        <v>Indra Rahma Azzahra</v>
      </c>
      <c r="D70" s="382">
        <v>50</v>
      </c>
      <c r="E70" s="43"/>
      <c r="F70" s="43"/>
      <c r="G70" s="43"/>
      <c r="H70" s="44"/>
      <c r="I70" s="122">
        <f t="shared" si="8"/>
        <v>50</v>
      </c>
      <c r="J70" s="123">
        <f t="shared" si="9"/>
        <v>50</v>
      </c>
      <c r="K70" s="21" t="str">
        <f t="shared" si="10"/>
        <v>tdk tuntas</v>
      </c>
      <c r="L70" s="210" t="str">
        <f t="shared" si="11"/>
        <v>81</v>
      </c>
      <c r="M70" s="14" t="s">
        <v>52</v>
      </c>
      <c r="N70" s="24"/>
      <c r="O70" s="15"/>
      <c r="Q70" s="68" t="str">
        <f t="shared" si="12"/>
        <v>Indra Rahma Azzahra</v>
      </c>
      <c r="R70" s="21" t="str">
        <f>IF(I70&lt;$N$10,"84","")</f>
        <v>84</v>
      </c>
      <c r="S70" s="14"/>
      <c r="T70" s="15"/>
    </row>
    <row r="71" spans="1:20" ht="12" customHeight="1" x14ac:dyDescent="0.3">
      <c r="A71" s="21">
        <v>17</v>
      </c>
      <c r="B71" s="19"/>
      <c r="C71" s="82" t="str">
        <f>DATA!D26</f>
        <v>Lutfia Asri Wahyuni</v>
      </c>
      <c r="D71" s="382">
        <v>25</v>
      </c>
      <c r="E71" s="43"/>
      <c r="F71" s="43"/>
      <c r="G71" s="43"/>
      <c r="H71" s="44"/>
      <c r="I71" s="122">
        <f t="shared" si="8"/>
        <v>25</v>
      </c>
      <c r="J71" s="123">
        <f t="shared" si="9"/>
        <v>25</v>
      </c>
      <c r="K71" s="21" t="str">
        <f t="shared" si="10"/>
        <v>tdk tuntas</v>
      </c>
      <c r="L71" s="210" t="str">
        <f t="shared" si="11"/>
        <v>80</v>
      </c>
      <c r="N71" s="24"/>
      <c r="O71" s="15"/>
      <c r="Q71" s="68" t="str">
        <f t="shared" si="12"/>
        <v>Lutfia Asri Wahyuni</v>
      </c>
      <c r="R71" s="21" t="str">
        <f t="shared" ref="R71:R77" si="14">IF(I71&lt;$N$10,"82","")</f>
        <v>82</v>
      </c>
      <c r="S71" s="14"/>
      <c r="T71" s="63" t="s">
        <v>41</v>
      </c>
    </row>
    <row r="72" spans="1:20" ht="12" customHeight="1" x14ac:dyDescent="0.3">
      <c r="A72" s="21">
        <v>18</v>
      </c>
      <c r="B72" s="19"/>
      <c r="C72" s="82" t="str">
        <f>DATA!D27</f>
        <v>Muhamad Fadil Khoiri</v>
      </c>
      <c r="D72" s="382">
        <v>40</v>
      </c>
      <c r="E72" s="43"/>
      <c r="F72" s="43"/>
      <c r="G72" s="43"/>
      <c r="H72" s="44"/>
      <c r="I72" s="122">
        <f t="shared" si="8"/>
        <v>40</v>
      </c>
      <c r="J72" s="123">
        <f t="shared" si="9"/>
        <v>40</v>
      </c>
      <c r="K72" s="21" t="str">
        <f t="shared" si="10"/>
        <v>tdk tuntas</v>
      </c>
      <c r="L72" s="210" t="str">
        <f t="shared" si="11"/>
        <v>81</v>
      </c>
      <c r="M72" s="14"/>
      <c r="N72" s="24"/>
      <c r="O72" s="15"/>
      <c r="Q72" s="68" t="str">
        <f t="shared" si="12"/>
        <v>Muhamad Fadil Khoiri</v>
      </c>
      <c r="R72" s="21" t="str">
        <f t="shared" si="14"/>
        <v>82</v>
      </c>
      <c r="S72" s="14"/>
      <c r="T72" s="63"/>
    </row>
    <row r="73" spans="1:20" ht="12" customHeight="1" x14ac:dyDescent="0.3">
      <c r="A73" s="21">
        <v>19</v>
      </c>
      <c r="B73" s="19"/>
      <c r="C73" s="82" t="str">
        <f>DATA!D28</f>
        <v>Muhammad Aqil Mufid</v>
      </c>
      <c r="D73" s="382">
        <v>30</v>
      </c>
      <c r="E73" s="43"/>
      <c r="F73" s="43"/>
      <c r="G73" s="43"/>
      <c r="H73" s="44"/>
      <c r="I73" s="122">
        <f t="shared" si="8"/>
        <v>30</v>
      </c>
      <c r="J73" s="123">
        <f t="shared" si="9"/>
        <v>30</v>
      </c>
      <c r="K73" s="21" t="str">
        <f t="shared" si="10"/>
        <v>tdk tuntas</v>
      </c>
      <c r="L73" s="210" t="str">
        <f t="shared" si="11"/>
        <v>80</v>
      </c>
      <c r="M73" s="14"/>
      <c r="N73" s="24"/>
      <c r="O73" s="15"/>
      <c r="Q73" s="68" t="str">
        <f t="shared" si="12"/>
        <v>Muhammad Aqil Mufid</v>
      </c>
      <c r="R73" s="21" t="str">
        <f t="shared" si="14"/>
        <v>82</v>
      </c>
      <c r="S73" s="14"/>
      <c r="T73" s="63"/>
    </row>
    <row r="74" spans="1:20" ht="12" customHeight="1" x14ac:dyDescent="0.3">
      <c r="A74" s="21">
        <v>20</v>
      </c>
      <c r="B74" s="19"/>
      <c r="C74" s="82" t="str">
        <f>DATA!D29</f>
        <v>Muhammad Danish Alzydan</v>
      </c>
      <c r="D74" s="382">
        <v>35</v>
      </c>
      <c r="E74" s="43"/>
      <c r="F74" s="43"/>
      <c r="G74" s="43"/>
      <c r="H74" s="44"/>
      <c r="I74" s="122">
        <f t="shared" si="8"/>
        <v>35</v>
      </c>
      <c r="J74" s="123">
        <f t="shared" si="9"/>
        <v>35</v>
      </c>
      <c r="K74" s="21" t="str">
        <f t="shared" si="10"/>
        <v>tdk tuntas</v>
      </c>
      <c r="L74" s="210" t="str">
        <f t="shared" si="11"/>
        <v>80</v>
      </c>
      <c r="M74" s="14" t="s">
        <v>53</v>
      </c>
      <c r="N74" s="78">
        <f>I91</f>
        <v>1140</v>
      </c>
      <c r="O74" s="15"/>
      <c r="Q74" s="68" t="str">
        <f t="shared" si="12"/>
        <v>Muhammad Danish Alzydan</v>
      </c>
      <c r="R74" s="21" t="str">
        <f t="shared" si="14"/>
        <v>82</v>
      </c>
      <c r="S74" s="14"/>
      <c r="T74" s="63"/>
    </row>
    <row r="75" spans="1:20" ht="12" customHeight="1" x14ac:dyDescent="0.3">
      <c r="A75" s="21">
        <v>21</v>
      </c>
      <c r="B75" s="19"/>
      <c r="C75" s="82" t="str">
        <f>DATA!D30</f>
        <v>Muhammad Nurul Huda</v>
      </c>
      <c r="D75" s="382">
        <v>35</v>
      </c>
      <c r="E75" s="43"/>
      <c r="F75" s="43"/>
      <c r="G75" s="43"/>
      <c r="H75" s="44"/>
      <c r="I75" s="122">
        <f t="shared" si="8"/>
        <v>35</v>
      </c>
      <c r="J75" s="123">
        <f t="shared" si="9"/>
        <v>35</v>
      </c>
      <c r="K75" s="21" t="str">
        <f t="shared" si="10"/>
        <v>tdk tuntas</v>
      </c>
      <c r="L75" s="210" t="str">
        <f t="shared" si="11"/>
        <v>80</v>
      </c>
      <c r="M75" s="14" t="s">
        <v>54</v>
      </c>
      <c r="N75" s="78">
        <f>I92</f>
        <v>3200</v>
      </c>
      <c r="O75" s="15"/>
      <c r="Q75" s="68" t="str">
        <f t="shared" si="12"/>
        <v>Muhammad Nurul Huda</v>
      </c>
      <c r="R75" s="21" t="str">
        <f t="shared" si="14"/>
        <v>82</v>
      </c>
      <c r="S75" s="14"/>
      <c r="T75" s="63" t="str">
        <f>DATA!B3</f>
        <v>KASMIN, S.Pd</v>
      </c>
    </row>
    <row r="76" spans="1:20" ht="12" customHeight="1" x14ac:dyDescent="0.3">
      <c r="A76" s="21">
        <v>22</v>
      </c>
      <c r="B76" s="19"/>
      <c r="C76" s="133" t="str">
        <f>DATA!D31</f>
        <v>Nada Aprillia Zulfa Fairuz</v>
      </c>
      <c r="D76" s="382">
        <v>45</v>
      </c>
      <c r="E76" s="43"/>
      <c r="F76" s="43"/>
      <c r="G76" s="43"/>
      <c r="H76" s="44"/>
      <c r="I76" s="122">
        <f>SUM(D76:H76)</f>
        <v>45</v>
      </c>
      <c r="J76" s="123">
        <f>I76</f>
        <v>45</v>
      </c>
      <c r="K76" s="21" t="str">
        <f>IF(J76&lt;$N$10,"tdk tuntas","tuntas")</f>
        <v>tdk tuntas</v>
      </c>
      <c r="L76" s="210" t="str">
        <f t="shared" si="11"/>
        <v>81</v>
      </c>
      <c r="M76" s="14" t="s">
        <v>13</v>
      </c>
      <c r="N76" s="84">
        <f>N74/N75*100</f>
        <v>35.625</v>
      </c>
      <c r="O76" s="79" t="s">
        <v>4</v>
      </c>
      <c r="Q76" s="68" t="str">
        <f t="shared" si="12"/>
        <v>Nada Aprillia Zulfa Fairuz</v>
      </c>
      <c r="R76" s="21" t="str">
        <f t="shared" si="14"/>
        <v>82</v>
      </c>
      <c r="S76" s="14"/>
      <c r="T76" s="83" t="str">
        <f>DATA!B4</f>
        <v>NIP : 196609141990031007</v>
      </c>
    </row>
    <row r="77" spans="1:20" ht="12" customHeight="1" x14ac:dyDescent="0.3">
      <c r="A77" s="21">
        <v>23</v>
      </c>
      <c r="B77" s="19"/>
      <c r="C77" s="82" t="str">
        <f>DATA!D32</f>
        <v>Nadaa Fadiyah Salsabila</v>
      </c>
      <c r="D77" s="382">
        <v>20</v>
      </c>
      <c r="E77" s="43"/>
      <c r="F77" s="43"/>
      <c r="G77" s="43"/>
      <c r="H77" s="44"/>
      <c r="I77" s="122">
        <f t="shared" si="8"/>
        <v>20</v>
      </c>
      <c r="J77" s="123">
        <f t="shared" si="9"/>
        <v>20</v>
      </c>
      <c r="K77" s="21" t="str">
        <f t="shared" si="10"/>
        <v>tdk tuntas</v>
      </c>
      <c r="L77" s="210" t="str">
        <f t="shared" si="11"/>
        <v>80</v>
      </c>
      <c r="M77" s="14"/>
      <c r="N77" s="24"/>
      <c r="O77" s="15"/>
      <c r="Q77" s="68" t="str">
        <f t="shared" si="12"/>
        <v>Nadaa Fadiyah Salsabila</v>
      </c>
      <c r="R77" s="21" t="str">
        <f t="shared" si="14"/>
        <v>82</v>
      </c>
      <c r="S77" s="14"/>
      <c r="T77" s="15"/>
    </row>
    <row r="78" spans="1:20" ht="12" customHeight="1" x14ac:dyDescent="0.3">
      <c r="A78" s="21">
        <v>24</v>
      </c>
      <c r="B78" s="19"/>
      <c r="C78" s="82" t="str">
        <f>DATA!D33</f>
        <v>Nayla Oriza Shatifa</v>
      </c>
      <c r="D78" s="382">
        <v>45</v>
      </c>
      <c r="E78" s="43"/>
      <c r="F78" s="43"/>
      <c r="G78" s="43"/>
      <c r="H78" s="44"/>
      <c r="I78" s="122">
        <f t="shared" si="8"/>
        <v>45</v>
      </c>
      <c r="J78" s="123">
        <f t="shared" si="9"/>
        <v>45</v>
      </c>
      <c r="K78" s="21" t="str">
        <f t="shared" si="10"/>
        <v>tdk tuntas</v>
      </c>
      <c r="L78" s="210" t="str">
        <f t="shared" si="11"/>
        <v>81</v>
      </c>
      <c r="M78" s="14"/>
      <c r="N78" s="24"/>
      <c r="O78" s="15"/>
      <c r="Q78" s="68" t="str">
        <f t="shared" si="12"/>
        <v>Nayla Oriza Shatifa</v>
      </c>
      <c r="R78" s="21" t="str">
        <f>IF(I78&lt;$N$10,"85","")</f>
        <v>85</v>
      </c>
      <c r="S78" s="14"/>
      <c r="T78" s="63" t="s">
        <v>42</v>
      </c>
    </row>
    <row r="79" spans="1:20" ht="12" customHeight="1" x14ac:dyDescent="0.3">
      <c r="A79" s="21">
        <v>25</v>
      </c>
      <c r="B79" s="19"/>
      <c r="C79" s="82" t="str">
        <f>DATA!D34</f>
        <v>Raditya Eka Putra Yudha</v>
      </c>
      <c r="D79" s="382">
        <v>60</v>
      </c>
      <c r="E79" s="43"/>
      <c r="F79" s="43"/>
      <c r="G79" s="43"/>
      <c r="H79" s="44"/>
      <c r="I79" s="122">
        <f t="shared" si="8"/>
        <v>60</v>
      </c>
      <c r="J79" s="123">
        <f t="shared" si="9"/>
        <v>60</v>
      </c>
      <c r="K79" s="21" t="str">
        <f t="shared" si="10"/>
        <v>tdk tuntas</v>
      </c>
      <c r="L79" s="210" t="str">
        <f t="shared" si="11"/>
        <v>82</v>
      </c>
      <c r="M79" s="14" t="s">
        <v>14</v>
      </c>
      <c r="N79" s="24"/>
      <c r="O79" s="15"/>
      <c r="Q79" s="68" t="str">
        <f t="shared" si="12"/>
        <v>Raditya Eka Putra Yudha</v>
      </c>
      <c r="R79" s="21" t="str">
        <f>IF(I79&lt;$N$10,"81","")</f>
        <v>81</v>
      </c>
      <c r="S79" s="14"/>
      <c r="T79" s="63"/>
    </row>
    <row r="80" spans="1:20" ht="12" customHeight="1" x14ac:dyDescent="0.3">
      <c r="A80" s="21">
        <v>26</v>
      </c>
      <c r="B80" s="19"/>
      <c r="C80" s="82" t="str">
        <f>DATA!D35</f>
        <v>Ragil Harlangga</v>
      </c>
      <c r="D80" s="382">
        <v>40</v>
      </c>
      <c r="E80" s="43"/>
      <c r="F80" s="43"/>
      <c r="G80" s="43"/>
      <c r="H80" s="44"/>
      <c r="I80" s="122">
        <f t="shared" si="8"/>
        <v>40</v>
      </c>
      <c r="J80" s="123">
        <f t="shared" si="9"/>
        <v>40</v>
      </c>
      <c r="K80" s="21" t="str">
        <f t="shared" si="10"/>
        <v>tdk tuntas</v>
      </c>
      <c r="L80" s="210" t="str">
        <f t="shared" si="11"/>
        <v>81</v>
      </c>
      <c r="M80" s="14" t="s">
        <v>15</v>
      </c>
      <c r="N80" s="24"/>
      <c r="O80" s="15"/>
      <c r="Q80" s="68" t="str">
        <f t="shared" si="12"/>
        <v>Ragil Harlangga</v>
      </c>
      <c r="R80" s="21" t="str">
        <f>IF(I80&lt;$N$10,"82","")</f>
        <v>82</v>
      </c>
      <c r="S80" s="14"/>
      <c r="T80" s="63"/>
    </row>
    <row r="81" spans="1:20" ht="12" customHeight="1" x14ac:dyDescent="0.3">
      <c r="A81" s="21">
        <v>27</v>
      </c>
      <c r="B81" s="19"/>
      <c r="C81" s="82" t="str">
        <f>DATA!D36</f>
        <v>Rasya Hidayatullah Putra Zatmiko</v>
      </c>
      <c r="D81" s="382">
        <v>35</v>
      </c>
      <c r="E81" s="43"/>
      <c r="F81" s="43"/>
      <c r="G81" s="43"/>
      <c r="H81" s="44"/>
      <c r="I81" s="122">
        <f t="shared" si="8"/>
        <v>35</v>
      </c>
      <c r="J81" s="123">
        <f t="shared" si="9"/>
        <v>35</v>
      </c>
      <c r="K81" s="21" t="str">
        <f t="shared" si="10"/>
        <v>tdk tuntas</v>
      </c>
      <c r="L81" s="210" t="str">
        <f t="shared" si="11"/>
        <v>80</v>
      </c>
      <c r="M81" s="155" t="s">
        <v>80</v>
      </c>
      <c r="N81" s="24"/>
      <c r="O81" s="15"/>
      <c r="Q81" s="68" t="str">
        <f t="shared" si="12"/>
        <v>Rasya Hidayatullah Putra Zatmiko</v>
      </c>
      <c r="R81" s="21" t="str">
        <f>IF(I81&lt;$N$10,"82","")</f>
        <v>82</v>
      </c>
      <c r="S81" s="14"/>
      <c r="T81" s="63"/>
    </row>
    <row r="82" spans="1:20" ht="12" customHeight="1" x14ac:dyDescent="0.3">
      <c r="A82" s="21">
        <v>28</v>
      </c>
      <c r="B82" s="19"/>
      <c r="C82" s="82" t="str">
        <f>DATA!D37</f>
        <v>Septiyana Trihapsari</v>
      </c>
      <c r="D82" s="382">
        <v>30</v>
      </c>
      <c r="E82" s="43"/>
      <c r="F82" s="43"/>
      <c r="G82" s="43"/>
      <c r="H82" s="44"/>
      <c r="I82" s="122">
        <f t="shared" si="8"/>
        <v>30</v>
      </c>
      <c r="J82" s="123">
        <f t="shared" si="9"/>
        <v>30</v>
      </c>
      <c r="K82" s="21" t="str">
        <f t="shared" si="10"/>
        <v>tdk tuntas</v>
      </c>
      <c r="L82" s="210" t="str">
        <f t="shared" si="11"/>
        <v>80</v>
      </c>
      <c r="M82" s="14"/>
      <c r="N82" s="24"/>
      <c r="O82" s="15"/>
      <c r="Q82" s="68" t="str">
        <f t="shared" si="12"/>
        <v>Septiyana Trihapsari</v>
      </c>
      <c r="R82" s="21" t="str">
        <f>IF(I82&lt;$N$10,"81","")</f>
        <v>81</v>
      </c>
      <c r="S82" s="14"/>
      <c r="T82" s="63"/>
    </row>
    <row r="83" spans="1:20" ht="12" customHeight="1" x14ac:dyDescent="0.3">
      <c r="A83" s="21">
        <v>29</v>
      </c>
      <c r="B83" s="19"/>
      <c r="C83" s="82" t="str">
        <f>DATA!D38</f>
        <v>Syarifa Fatma</v>
      </c>
      <c r="D83" s="382">
        <v>35</v>
      </c>
      <c r="E83" s="43"/>
      <c r="F83" s="43"/>
      <c r="G83" s="43"/>
      <c r="H83" s="44"/>
      <c r="I83" s="122">
        <f t="shared" si="8"/>
        <v>35</v>
      </c>
      <c r="J83" s="123">
        <f t="shared" si="9"/>
        <v>35</v>
      </c>
      <c r="K83" s="21" t="str">
        <f t="shared" si="10"/>
        <v>tdk tuntas</v>
      </c>
      <c r="L83" s="210" t="str">
        <f t="shared" si="11"/>
        <v>80</v>
      </c>
      <c r="M83" s="14"/>
      <c r="N83" s="24"/>
      <c r="O83" s="15"/>
      <c r="Q83" s="68" t="str">
        <f t="shared" si="12"/>
        <v>Syarifa Fatma</v>
      </c>
      <c r="R83" s="21" t="str">
        <f>IF(I83&lt;$N$10,"85","")</f>
        <v>85</v>
      </c>
      <c r="S83" s="14"/>
      <c r="T83" s="63"/>
    </row>
    <row r="84" spans="1:20" ht="12" customHeight="1" x14ac:dyDescent="0.3">
      <c r="A84" s="21">
        <v>30</v>
      </c>
      <c r="B84" s="19"/>
      <c r="C84" s="82" t="str">
        <f>DATA!D39</f>
        <v>Syauqi Lazuardi</v>
      </c>
      <c r="D84" s="382">
        <v>40</v>
      </c>
      <c r="E84" s="43"/>
      <c r="F84" s="43"/>
      <c r="G84" s="43"/>
      <c r="H84" s="44"/>
      <c r="I84" s="122">
        <f t="shared" si="8"/>
        <v>40</v>
      </c>
      <c r="J84" s="123">
        <f t="shared" si="9"/>
        <v>40</v>
      </c>
      <c r="K84" s="21" t="str">
        <f t="shared" si="10"/>
        <v>tdk tuntas</v>
      </c>
      <c r="L84" s="210" t="str">
        <f t="shared" si="11"/>
        <v>81</v>
      </c>
      <c r="M84" s="14"/>
      <c r="N84" s="24"/>
      <c r="O84" s="15"/>
      <c r="Q84" s="68" t="str">
        <f t="shared" si="12"/>
        <v>Syauqi Lazuardi</v>
      </c>
      <c r="R84" s="21" t="str">
        <f>IF(I84&lt;$N$10,"84","")</f>
        <v>84</v>
      </c>
      <c r="S84" s="14"/>
      <c r="T84" s="63" t="str">
        <f>DATA!D3</f>
        <v>Dra. BAROKAH GUNIARTI</v>
      </c>
    </row>
    <row r="85" spans="1:20" ht="12" customHeight="1" x14ac:dyDescent="0.3">
      <c r="A85" s="21">
        <v>31</v>
      </c>
      <c r="B85" s="19"/>
      <c r="C85" s="82" t="str">
        <f>DATA!D40</f>
        <v>Zakya Ninu Azzahra</v>
      </c>
      <c r="D85" s="382">
        <v>50</v>
      </c>
      <c r="E85" s="43"/>
      <c r="F85" s="43"/>
      <c r="G85" s="43"/>
      <c r="H85" s="44"/>
      <c r="I85" s="122">
        <f t="shared" si="8"/>
        <v>50</v>
      </c>
      <c r="J85" s="123">
        <f t="shared" si="9"/>
        <v>50</v>
      </c>
      <c r="K85" s="21" t="str">
        <f t="shared" si="10"/>
        <v>tdk tuntas</v>
      </c>
      <c r="L85" s="210" t="str">
        <f t="shared" si="11"/>
        <v>81</v>
      </c>
      <c r="M85" s="14" t="s">
        <v>56</v>
      </c>
      <c r="N85" s="24"/>
      <c r="O85" s="15"/>
      <c r="Q85" s="68" t="str">
        <f t="shared" si="12"/>
        <v>Zakya Ninu Azzahra</v>
      </c>
      <c r="R85" s="21" t="str">
        <f>IF(I85&lt;$N$10,"84","")</f>
        <v>84</v>
      </c>
      <c r="S85" s="14"/>
      <c r="T85" s="103" t="str">
        <f>DATA!D4</f>
        <v>NIP : 196901081996122004</v>
      </c>
    </row>
    <row r="86" spans="1:20" ht="12" customHeight="1" x14ac:dyDescent="0.3">
      <c r="A86" s="21">
        <v>32</v>
      </c>
      <c r="B86" s="19"/>
      <c r="C86" s="82" t="str">
        <f>DATA!D41</f>
        <v>Zivara Layly Amaratungga</v>
      </c>
      <c r="D86" s="382">
        <v>15</v>
      </c>
      <c r="E86" s="43"/>
      <c r="F86" s="43"/>
      <c r="G86" s="43"/>
      <c r="H86" s="44"/>
      <c r="I86" s="122">
        <f>SUM(D86:H86)</f>
        <v>15</v>
      </c>
      <c r="J86" s="123">
        <f t="shared" si="9"/>
        <v>15</v>
      </c>
      <c r="K86" s="21" t="str">
        <f t="shared" si="10"/>
        <v>tdk tuntas</v>
      </c>
      <c r="L86" s="210" t="str">
        <f t="shared" si="11"/>
        <v>80</v>
      </c>
      <c r="M86" s="14"/>
      <c r="N86" s="24"/>
      <c r="O86" s="15"/>
      <c r="Q86" s="68" t="str">
        <f t="shared" si="12"/>
        <v>Zivara Layly Amaratungga</v>
      </c>
      <c r="R86" s="21"/>
      <c r="S86" s="14"/>
      <c r="T86" s="15"/>
    </row>
    <row r="87" spans="1:20" ht="12" customHeight="1" x14ac:dyDescent="0.25">
      <c r="A87" s="21">
        <v>33</v>
      </c>
      <c r="B87" s="19"/>
      <c r="C87" s="82"/>
      <c r="D87" s="42" t="s">
        <v>63</v>
      </c>
      <c r="E87" s="43"/>
      <c r="F87" s="43"/>
      <c r="G87" s="43"/>
      <c r="H87" s="44"/>
      <c r="I87" s="122"/>
      <c r="J87" s="123"/>
      <c r="K87" s="21"/>
      <c r="L87" s="135"/>
      <c r="M87" s="14" t="s">
        <v>16</v>
      </c>
      <c r="N87" s="24"/>
      <c r="O87" s="15"/>
      <c r="Q87" s="68"/>
      <c r="R87" s="21"/>
      <c r="S87" s="14"/>
      <c r="T87" s="15"/>
    </row>
    <row r="88" spans="1:20" ht="12" customHeight="1" x14ac:dyDescent="0.25">
      <c r="A88" s="21">
        <v>34</v>
      </c>
      <c r="B88" s="19"/>
      <c r="C88" s="82"/>
      <c r="D88" s="42" t="s">
        <v>63</v>
      </c>
      <c r="E88" s="43"/>
      <c r="F88" s="43"/>
      <c r="G88" s="43"/>
      <c r="H88" s="44"/>
      <c r="I88" s="122"/>
      <c r="J88" s="123"/>
      <c r="K88" s="21"/>
      <c r="L88" s="135"/>
      <c r="M88" s="14" t="s">
        <v>59</v>
      </c>
      <c r="N88" s="24"/>
      <c r="O88" s="15"/>
      <c r="Q88" s="68"/>
      <c r="R88" s="21"/>
      <c r="S88" s="14"/>
      <c r="T88" s="15"/>
    </row>
    <row r="89" spans="1:20" ht="12" customHeight="1" x14ac:dyDescent="0.25">
      <c r="A89" s="21">
        <v>35</v>
      </c>
      <c r="B89" s="22"/>
      <c r="C89" s="162"/>
      <c r="D89" s="136" t="s">
        <v>63</v>
      </c>
      <c r="E89" s="137"/>
      <c r="F89" s="137"/>
      <c r="G89" s="137"/>
      <c r="H89" s="138"/>
      <c r="I89" s="122"/>
      <c r="J89" s="123"/>
      <c r="K89" s="21"/>
      <c r="L89" s="139"/>
      <c r="M89" s="14" t="s">
        <v>23</v>
      </c>
      <c r="N89" s="24"/>
      <c r="O89" s="15"/>
      <c r="Q89" s="68"/>
      <c r="R89" s="21"/>
      <c r="S89" s="16"/>
      <c r="T89" s="17"/>
    </row>
    <row r="90" spans="1:20" ht="12" customHeight="1" x14ac:dyDescent="0.25">
      <c r="A90" s="101" t="s">
        <v>64</v>
      </c>
      <c r="B90" s="96"/>
      <c r="C90" s="97"/>
      <c r="D90" s="93"/>
      <c r="E90" s="94"/>
      <c r="F90" s="94"/>
      <c r="G90" s="94"/>
      <c r="H90" s="95"/>
      <c r="I90" s="98">
        <f>AVERAGE(I55:I89)</f>
        <v>35.625</v>
      </c>
      <c r="J90" s="74"/>
      <c r="K90" s="47"/>
      <c r="L90" s="65"/>
      <c r="M90" s="14"/>
      <c r="N90" s="24"/>
      <c r="O90" s="15"/>
      <c r="Q90" s="60"/>
      <c r="R90" s="471" t="str">
        <f>C51</f>
        <v>9B</v>
      </c>
      <c r="S90" s="471"/>
      <c r="T90" s="61"/>
    </row>
    <row r="91" spans="1:20" ht="12" customHeight="1" x14ac:dyDescent="0.25">
      <c r="A91" s="14" t="s">
        <v>17</v>
      </c>
      <c r="B91" s="24"/>
      <c r="C91" s="15"/>
      <c r="D91" s="42">
        <f>SUM(D55:D89)</f>
        <v>1140</v>
      </c>
      <c r="E91" s="43">
        <f>SUM(E55:E89)</f>
        <v>0</v>
      </c>
      <c r="F91" s="43">
        <f>SUM(F55:F89)</f>
        <v>0</v>
      </c>
      <c r="G91" s="43">
        <f>SUM(G55:G89)</f>
        <v>0</v>
      </c>
      <c r="H91" s="44">
        <f>SUM(H55:H89)</f>
        <v>0</v>
      </c>
      <c r="I91" s="80">
        <f>SUM(D91:H91)</f>
        <v>1140</v>
      </c>
      <c r="J91" s="85" t="s">
        <v>49</v>
      </c>
      <c r="K91" s="48">
        <f>COUNTIF(K55:K89,J91)</f>
        <v>0</v>
      </c>
      <c r="L91" s="64"/>
      <c r="M91" s="14"/>
      <c r="N91" s="24"/>
      <c r="O91" s="15"/>
      <c r="Q91" s="30"/>
      <c r="R91" s="472"/>
      <c r="S91" s="472"/>
      <c r="T91" s="31"/>
    </row>
    <row r="92" spans="1:20" ht="12" customHeight="1" x14ac:dyDescent="0.25">
      <c r="A92" s="14" t="s">
        <v>18</v>
      </c>
      <c r="B92" s="24"/>
      <c r="C92" s="15"/>
      <c r="D92" s="42">
        <f>D53*K93</f>
        <v>640</v>
      </c>
      <c r="E92" s="42">
        <f>E53*K93</f>
        <v>640</v>
      </c>
      <c r="F92" s="42">
        <f>F53*K93</f>
        <v>960</v>
      </c>
      <c r="G92" s="42">
        <f>G53*K93</f>
        <v>960</v>
      </c>
      <c r="H92" s="42">
        <f>H53*K93</f>
        <v>0</v>
      </c>
      <c r="I92" s="80">
        <f>SUM(D92:H92)</f>
        <v>3200</v>
      </c>
      <c r="J92" s="86" t="s">
        <v>50</v>
      </c>
      <c r="K92" s="48">
        <f>COUNTIF(K55:K89,J92)</f>
        <v>32</v>
      </c>
      <c r="L92" s="64"/>
      <c r="M92" s="14"/>
      <c r="N92" s="24"/>
      <c r="O92" s="15"/>
      <c r="Q92" s="30"/>
      <c r="R92" s="472"/>
      <c r="S92" s="472"/>
      <c r="T92" s="31"/>
    </row>
    <row r="93" spans="1:20" ht="12" customHeight="1" x14ac:dyDescent="0.25">
      <c r="A93" s="26" t="s">
        <v>19</v>
      </c>
      <c r="B93" s="27"/>
      <c r="C93" s="28"/>
      <c r="D93" s="136">
        <f t="shared" ref="D93:I93" si="15">D91/D92*100</f>
        <v>178.125</v>
      </c>
      <c r="E93" s="136">
        <f t="shared" si="15"/>
        <v>0</v>
      </c>
      <c r="F93" s="136">
        <f t="shared" si="15"/>
        <v>0</v>
      </c>
      <c r="G93" s="136">
        <f t="shared" si="15"/>
        <v>0</v>
      </c>
      <c r="H93" s="136" t="e">
        <f t="shared" si="15"/>
        <v>#DIV/0!</v>
      </c>
      <c r="I93" s="50">
        <f t="shared" si="15"/>
        <v>35.625</v>
      </c>
      <c r="J93" s="75" t="s">
        <v>57</v>
      </c>
      <c r="K93" s="49">
        <f>SUM(K91:K92)</f>
        <v>32</v>
      </c>
      <c r="L93" s="66"/>
      <c r="M93" s="16"/>
      <c r="N93" s="25"/>
      <c r="O93" s="17"/>
      <c r="Q93" s="8"/>
      <c r="R93" s="473"/>
      <c r="S93" s="473"/>
      <c r="T93" s="9"/>
    </row>
    <row r="94" spans="1:20" ht="12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20" ht="12" customHeight="1" x14ac:dyDescent="0.25">
      <c r="A95" s="456" t="str">
        <f>'UH1'!A95</f>
        <v>ANALISA HASIL PH MATEMATIKA KLS IX  SMT GENAP</v>
      </c>
      <c r="B95" s="457"/>
      <c r="C95" s="457"/>
      <c r="D95" s="457"/>
      <c r="E95" s="457"/>
      <c r="F95" s="457"/>
      <c r="G95" s="457"/>
      <c r="H95" s="457"/>
      <c r="I95" s="457"/>
      <c r="J95" s="457"/>
      <c r="K95" s="457"/>
      <c r="L95" s="457"/>
      <c r="M95" s="457"/>
      <c r="N95" s="457"/>
      <c r="O95" s="458"/>
      <c r="Q95" s="456" t="s">
        <v>40</v>
      </c>
      <c r="R95" s="457"/>
      <c r="S95" s="457"/>
      <c r="T95" s="458"/>
    </row>
    <row r="96" spans="1:20" ht="12" customHeight="1" x14ac:dyDescent="0.25">
      <c r="A96" s="453" t="str">
        <f>A49</f>
        <v>SMP I LIMBANGAN  TH 2025/2026</v>
      </c>
      <c r="B96" s="454"/>
      <c r="C96" s="454"/>
      <c r="D96" s="454"/>
      <c r="E96" s="454"/>
      <c r="F96" s="454"/>
      <c r="G96" s="454"/>
      <c r="H96" s="454"/>
      <c r="I96" s="454"/>
      <c r="J96" s="454"/>
      <c r="K96" s="454"/>
      <c r="L96" s="454"/>
      <c r="M96" s="454"/>
      <c r="N96" s="454"/>
      <c r="O96" s="455"/>
      <c r="Q96" s="453" t="s">
        <v>61</v>
      </c>
      <c r="R96" s="454"/>
      <c r="S96" s="454"/>
      <c r="T96" s="455"/>
    </row>
    <row r="97" spans="1:20" ht="12" customHeight="1" x14ac:dyDescent="0.25"/>
    <row r="98" spans="1:20" ht="12" customHeight="1" x14ac:dyDescent="0.25">
      <c r="A98" s="99" t="s">
        <v>65</v>
      </c>
      <c r="C98" s="102" t="str">
        <f>DATA!F8</f>
        <v>9C</v>
      </c>
      <c r="D98" t="s">
        <v>297</v>
      </c>
      <c r="F98" s="87">
        <f>F4</f>
        <v>2</v>
      </c>
      <c r="I98" t="s">
        <v>20</v>
      </c>
      <c r="K98" s="72">
        <v>45938</v>
      </c>
      <c r="M98" s="1" t="s">
        <v>60</v>
      </c>
      <c r="N98" s="87">
        <f>N4</f>
        <v>2</v>
      </c>
      <c r="Q98" t="s">
        <v>28</v>
      </c>
      <c r="R98" s="470">
        <f>K98+7</f>
        <v>45945</v>
      </c>
      <c r="S98" s="470"/>
    </row>
    <row r="99" spans="1:20" ht="12" customHeight="1" x14ac:dyDescent="0.25">
      <c r="A99" s="2"/>
      <c r="B99" s="2"/>
      <c r="C99" s="3" t="s">
        <v>7</v>
      </c>
      <c r="D99" s="32">
        <v>1</v>
      </c>
      <c r="E99" s="33">
        <v>2</v>
      </c>
      <c r="F99" s="33">
        <v>3</v>
      </c>
      <c r="G99" s="33">
        <v>4</v>
      </c>
      <c r="H99" s="34">
        <v>5</v>
      </c>
      <c r="I99" s="35" t="s">
        <v>3</v>
      </c>
      <c r="J99" s="4" t="s">
        <v>4</v>
      </c>
      <c r="K99" s="53" t="s">
        <v>83</v>
      </c>
      <c r="L99" s="35" t="s">
        <v>43</v>
      </c>
      <c r="M99" s="459" t="s">
        <v>9</v>
      </c>
      <c r="N99" s="460"/>
      <c r="O99" s="461"/>
      <c r="Q99" s="2"/>
      <c r="R99" s="35" t="s">
        <v>24</v>
      </c>
      <c r="S99" s="60"/>
      <c r="T99" s="61"/>
    </row>
    <row r="100" spans="1:20" ht="12" customHeight="1" x14ac:dyDescent="0.25">
      <c r="A100" s="6" t="s">
        <v>0</v>
      </c>
      <c r="B100" s="6" t="s">
        <v>1</v>
      </c>
      <c r="C100" s="5" t="s">
        <v>8</v>
      </c>
      <c r="D100" s="55">
        <f>D53</f>
        <v>20</v>
      </c>
      <c r="E100" s="55">
        <f>E53</f>
        <v>20</v>
      </c>
      <c r="F100" s="55">
        <f>F53</f>
        <v>30</v>
      </c>
      <c r="G100" s="55">
        <f>G53</f>
        <v>30</v>
      </c>
      <c r="H100" s="55">
        <f>H53</f>
        <v>0</v>
      </c>
      <c r="I100" s="21">
        <f>SUM(D100:H100)</f>
        <v>100</v>
      </c>
      <c r="J100" s="6" t="s">
        <v>5</v>
      </c>
      <c r="K100" s="52" t="s">
        <v>22</v>
      </c>
      <c r="L100" s="11" t="s">
        <v>44</v>
      </c>
      <c r="M100" s="462"/>
      <c r="N100" s="463"/>
      <c r="O100" s="464"/>
      <c r="Q100" s="6" t="s">
        <v>2</v>
      </c>
      <c r="R100" s="11" t="s">
        <v>25</v>
      </c>
      <c r="S100" s="468" t="s">
        <v>27</v>
      </c>
      <c r="T100" s="469"/>
    </row>
    <row r="101" spans="1:20" ht="12" customHeight="1" x14ac:dyDescent="0.25">
      <c r="A101" s="6"/>
      <c r="B101" s="6"/>
      <c r="C101" s="51" t="s">
        <v>2</v>
      </c>
      <c r="D101" s="36"/>
      <c r="E101" s="37"/>
      <c r="F101" s="37"/>
      <c r="G101" s="37"/>
      <c r="H101" s="38"/>
      <c r="I101" s="11"/>
      <c r="J101" s="6" t="s">
        <v>6</v>
      </c>
      <c r="K101" s="54"/>
      <c r="L101" s="59" t="s">
        <v>45</v>
      </c>
      <c r="M101" s="465"/>
      <c r="N101" s="466"/>
      <c r="O101" s="467"/>
      <c r="Q101" s="7"/>
      <c r="R101" s="59" t="s">
        <v>26</v>
      </c>
      <c r="S101" s="8"/>
      <c r="T101" s="9"/>
    </row>
    <row r="102" spans="1:20" ht="12" customHeight="1" x14ac:dyDescent="0.3">
      <c r="A102" s="20">
        <v>1</v>
      </c>
      <c r="B102" s="18"/>
      <c r="C102" s="81" t="str">
        <f>DATA!F10</f>
        <v>Ahmad Husain</v>
      </c>
      <c r="D102" s="381">
        <v>40</v>
      </c>
      <c r="E102" s="40"/>
      <c r="F102" s="40"/>
      <c r="G102" s="40"/>
      <c r="H102" s="41"/>
      <c r="I102" s="120">
        <f>SUM(D102:H102)</f>
        <v>40</v>
      </c>
      <c r="J102" s="416">
        <f>I102</f>
        <v>40</v>
      </c>
      <c r="K102" s="21" t="str">
        <f>IF(J102&lt;$N$10,"tdk tuntas","tuntas")</f>
        <v>tdk tuntas</v>
      </c>
      <c r="L102" s="209" t="str">
        <f>IF(J102&lt;=39.9,"80",IF(J102&lt;=59.9,"81",IF(J102&lt;=69.9,"82",IF(J102&lt;=74.9,"83",IF(J102&lt;=78.9,"84",IF(J102&lt;=78.9,"85",IF(J102&gt;=78.9,J102," ")))))))</f>
        <v>81</v>
      </c>
      <c r="M102" s="12"/>
      <c r="N102" s="23"/>
      <c r="O102" s="13"/>
      <c r="Q102" s="67" t="str">
        <f>C102</f>
        <v>Ahmad Husain</v>
      </c>
      <c r="R102" s="21" t="str">
        <f>IF(I102&lt;$N$10,"80","")</f>
        <v>80</v>
      </c>
      <c r="S102" s="12"/>
      <c r="T102" s="13"/>
    </row>
    <row r="103" spans="1:20" ht="12" customHeight="1" x14ac:dyDescent="0.3">
      <c r="A103" s="21">
        <v>2</v>
      </c>
      <c r="B103" s="19"/>
      <c r="C103" s="82" t="str">
        <f>DATA!F11</f>
        <v>Albeth Christian F.</v>
      </c>
      <c r="D103" s="382">
        <v>35</v>
      </c>
      <c r="E103" s="43"/>
      <c r="F103" s="43"/>
      <c r="G103" s="43"/>
      <c r="H103" s="44"/>
      <c r="I103" s="122">
        <f t="shared" ref="I103:I113" si="16">SUM(D103:H103)</f>
        <v>35</v>
      </c>
      <c r="J103" s="123">
        <f t="shared" ref="J103:J113" si="17">I103</f>
        <v>35</v>
      </c>
      <c r="K103" s="21" t="str">
        <f t="shared" ref="K103:K131" si="18">IF(J103&lt;$N$10,"tdk tuntas","tuntas")</f>
        <v>tdk tuntas</v>
      </c>
      <c r="L103" s="210" t="str">
        <f t="shared" ref="L103:L133" si="19">IF(J103&lt;=39.9,"80",IF(J103&lt;=59.9,"81",IF(J103&lt;=69.9,"82",IF(J103&lt;=74.9,"83",IF(J103&lt;=78.9,"84",IF(J103&lt;=78.9,"85",IF(J103&gt;=78.9,J103," ")))))))</f>
        <v>80</v>
      </c>
      <c r="M103" s="14"/>
      <c r="N103" s="24"/>
      <c r="O103" s="15"/>
      <c r="Q103" s="68" t="str">
        <f t="shared" ref="Q103:Q111" si="20">C104</f>
        <v>Alfino Kurniawan</v>
      </c>
      <c r="R103" s="21" t="str">
        <f>IF(I103&lt;$N$10,"81","")</f>
        <v>81</v>
      </c>
      <c r="S103" s="14" t="s">
        <v>29</v>
      </c>
      <c r="T103" s="15"/>
    </row>
    <row r="104" spans="1:20" ht="12" customHeight="1" thickBot="1" x14ac:dyDescent="0.35">
      <c r="A104" s="21">
        <v>3</v>
      </c>
      <c r="B104" s="19"/>
      <c r="C104" s="82" t="str">
        <f>DATA!F12</f>
        <v>Alfino Kurniawan</v>
      </c>
      <c r="D104" s="382">
        <v>30</v>
      </c>
      <c r="E104" s="43"/>
      <c r="F104" s="43"/>
      <c r="G104" s="43"/>
      <c r="H104" s="44"/>
      <c r="I104" s="122">
        <f t="shared" si="16"/>
        <v>30</v>
      </c>
      <c r="J104" s="123">
        <f t="shared" si="17"/>
        <v>30</v>
      </c>
      <c r="K104" s="21" t="str">
        <f t="shared" si="18"/>
        <v>tdk tuntas</v>
      </c>
      <c r="L104" s="210" t="str">
        <f t="shared" si="19"/>
        <v>80</v>
      </c>
      <c r="M104" s="70" t="s">
        <v>62</v>
      </c>
      <c r="N104" s="76">
        <f>N10</f>
        <v>80</v>
      </c>
      <c r="O104" s="15"/>
      <c r="Q104" s="68" t="str">
        <f t="shared" si="20"/>
        <v>Alif Jalu Adil</v>
      </c>
      <c r="R104" s="21" t="str">
        <f>IF(I104&lt;$N$10,"81","")</f>
        <v>81</v>
      </c>
      <c r="S104" s="26"/>
      <c r="T104" s="15"/>
    </row>
    <row r="105" spans="1:20" ht="12" customHeight="1" thickTop="1" thickBot="1" x14ac:dyDescent="0.35">
      <c r="A105" s="21">
        <v>4</v>
      </c>
      <c r="B105" s="19"/>
      <c r="C105" s="82" t="str">
        <f>DATA!F13</f>
        <v>Alif Jalu Adil</v>
      </c>
      <c r="D105" s="382">
        <v>65</v>
      </c>
      <c r="E105" s="43"/>
      <c r="F105" s="43"/>
      <c r="G105" s="43"/>
      <c r="H105" s="44"/>
      <c r="I105" s="122">
        <f t="shared" si="16"/>
        <v>65</v>
      </c>
      <c r="J105" s="123">
        <f t="shared" si="17"/>
        <v>65</v>
      </c>
      <c r="K105" s="21" t="str">
        <f t="shared" si="18"/>
        <v>tdk tuntas</v>
      </c>
      <c r="L105" s="210" t="str">
        <f t="shared" si="19"/>
        <v>82</v>
      </c>
      <c r="M105" s="14"/>
      <c r="N105" s="24"/>
      <c r="O105" s="15"/>
      <c r="Q105" s="68" t="str">
        <f t="shared" si="20"/>
        <v>Almira Tian Az Zahra</v>
      </c>
      <c r="R105" s="21" t="str">
        <f>IF(I105&lt;$N$10,"84","")</f>
        <v>84</v>
      </c>
      <c r="S105" s="62"/>
      <c r="T105" s="15" t="s">
        <v>35</v>
      </c>
    </row>
    <row r="106" spans="1:20" ht="12" customHeight="1" thickTop="1" thickBot="1" x14ac:dyDescent="0.35">
      <c r="A106" s="21">
        <v>5</v>
      </c>
      <c r="B106" s="19"/>
      <c r="C106" s="82" t="str">
        <f>DATA!F14</f>
        <v>Almira Tian Az Zahra</v>
      </c>
      <c r="D106" s="382">
        <v>90</v>
      </c>
      <c r="E106" s="43"/>
      <c r="F106" s="43"/>
      <c r="G106" s="43"/>
      <c r="H106" s="44"/>
      <c r="I106" s="122">
        <f t="shared" si="16"/>
        <v>90</v>
      </c>
      <c r="J106" s="123">
        <f t="shared" si="17"/>
        <v>90</v>
      </c>
      <c r="K106" s="21" t="str">
        <f t="shared" si="18"/>
        <v>tuntas</v>
      </c>
      <c r="L106" s="210">
        <f t="shared" si="19"/>
        <v>90</v>
      </c>
      <c r="M106" s="14"/>
      <c r="N106" s="24"/>
      <c r="O106" s="15"/>
      <c r="Q106" s="68" t="str">
        <f t="shared" si="20"/>
        <v>Alvino Dafa Radhwa Aqilah</v>
      </c>
      <c r="R106" s="21" t="str">
        <f>IF(I106&lt;$N$10,"87","")</f>
        <v/>
      </c>
      <c r="S106" s="158" t="s">
        <v>81</v>
      </c>
      <c r="T106" s="15" t="s">
        <v>38</v>
      </c>
    </row>
    <row r="107" spans="1:20" ht="12" customHeight="1" thickTop="1" thickBot="1" x14ac:dyDescent="0.35">
      <c r="A107" s="21">
        <v>6</v>
      </c>
      <c r="B107" s="19"/>
      <c r="C107" s="82" t="str">
        <f>DATA!F15</f>
        <v>Alvino Dafa Radhwa Aqilah</v>
      </c>
      <c r="D107" s="382">
        <v>60</v>
      </c>
      <c r="E107" s="43"/>
      <c r="F107" s="43"/>
      <c r="G107" s="43"/>
      <c r="H107" s="44"/>
      <c r="I107" s="122">
        <f t="shared" si="16"/>
        <v>60</v>
      </c>
      <c r="J107" s="123">
        <f t="shared" si="17"/>
        <v>60</v>
      </c>
      <c r="K107" s="21" t="str">
        <f t="shared" si="18"/>
        <v>tdk tuntas</v>
      </c>
      <c r="L107" s="210" t="str">
        <f t="shared" si="19"/>
        <v>82</v>
      </c>
      <c r="M107" s="14" t="s">
        <v>10</v>
      </c>
      <c r="N107" s="24"/>
      <c r="O107" s="15"/>
      <c r="Q107" s="68" t="str">
        <f t="shared" si="20"/>
        <v>Ananda Dhanis Syarifudien</v>
      </c>
      <c r="R107" s="21" t="str">
        <f>IF(I107&lt;$N$10,"82","")</f>
        <v>82</v>
      </c>
      <c r="S107" s="155"/>
      <c r="T107" s="15" t="s">
        <v>39</v>
      </c>
    </row>
    <row r="108" spans="1:20" ht="12" customHeight="1" thickTop="1" thickBot="1" x14ac:dyDescent="0.35">
      <c r="A108" s="21">
        <v>7</v>
      </c>
      <c r="B108" s="19"/>
      <c r="C108" s="82" t="str">
        <f>DATA!F16</f>
        <v>Ananda Dhanis Syarifudien</v>
      </c>
      <c r="D108" s="382">
        <v>50</v>
      </c>
      <c r="E108" s="43"/>
      <c r="F108" s="43"/>
      <c r="G108" s="43"/>
      <c r="H108" s="44"/>
      <c r="I108" s="122">
        <f t="shared" si="16"/>
        <v>50</v>
      </c>
      <c r="J108" s="123">
        <f t="shared" si="17"/>
        <v>50</v>
      </c>
      <c r="K108" s="21" t="str">
        <f t="shared" si="18"/>
        <v>tdk tuntas</v>
      </c>
      <c r="L108" s="210" t="str">
        <f t="shared" si="19"/>
        <v>81</v>
      </c>
      <c r="M108" s="14"/>
      <c r="N108" s="24"/>
      <c r="O108" s="15"/>
      <c r="Q108" s="68" t="str">
        <f t="shared" si="20"/>
        <v>Andra Putra Wahyu Baskara</v>
      </c>
      <c r="R108" s="21" t="str">
        <f>IF(I108&lt;$N$10,"80","")</f>
        <v>80</v>
      </c>
      <c r="S108" s="158"/>
      <c r="T108" s="119" t="s">
        <v>36</v>
      </c>
    </row>
    <row r="109" spans="1:20" ht="12" customHeight="1" thickTop="1" x14ac:dyDescent="0.3">
      <c r="A109" s="21">
        <v>8</v>
      </c>
      <c r="B109" s="19"/>
      <c r="C109" s="82" t="str">
        <f>DATA!F17</f>
        <v>Andra Putra Wahyu Baskara</v>
      </c>
      <c r="D109" s="382">
        <v>45</v>
      </c>
      <c r="E109" s="43"/>
      <c r="F109" s="43"/>
      <c r="G109" s="43"/>
      <c r="H109" s="44"/>
      <c r="I109" s="122">
        <f t="shared" si="16"/>
        <v>45</v>
      </c>
      <c r="J109" s="123">
        <f t="shared" si="17"/>
        <v>45</v>
      </c>
      <c r="K109" s="21" t="str">
        <f t="shared" si="18"/>
        <v>tdk tuntas</v>
      </c>
      <c r="L109" s="210" t="str">
        <f t="shared" si="19"/>
        <v>81</v>
      </c>
      <c r="M109" s="77" t="s">
        <v>51</v>
      </c>
      <c r="N109" s="24"/>
      <c r="O109" s="15"/>
      <c r="Q109" s="68" t="str">
        <f t="shared" si="20"/>
        <v>Ardhan Restu Pratama</v>
      </c>
      <c r="R109" s="21" t="str">
        <f>IF(I109&lt;$N$10,"84","")</f>
        <v>84</v>
      </c>
      <c r="S109" s="155"/>
      <c r="T109" s="119" t="s">
        <v>37</v>
      </c>
    </row>
    <row r="110" spans="1:20" ht="12" customHeight="1" x14ac:dyDescent="0.3">
      <c r="A110" s="21">
        <v>9</v>
      </c>
      <c r="B110" s="19"/>
      <c r="C110" s="82" t="str">
        <f>DATA!F18</f>
        <v>Ardhan Restu Pratama</v>
      </c>
      <c r="D110" s="382">
        <v>40</v>
      </c>
      <c r="E110" s="43"/>
      <c r="F110" s="43"/>
      <c r="G110" s="43"/>
      <c r="H110" s="44"/>
      <c r="I110" s="122">
        <f t="shared" si="16"/>
        <v>40</v>
      </c>
      <c r="J110" s="123">
        <f t="shared" si="17"/>
        <v>40</v>
      </c>
      <c r="K110" s="21" t="str">
        <f t="shared" si="18"/>
        <v>tdk tuntas</v>
      </c>
      <c r="L110" s="210" t="str">
        <f t="shared" si="19"/>
        <v>81</v>
      </c>
      <c r="N110" s="24"/>
      <c r="O110" s="15"/>
      <c r="Q110" s="68" t="str">
        <f t="shared" si="20"/>
        <v>Ardi Setyo Nugroho</v>
      </c>
      <c r="R110" s="21" t="str">
        <f>IF(I110&lt;$N$10,"88","")</f>
        <v>88</v>
      </c>
      <c r="S110" s="14"/>
      <c r="T110" s="15"/>
    </row>
    <row r="111" spans="1:20" ht="12" customHeight="1" x14ac:dyDescent="0.3">
      <c r="A111" s="21">
        <v>10</v>
      </c>
      <c r="B111" s="19"/>
      <c r="C111" s="82" t="str">
        <f>DATA!F19</f>
        <v>Ardi Setyo Nugroho</v>
      </c>
      <c r="D111" s="382">
        <v>25</v>
      </c>
      <c r="E111" s="43"/>
      <c r="F111" s="43"/>
      <c r="G111" s="43"/>
      <c r="H111" s="44"/>
      <c r="I111" s="122">
        <f t="shared" si="16"/>
        <v>25</v>
      </c>
      <c r="J111" s="123">
        <f t="shared" si="17"/>
        <v>25</v>
      </c>
      <c r="K111" s="21" t="str">
        <f t="shared" si="18"/>
        <v>tdk tuntas</v>
      </c>
      <c r="L111" s="210" t="str">
        <f t="shared" si="19"/>
        <v>80</v>
      </c>
      <c r="M111" s="14"/>
      <c r="N111" s="24"/>
      <c r="O111" s="15"/>
      <c r="Q111" s="68" t="str">
        <f t="shared" si="20"/>
        <v>Az Zahra Aulia Rahma</v>
      </c>
      <c r="R111" s="21" t="str">
        <f t="shared" ref="R111:R116" si="21">IF(I111&lt;$N$10,"85","")</f>
        <v>85</v>
      </c>
      <c r="S111" s="14" t="s">
        <v>30</v>
      </c>
      <c r="T111" s="15"/>
    </row>
    <row r="112" spans="1:20" ht="12" customHeight="1" thickBot="1" x14ac:dyDescent="0.35">
      <c r="A112" s="21">
        <v>11</v>
      </c>
      <c r="B112" s="19"/>
      <c r="C112" s="82" t="str">
        <f>DATA!F20</f>
        <v>Az Zahra Aulia Rahma</v>
      </c>
      <c r="D112" s="382">
        <v>65</v>
      </c>
      <c r="E112" s="43"/>
      <c r="F112" s="43"/>
      <c r="G112" s="43"/>
      <c r="H112" s="44"/>
      <c r="I112" s="122">
        <f t="shared" si="16"/>
        <v>65</v>
      </c>
      <c r="J112" s="123">
        <f t="shared" si="17"/>
        <v>65</v>
      </c>
      <c r="K112" s="21" t="str">
        <f t="shared" si="18"/>
        <v>tdk tuntas</v>
      </c>
      <c r="L112" s="210" t="str">
        <f t="shared" si="19"/>
        <v>82</v>
      </c>
      <c r="M112" s="14"/>
      <c r="N112" s="24"/>
      <c r="O112" s="15"/>
      <c r="Q112" s="68" t="str">
        <f>C103</f>
        <v>Albeth Christian F.</v>
      </c>
      <c r="R112" s="21" t="str">
        <f t="shared" si="21"/>
        <v>85</v>
      </c>
      <c r="T112" s="15"/>
    </row>
    <row r="113" spans="1:20" ht="12" customHeight="1" thickTop="1" thickBot="1" x14ac:dyDescent="0.35">
      <c r="A113" s="21">
        <v>12</v>
      </c>
      <c r="B113" s="19"/>
      <c r="C113" s="82" t="str">
        <f>DATA!F21</f>
        <v>Desti Dwi Wahyuni</v>
      </c>
      <c r="D113" s="382">
        <v>50</v>
      </c>
      <c r="E113" s="43"/>
      <c r="F113" s="43"/>
      <c r="G113" s="43"/>
      <c r="H113" s="44"/>
      <c r="I113" s="122">
        <f t="shared" si="16"/>
        <v>50</v>
      </c>
      <c r="J113" s="123">
        <f t="shared" si="17"/>
        <v>50</v>
      </c>
      <c r="K113" s="21" t="str">
        <f t="shared" si="18"/>
        <v>tdk tuntas</v>
      </c>
      <c r="L113" s="210" t="str">
        <f t="shared" si="19"/>
        <v>81</v>
      </c>
      <c r="M113" s="14" t="s">
        <v>11</v>
      </c>
      <c r="N113" s="58">
        <f>K140</f>
        <v>32</v>
      </c>
      <c r="O113" s="15"/>
      <c r="Q113" s="68" t="str">
        <f t="shared" ref="Q113:Q131" si="22">C113</f>
        <v>Desti Dwi Wahyuni</v>
      </c>
      <c r="R113" s="21" t="str">
        <f t="shared" si="21"/>
        <v>85</v>
      </c>
      <c r="S113" s="158" t="s">
        <v>46</v>
      </c>
      <c r="T113" s="119" t="s">
        <v>31</v>
      </c>
    </row>
    <row r="114" spans="1:20" ht="12" customHeight="1" thickTop="1" thickBot="1" x14ac:dyDescent="0.35">
      <c r="A114" s="21">
        <v>13</v>
      </c>
      <c r="B114" s="19"/>
      <c r="C114" s="82" t="str">
        <f>DATA!F22</f>
        <v>Dominikus Febri Andrean</v>
      </c>
      <c r="D114" s="382">
        <v>55</v>
      </c>
      <c r="E114" s="43"/>
      <c r="F114" s="43"/>
      <c r="G114" s="43"/>
      <c r="H114" s="44"/>
      <c r="I114" s="122">
        <f t="shared" ref="I114:I131" si="23">SUM(D114:H114)</f>
        <v>55</v>
      </c>
      <c r="J114" s="123">
        <f t="shared" ref="J114:J131" si="24">I114</f>
        <v>55</v>
      </c>
      <c r="K114" s="21" t="str">
        <f t="shared" si="18"/>
        <v>tdk tuntas</v>
      </c>
      <c r="L114" s="210" t="str">
        <f t="shared" si="19"/>
        <v>81</v>
      </c>
      <c r="M114" s="14" t="s">
        <v>12</v>
      </c>
      <c r="N114" s="58">
        <f>K138</f>
        <v>1</v>
      </c>
      <c r="O114" s="15"/>
      <c r="Q114" s="68" t="str">
        <f t="shared" si="22"/>
        <v>Dominikus Febri Andrean</v>
      </c>
      <c r="R114" s="21" t="str">
        <f t="shared" si="21"/>
        <v>85</v>
      </c>
      <c r="S114" s="155"/>
      <c r="T114" s="119" t="s">
        <v>32</v>
      </c>
    </row>
    <row r="115" spans="1:20" ht="12" customHeight="1" thickTop="1" thickBot="1" x14ac:dyDescent="0.35">
      <c r="A115" s="21">
        <v>14</v>
      </c>
      <c r="B115" s="19"/>
      <c r="C115" s="82" t="str">
        <f>DATA!F23</f>
        <v>Evan Lingga Kurnia Zaen</v>
      </c>
      <c r="D115" s="382">
        <v>30</v>
      </c>
      <c r="E115" s="43"/>
      <c r="F115" s="43"/>
      <c r="G115" s="43"/>
      <c r="H115" s="44"/>
      <c r="I115" s="122">
        <f t="shared" si="23"/>
        <v>30</v>
      </c>
      <c r="J115" s="123">
        <f t="shared" si="24"/>
        <v>30</v>
      </c>
      <c r="K115" s="21" t="str">
        <f t="shared" si="18"/>
        <v>tdk tuntas</v>
      </c>
      <c r="L115" s="210" t="str">
        <f t="shared" si="19"/>
        <v>80</v>
      </c>
      <c r="M115" s="14" t="s">
        <v>13</v>
      </c>
      <c r="N115" s="58">
        <f>N114/N113*100</f>
        <v>3.125</v>
      </c>
      <c r="O115" s="15" t="s">
        <v>4</v>
      </c>
      <c r="Q115" s="68" t="str">
        <f t="shared" si="22"/>
        <v>Evan Lingga Kurnia Zaen</v>
      </c>
      <c r="R115" s="21" t="str">
        <f t="shared" si="21"/>
        <v>85</v>
      </c>
      <c r="S115" s="62"/>
      <c r="T115" s="15" t="s">
        <v>33</v>
      </c>
    </row>
    <row r="116" spans="1:20" ht="12" customHeight="1" thickTop="1" x14ac:dyDescent="0.3">
      <c r="A116" s="21">
        <v>15</v>
      </c>
      <c r="B116" s="19"/>
      <c r="C116" s="82" t="str">
        <f>DATA!F24</f>
        <v>Fathan Syahrul Anan</v>
      </c>
      <c r="D116" s="382">
        <v>55</v>
      </c>
      <c r="E116" s="43"/>
      <c r="F116" s="43"/>
      <c r="G116" s="43"/>
      <c r="H116" s="44"/>
      <c r="I116" s="122">
        <f t="shared" si="23"/>
        <v>55</v>
      </c>
      <c r="J116" s="123">
        <f t="shared" si="24"/>
        <v>55</v>
      </c>
      <c r="K116" s="21" t="str">
        <f t="shared" si="18"/>
        <v>tdk tuntas</v>
      </c>
      <c r="L116" s="210" t="str">
        <f t="shared" si="19"/>
        <v>81</v>
      </c>
      <c r="M116" s="14"/>
      <c r="N116" s="24"/>
      <c r="O116" s="15"/>
      <c r="Q116" s="68" t="str">
        <f t="shared" si="22"/>
        <v>Fathan Syahrul Anan</v>
      </c>
      <c r="R116" s="21" t="str">
        <f t="shared" si="21"/>
        <v>85</v>
      </c>
      <c r="S116" s="14"/>
      <c r="T116" s="15" t="s">
        <v>34</v>
      </c>
    </row>
    <row r="117" spans="1:20" ht="12" customHeight="1" x14ac:dyDescent="0.3">
      <c r="A117" s="21">
        <v>16</v>
      </c>
      <c r="B117" s="19"/>
      <c r="C117" s="82" t="str">
        <f>DATA!F25</f>
        <v>Fina Uzlifatil Jannah</v>
      </c>
      <c r="D117" s="382">
        <v>40</v>
      </c>
      <c r="E117" s="43"/>
      <c r="F117" s="43"/>
      <c r="G117" s="43"/>
      <c r="H117" s="44"/>
      <c r="I117" s="122">
        <f t="shared" si="23"/>
        <v>40</v>
      </c>
      <c r="J117" s="123">
        <f t="shared" si="24"/>
        <v>40</v>
      </c>
      <c r="K117" s="21" t="str">
        <f t="shared" si="18"/>
        <v>tdk tuntas</v>
      </c>
      <c r="L117" s="210" t="str">
        <f t="shared" si="19"/>
        <v>81</v>
      </c>
      <c r="M117" s="14" t="s">
        <v>52</v>
      </c>
      <c r="N117" s="24"/>
      <c r="O117" s="15"/>
      <c r="Q117" s="68" t="str">
        <f t="shared" si="22"/>
        <v>Fina Uzlifatil Jannah</v>
      </c>
      <c r="R117" s="21" t="str">
        <f>IF(I117&lt;$N$10,"84","")</f>
        <v>84</v>
      </c>
      <c r="S117" s="14"/>
      <c r="T117" s="15"/>
    </row>
    <row r="118" spans="1:20" ht="12" customHeight="1" x14ac:dyDescent="0.3">
      <c r="A118" s="21">
        <v>17</v>
      </c>
      <c r="B118" s="19"/>
      <c r="C118" s="82" t="str">
        <f>DATA!F26</f>
        <v>Hafidz Nugeroho</v>
      </c>
      <c r="D118" s="382">
        <v>35</v>
      </c>
      <c r="E118" s="43"/>
      <c r="F118" s="43"/>
      <c r="G118" s="43"/>
      <c r="H118" s="44"/>
      <c r="I118" s="122">
        <f t="shared" si="23"/>
        <v>35</v>
      </c>
      <c r="J118" s="123">
        <f t="shared" si="24"/>
        <v>35</v>
      </c>
      <c r="K118" s="21" t="str">
        <f t="shared" si="18"/>
        <v>tdk tuntas</v>
      </c>
      <c r="L118" s="210" t="str">
        <f t="shared" si="19"/>
        <v>80</v>
      </c>
      <c r="N118" s="24"/>
      <c r="O118" s="15"/>
      <c r="Q118" s="68" t="str">
        <f t="shared" si="22"/>
        <v>Hafidz Nugeroho</v>
      </c>
      <c r="R118" s="21" t="str">
        <f t="shared" ref="R118:R124" si="25">IF(I118&lt;$N$10,"82","")</f>
        <v>82</v>
      </c>
      <c r="S118" s="14"/>
      <c r="T118" s="63" t="s">
        <v>41</v>
      </c>
    </row>
    <row r="119" spans="1:20" ht="12" customHeight="1" x14ac:dyDescent="0.3">
      <c r="A119" s="21">
        <v>18</v>
      </c>
      <c r="B119" s="19"/>
      <c r="C119" s="82" t="str">
        <f>DATA!F27</f>
        <v>Kevin Sahasika Abyan Abiyyi</v>
      </c>
      <c r="D119" s="382">
        <v>45</v>
      </c>
      <c r="E119" s="43"/>
      <c r="F119" s="43"/>
      <c r="G119" s="43"/>
      <c r="H119" s="44"/>
      <c r="I119" s="338">
        <f t="shared" si="23"/>
        <v>45</v>
      </c>
      <c r="J119" s="339">
        <f t="shared" si="24"/>
        <v>45</v>
      </c>
      <c r="K119" s="185" t="str">
        <f t="shared" si="18"/>
        <v>tdk tuntas</v>
      </c>
      <c r="L119" s="210" t="str">
        <f t="shared" si="19"/>
        <v>81</v>
      </c>
      <c r="M119" s="14"/>
      <c r="N119" s="24"/>
      <c r="O119" s="15"/>
      <c r="Q119" s="68" t="str">
        <f t="shared" si="22"/>
        <v>Kevin Sahasika Abyan Abiyyi</v>
      </c>
      <c r="R119" s="21" t="str">
        <f t="shared" si="25"/>
        <v>82</v>
      </c>
      <c r="S119" s="14"/>
      <c r="T119" s="63"/>
    </row>
    <row r="120" spans="1:20" ht="12" customHeight="1" x14ac:dyDescent="0.3">
      <c r="A120" s="21">
        <v>19</v>
      </c>
      <c r="B120" s="19"/>
      <c r="C120" s="82" t="str">
        <f>DATA!F28</f>
        <v>Laeni Shohibatul Maghfiroh</v>
      </c>
      <c r="D120" s="382">
        <v>45</v>
      </c>
      <c r="E120" s="43"/>
      <c r="F120" s="43"/>
      <c r="G120" s="43"/>
      <c r="H120" s="44"/>
      <c r="I120" s="122">
        <f t="shared" si="23"/>
        <v>45</v>
      </c>
      <c r="J120" s="123">
        <f t="shared" si="24"/>
        <v>45</v>
      </c>
      <c r="K120" s="21" t="str">
        <f t="shared" si="18"/>
        <v>tdk tuntas</v>
      </c>
      <c r="L120" s="210" t="str">
        <f t="shared" si="19"/>
        <v>81</v>
      </c>
      <c r="M120" s="14"/>
      <c r="N120" s="24"/>
      <c r="O120" s="15"/>
      <c r="Q120" s="68" t="str">
        <f t="shared" si="22"/>
        <v>Laeni Shohibatul Maghfiroh</v>
      </c>
      <c r="R120" s="21" t="str">
        <f t="shared" si="25"/>
        <v>82</v>
      </c>
      <c r="S120" s="14"/>
      <c r="T120" s="63"/>
    </row>
    <row r="121" spans="1:20" ht="12" customHeight="1" x14ac:dyDescent="0.3">
      <c r="A121" s="21">
        <v>20</v>
      </c>
      <c r="B121" s="19"/>
      <c r="C121" s="82" t="str">
        <f>DATA!F29</f>
        <v>Maelani Mulya Sari</v>
      </c>
      <c r="D121" s="382">
        <v>40</v>
      </c>
      <c r="E121" s="43"/>
      <c r="F121" s="43"/>
      <c r="G121" s="43"/>
      <c r="H121" s="44"/>
      <c r="I121" s="122">
        <f t="shared" si="23"/>
        <v>40</v>
      </c>
      <c r="J121" s="123">
        <f t="shared" si="24"/>
        <v>40</v>
      </c>
      <c r="K121" s="21" t="str">
        <f t="shared" si="18"/>
        <v>tdk tuntas</v>
      </c>
      <c r="L121" s="210" t="str">
        <f t="shared" si="19"/>
        <v>81</v>
      </c>
      <c r="M121" s="14" t="s">
        <v>53</v>
      </c>
      <c r="N121" s="78">
        <f>I138</f>
        <v>1385</v>
      </c>
      <c r="O121" s="15"/>
      <c r="Q121" s="68" t="str">
        <f t="shared" si="22"/>
        <v>Maelani Mulya Sari</v>
      </c>
      <c r="R121" s="21" t="str">
        <f t="shared" si="25"/>
        <v>82</v>
      </c>
      <c r="S121" s="14"/>
      <c r="T121" s="63"/>
    </row>
    <row r="122" spans="1:20" ht="12" customHeight="1" x14ac:dyDescent="0.3">
      <c r="A122" s="21">
        <v>21</v>
      </c>
      <c r="B122" s="19"/>
      <c r="C122" s="82" t="str">
        <f>DATA!F30</f>
        <v>Mafasa Agung Dwi Putranti</v>
      </c>
      <c r="D122" s="382">
        <v>20</v>
      </c>
      <c r="E122" s="43"/>
      <c r="F122" s="43"/>
      <c r="G122" s="43"/>
      <c r="H122" s="44"/>
      <c r="I122" s="122">
        <f t="shared" si="23"/>
        <v>20</v>
      </c>
      <c r="J122" s="123">
        <f t="shared" si="24"/>
        <v>20</v>
      </c>
      <c r="K122" s="21" t="str">
        <f t="shared" si="18"/>
        <v>tdk tuntas</v>
      </c>
      <c r="L122" s="210" t="str">
        <f t="shared" si="19"/>
        <v>80</v>
      </c>
      <c r="M122" s="14" t="s">
        <v>54</v>
      </c>
      <c r="N122" s="78">
        <f>I139</f>
        <v>3200</v>
      </c>
      <c r="O122" s="15"/>
      <c r="Q122" s="68" t="str">
        <f t="shared" si="22"/>
        <v>Mafasa Agung Dwi Putranti</v>
      </c>
      <c r="R122" s="21" t="str">
        <f t="shared" si="25"/>
        <v>82</v>
      </c>
      <c r="S122" s="14"/>
      <c r="T122" s="63" t="str">
        <f>T75</f>
        <v>KASMIN, S.Pd</v>
      </c>
    </row>
    <row r="123" spans="1:20" ht="12" customHeight="1" x14ac:dyDescent="0.3">
      <c r="A123" s="21">
        <v>22</v>
      </c>
      <c r="B123" s="19"/>
      <c r="C123" s="82" t="str">
        <f>DATA!F31</f>
        <v>Marwa Dwi Hafsari</v>
      </c>
      <c r="D123" s="382">
        <v>45</v>
      </c>
      <c r="E123" s="43"/>
      <c r="F123" s="43"/>
      <c r="G123" s="43"/>
      <c r="H123" s="44"/>
      <c r="I123" s="122">
        <f t="shared" si="23"/>
        <v>45</v>
      </c>
      <c r="J123" s="123">
        <f t="shared" si="24"/>
        <v>45</v>
      </c>
      <c r="K123" s="21" t="str">
        <f t="shared" si="18"/>
        <v>tdk tuntas</v>
      </c>
      <c r="L123" s="210" t="str">
        <f t="shared" si="19"/>
        <v>81</v>
      </c>
      <c r="M123" s="14" t="s">
        <v>13</v>
      </c>
      <c r="N123" s="84">
        <f>N121/N122*100</f>
        <v>43.28125</v>
      </c>
      <c r="O123" s="79" t="s">
        <v>4</v>
      </c>
      <c r="Q123" s="68" t="str">
        <f t="shared" si="22"/>
        <v>Marwa Dwi Hafsari</v>
      </c>
      <c r="R123" s="21" t="str">
        <f t="shared" si="25"/>
        <v>82</v>
      </c>
      <c r="S123" s="14"/>
      <c r="T123" s="83" t="str">
        <f>T76</f>
        <v>NIP : 196609141990031007</v>
      </c>
    </row>
    <row r="124" spans="1:20" ht="12" customHeight="1" x14ac:dyDescent="0.3">
      <c r="A124" s="21">
        <v>23</v>
      </c>
      <c r="B124" s="19"/>
      <c r="C124" s="82" t="str">
        <f>DATA!F32</f>
        <v>Natasya Berly Intania</v>
      </c>
      <c r="D124" s="382">
        <v>35</v>
      </c>
      <c r="E124" s="43"/>
      <c r="F124" s="43"/>
      <c r="G124" s="43"/>
      <c r="H124" s="44"/>
      <c r="I124" s="122">
        <f t="shared" si="23"/>
        <v>35</v>
      </c>
      <c r="J124" s="123">
        <f t="shared" si="24"/>
        <v>35</v>
      </c>
      <c r="K124" s="21" t="str">
        <f t="shared" si="18"/>
        <v>tdk tuntas</v>
      </c>
      <c r="L124" s="210" t="str">
        <f t="shared" si="19"/>
        <v>80</v>
      </c>
      <c r="M124" s="14"/>
      <c r="N124" s="24"/>
      <c r="O124" s="15"/>
      <c r="Q124" s="68" t="str">
        <f t="shared" si="22"/>
        <v>Natasya Berly Intania</v>
      </c>
      <c r="R124" s="21" t="str">
        <f t="shared" si="25"/>
        <v>82</v>
      </c>
      <c r="S124" s="14"/>
      <c r="T124" s="15"/>
    </row>
    <row r="125" spans="1:20" ht="12" customHeight="1" x14ac:dyDescent="0.3">
      <c r="A125" s="21">
        <v>24</v>
      </c>
      <c r="B125" s="19"/>
      <c r="C125" s="82" t="str">
        <f>DATA!F33</f>
        <v>Natasya Gisella Anindya Putri</v>
      </c>
      <c r="D125" s="382">
        <v>50</v>
      </c>
      <c r="E125" s="43"/>
      <c r="F125" s="43"/>
      <c r="G125" s="43"/>
      <c r="H125" s="44"/>
      <c r="I125" s="122">
        <f t="shared" si="23"/>
        <v>50</v>
      </c>
      <c r="J125" s="123">
        <f t="shared" si="24"/>
        <v>50</v>
      </c>
      <c r="K125" s="21" t="str">
        <f t="shared" si="18"/>
        <v>tdk tuntas</v>
      </c>
      <c r="L125" s="210" t="str">
        <f t="shared" si="19"/>
        <v>81</v>
      </c>
      <c r="M125" s="14"/>
      <c r="N125" s="24"/>
      <c r="O125" s="15"/>
      <c r="Q125" s="68" t="str">
        <f t="shared" si="22"/>
        <v>Natasya Gisella Anindya Putri</v>
      </c>
      <c r="R125" s="21" t="str">
        <f>IF(I125&lt;$N$10,"85","")</f>
        <v>85</v>
      </c>
      <c r="S125" s="14"/>
      <c r="T125" s="63" t="s">
        <v>42</v>
      </c>
    </row>
    <row r="126" spans="1:20" ht="12" customHeight="1" x14ac:dyDescent="0.3">
      <c r="A126" s="21">
        <v>25</v>
      </c>
      <c r="B126" s="19"/>
      <c r="C126" s="82" t="str">
        <f>DATA!F34</f>
        <v>Prasetyo Nevan Al Fath</v>
      </c>
      <c r="D126" s="382">
        <v>45</v>
      </c>
      <c r="E126" s="43"/>
      <c r="F126" s="43"/>
      <c r="G126" s="43"/>
      <c r="H126" s="44"/>
      <c r="I126" s="122">
        <f t="shared" si="23"/>
        <v>45</v>
      </c>
      <c r="J126" s="123">
        <f t="shared" si="24"/>
        <v>45</v>
      </c>
      <c r="K126" s="21" t="str">
        <f t="shared" si="18"/>
        <v>tdk tuntas</v>
      </c>
      <c r="L126" s="210" t="str">
        <f t="shared" si="19"/>
        <v>81</v>
      </c>
      <c r="M126" s="14" t="s">
        <v>14</v>
      </c>
      <c r="N126" s="24"/>
      <c r="O126" s="15"/>
      <c r="Q126" s="68" t="str">
        <f t="shared" si="22"/>
        <v>Prasetyo Nevan Al Fath</v>
      </c>
      <c r="R126" s="21" t="str">
        <f>IF(I126&lt;$N$10,"81","")</f>
        <v>81</v>
      </c>
      <c r="S126" s="14"/>
      <c r="T126" s="63"/>
    </row>
    <row r="127" spans="1:20" ht="12" customHeight="1" x14ac:dyDescent="0.3">
      <c r="A127" s="21">
        <v>26</v>
      </c>
      <c r="B127" s="19"/>
      <c r="C127" s="82" t="str">
        <f>DATA!F35</f>
        <v>Putri Cikara Dewi</v>
      </c>
      <c r="D127" s="382">
        <v>30</v>
      </c>
      <c r="E127" s="43"/>
      <c r="F127" s="43"/>
      <c r="G127" s="43"/>
      <c r="H127" s="44"/>
      <c r="I127" s="122">
        <f>SUM(D127:H127)</f>
        <v>30</v>
      </c>
      <c r="J127" s="123">
        <f>I127</f>
        <v>30</v>
      </c>
      <c r="K127" s="21" t="str">
        <f t="shared" si="18"/>
        <v>tdk tuntas</v>
      </c>
      <c r="L127" s="210" t="str">
        <f t="shared" si="19"/>
        <v>80</v>
      </c>
      <c r="M127" s="14" t="s">
        <v>15</v>
      </c>
      <c r="N127" s="24"/>
      <c r="O127" s="15"/>
      <c r="Q127" s="68" t="str">
        <f t="shared" si="22"/>
        <v>Putri Cikara Dewi</v>
      </c>
      <c r="R127" s="21" t="str">
        <f>IF(I127&lt;$N$10,"82","")</f>
        <v>82</v>
      </c>
      <c r="S127" s="14"/>
      <c r="T127" s="63"/>
    </row>
    <row r="128" spans="1:20" ht="12" customHeight="1" x14ac:dyDescent="0.3">
      <c r="A128" s="21">
        <v>27</v>
      </c>
      <c r="B128" s="19"/>
      <c r="C128" s="82" t="str">
        <f>DATA!F36</f>
        <v>Radenta Ardina Putra</v>
      </c>
      <c r="D128" s="382">
        <v>60</v>
      </c>
      <c r="E128" s="43"/>
      <c r="F128" s="43"/>
      <c r="G128" s="43"/>
      <c r="H128" s="44"/>
      <c r="I128" s="122">
        <f t="shared" si="23"/>
        <v>60</v>
      </c>
      <c r="J128" s="123">
        <f t="shared" si="24"/>
        <v>60</v>
      </c>
      <c r="K128" s="21" t="str">
        <f t="shared" si="18"/>
        <v>tdk tuntas</v>
      </c>
      <c r="L128" s="210" t="str">
        <f t="shared" si="19"/>
        <v>82</v>
      </c>
      <c r="M128" s="155" t="s">
        <v>80</v>
      </c>
      <c r="N128" s="24"/>
      <c r="O128" s="15"/>
      <c r="Q128" s="68" t="str">
        <f t="shared" si="22"/>
        <v>Radenta Ardina Putra</v>
      </c>
      <c r="R128" s="21" t="str">
        <f>IF(I128&lt;$N$10,"82","")</f>
        <v>82</v>
      </c>
      <c r="S128" s="14"/>
      <c r="T128" s="63"/>
    </row>
    <row r="129" spans="1:20" ht="12" customHeight="1" x14ac:dyDescent="0.3">
      <c r="A129" s="21">
        <v>28</v>
      </c>
      <c r="B129" s="19"/>
      <c r="C129" s="82" t="str">
        <f>DATA!F37</f>
        <v>Raditya Eka Yudhistira</v>
      </c>
      <c r="D129" s="382">
        <v>45</v>
      </c>
      <c r="E129" s="43"/>
      <c r="F129" s="43"/>
      <c r="G129" s="43"/>
      <c r="H129" s="44"/>
      <c r="I129" s="122">
        <f t="shared" si="23"/>
        <v>45</v>
      </c>
      <c r="J129" s="123">
        <f t="shared" si="24"/>
        <v>45</v>
      </c>
      <c r="K129" s="21" t="str">
        <f t="shared" si="18"/>
        <v>tdk tuntas</v>
      </c>
      <c r="L129" s="210" t="str">
        <f t="shared" si="19"/>
        <v>81</v>
      </c>
      <c r="M129" s="14"/>
      <c r="N129" s="24"/>
      <c r="O129" s="15"/>
      <c r="Q129" s="68" t="str">
        <f t="shared" si="22"/>
        <v>Raditya Eka Yudhistira</v>
      </c>
      <c r="R129" s="21" t="str">
        <f>IF(I129&lt;$N$10,"81","")</f>
        <v>81</v>
      </c>
      <c r="S129" s="14"/>
      <c r="T129" s="63"/>
    </row>
    <row r="130" spans="1:20" ht="12" customHeight="1" x14ac:dyDescent="0.3">
      <c r="A130" s="21">
        <v>29</v>
      </c>
      <c r="B130" s="19"/>
      <c r="C130" s="82" t="str">
        <f>DATA!F38</f>
        <v>Rere Etrischa Zenobia</v>
      </c>
      <c r="D130" s="382">
        <v>30</v>
      </c>
      <c r="E130" s="43"/>
      <c r="F130" s="43"/>
      <c r="G130" s="43"/>
      <c r="H130" s="44"/>
      <c r="I130" s="122">
        <f t="shared" si="23"/>
        <v>30</v>
      </c>
      <c r="J130" s="123">
        <f t="shared" si="24"/>
        <v>30</v>
      </c>
      <c r="K130" s="21" t="str">
        <f t="shared" si="18"/>
        <v>tdk tuntas</v>
      </c>
      <c r="L130" s="210" t="str">
        <f t="shared" si="19"/>
        <v>80</v>
      </c>
      <c r="M130" s="14"/>
      <c r="N130" s="24"/>
      <c r="O130" s="15"/>
      <c r="Q130" s="68" t="str">
        <f t="shared" si="22"/>
        <v>Rere Etrischa Zenobia</v>
      </c>
      <c r="R130" s="21" t="str">
        <f>IF(I130&lt;$N$10,"85","")</f>
        <v>85</v>
      </c>
      <c r="S130" s="14"/>
      <c r="T130" s="63"/>
    </row>
    <row r="131" spans="1:20" ht="12" customHeight="1" x14ac:dyDescent="0.3">
      <c r="A131" s="21">
        <v>30</v>
      </c>
      <c r="B131" s="19"/>
      <c r="C131" s="82" t="str">
        <f>DATA!F39</f>
        <v>Roxy Lantip Afpriba</v>
      </c>
      <c r="D131" s="382">
        <v>25</v>
      </c>
      <c r="E131" s="43"/>
      <c r="F131" s="43"/>
      <c r="G131" s="43"/>
      <c r="H131" s="44"/>
      <c r="I131" s="122">
        <f t="shared" si="23"/>
        <v>25</v>
      </c>
      <c r="J131" s="123">
        <f t="shared" si="24"/>
        <v>25</v>
      </c>
      <c r="K131" s="21" t="str">
        <f t="shared" si="18"/>
        <v>tdk tuntas</v>
      </c>
      <c r="L131" s="210" t="str">
        <f t="shared" si="19"/>
        <v>80</v>
      </c>
      <c r="M131" s="14"/>
      <c r="N131" s="24"/>
      <c r="O131" s="15"/>
      <c r="Q131" s="68" t="str">
        <f t="shared" si="22"/>
        <v>Roxy Lantip Afpriba</v>
      </c>
      <c r="R131" s="21" t="str">
        <f>IF(I131&lt;$N$10,"84","")</f>
        <v>84</v>
      </c>
      <c r="S131" s="14"/>
      <c r="T131" s="63" t="str">
        <f>T84</f>
        <v>Dra. BAROKAH GUNIARTI</v>
      </c>
    </row>
    <row r="132" spans="1:20" ht="12" customHeight="1" x14ac:dyDescent="0.3">
      <c r="A132" s="21">
        <v>31</v>
      </c>
      <c r="B132" s="19"/>
      <c r="C132" s="82" t="str">
        <f>DATA!F40</f>
        <v>Syifa Maulida Zahra</v>
      </c>
      <c r="D132" s="382">
        <v>35</v>
      </c>
      <c r="E132" s="43"/>
      <c r="F132" s="43"/>
      <c r="G132" s="43"/>
      <c r="H132" s="44"/>
      <c r="I132" s="122">
        <f>SUM(D132:H132)</f>
        <v>35</v>
      </c>
      <c r="J132" s="123">
        <f>I132</f>
        <v>35</v>
      </c>
      <c r="K132" s="21" t="str">
        <f>IF(J132&lt;$N$10,"tdk tuntas","tuntas")</f>
        <v>tdk tuntas</v>
      </c>
      <c r="L132" s="210" t="str">
        <f t="shared" si="19"/>
        <v>80</v>
      </c>
      <c r="M132" s="14" t="s">
        <v>56</v>
      </c>
      <c r="N132" s="24"/>
      <c r="O132" s="15"/>
      <c r="Q132" s="68" t="str">
        <f>C132</f>
        <v>Syifa Maulida Zahra</v>
      </c>
      <c r="R132" s="21" t="str">
        <f>IF(I132&lt;$N$10,"84","")</f>
        <v>84</v>
      </c>
      <c r="S132" s="14"/>
      <c r="T132" s="103" t="str">
        <f>T85</f>
        <v>NIP : 196901081996122004</v>
      </c>
    </row>
    <row r="133" spans="1:20" ht="12" customHeight="1" x14ac:dyDescent="0.3">
      <c r="A133" s="21">
        <v>32</v>
      </c>
      <c r="B133" s="19"/>
      <c r="C133" s="82" t="str">
        <f>DATA!F41</f>
        <v>Virna Meisya Amelia</v>
      </c>
      <c r="D133" s="382">
        <v>25</v>
      </c>
      <c r="E133" s="43"/>
      <c r="F133" s="43"/>
      <c r="G133" s="43"/>
      <c r="H133" s="44"/>
      <c r="I133" s="122">
        <f>SUM(D133:H133)</f>
        <v>25</v>
      </c>
      <c r="J133" s="123">
        <f>I133</f>
        <v>25</v>
      </c>
      <c r="K133" s="21" t="str">
        <f>IF(J133&lt;$N$10,"tdk tuntas","tuntas")</f>
        <v>tdk tuntas</v>
      </c>
      <c r="L133" s="210" t="str">
        <f t="shared" si="19"/>
        <v>80</v>
      </c>
      <c r="M133" s="14"/>
      <c r="N133" s="24"/>
      <c r="O133" s="15"/>
      <c r="Q133" s="68" t="str">
        <f>C133</f>
        <v>Virna Meisya Amelia</v>
      </c>
      <c r="R133" s="21"/>
      <c r="S133" s="14"/>
      <c r="T133" s="15"/>
    </row>
    <row r="134" spans="1:20" ht="12" customHeight="1" x14ac:dyDescent="0.25">
      <c r="A134" s="21">
        <v>33</v>
      </c>
      <c r="B134" s="19"/>
      <c r="C134" s="82"/>
      <c r="D134" s="42" t="s">
        <v>63</v>
      </c>
      <c r="E134" s="43"/>
      <c r="F134" s="43"/>
      <c r="G134" s="43"/>
      <c r="H134" s="44"/>
      <c r="I134" s="122"/>
      <c r="J134" s="123"/>
      <c r="K134" s="21"/>
      <c r="L134" s="135"/>
      <c r="M134" s="14" t="s">
        <v>16</v>
      </c>
      <c r="N134" s="24"/>
      <c r="O134" s="15"/>
      <c r="Q134" s="68"/>
      <c r="R134" s="21"/>
      <c r="S134" s="14"/>
      <c r="T134" s="15"/>
    </row>
    <row r="135" spans="1:20" ht="12" customHeight="1" x14ac:dyDescent="0.25">
      <c r="A135" s="21">
        <v>34</v>
      </c>
      <c r="B135" s="19"/>
      <c r="C135" s="82"/>
      <c r="D135" s="42" t="s">
        <v>63</v>
      </c>
      <c r="E135" s="43"/>
      <c r="F135" s="43"/>
      <c r="G135" s="43"/>
      <c r="H135" s="44"/>
      <c r="I135" s="122"/>
      <c r="J135" s="123"/>
      <c r="K135" s="21"/>
      <c r="L135" s="135"/>
      <c r="M135" s="14" t="s">
        <v>59</v>
      </c>
      <c r="N135" s="24"/>
      <c r="O135" s="15"/>
      <c r="Q135" s="68"/>
      <c r="R135" s="21"/>
      <c r="S135" s="14"/>
      <c r="T135" s="15"/>
    </row>
    <row r="136" spans="1:20" ht="12" customHeight="1" x14ac:dyDescent="0.25">
      <c r="A136" s="21">
        <v>35</v>
      </c>
      <c r="B136" s="22"/>
      <c r="C136" s="162"/>
      <c r="D136" s="136" t="s">
        <v>63</v>
      </c>
      <c r="E136" s="137"/>
      <c r="F136" s="137"/>
      <c r="G136" s="137"/>
      <c r="H136" s="138"/>
      <c r="I136" s="122"/>
      <c r="J136" s="123"/>
      <c r="K136" s="21"/>
      <c r="L136" s="139"/>
      <c r="M136" s="14" t="s">
        <v>23</v>
      </c>
      <c r="N136" s="24"/>
      <c r="O136" s="15"/>
      <c r="Q136" s="68"/>
      <c r="R136" s="21"/>
      <c r="S136" s="16"/>
      <c r="T136" s="17"/>
    </row>
    <row r="137" spans="1:20" ht="12" customHeight="1" x14ac:dyDescent="0.25">
      <c r="A137" s="101" t="s">
        <v>64</v>
      </c>
      <c r="B137" s="96"/>
      <c r="C137" s="97"/>
      <c r="D137" s="93"/>
      <c r="E137" s="94"/>
      <c r="F137" s="94"/>
      <c r="G137" s="94"/>
      <c r="H137" s="95"/>
      <c r="I137" s="98">
        <f>AVERAGE(I102:I136)</f>
        <v>43.28125</v>
      </c>
      <c r="J137" s="74"/>
      <c r="K137" s="47"/>
      <c r="L137" s="65"/>
      <c r="M137" s="14"/>
      <c r="N137" s="24"/>
      <c r="O137" s="15"/>
      <c r="Q137" s="60"/>
      <c r="R137" s="471" t="str">
        <f>C98</f>
        <v>9C</v>
      </c>
      <c r="S137" s="471"/>
      <c r="T137" s="61"/>
    </row>
    <row r="138" spans="1:20" ht="12" customHeight="1" x14ac:dyDescent="0.25">
      <c r="A138" s="14" t="s">
        <v>17</v>
      </c>
      <c r="B138" s="24"/>
      <c r="C138" s="15"/>
      <c r="D138" s="42">
        <f>SUM(D102:D136)</f>
        <v>1385</v>
      </c>
      <c r="E138" s="43">
        <f>SUM(E102:E136)</f>
        <v>0</v>
      </c>
      <c r="F138" s="43">
        <f>SUM(F102:F136)</f>
        <v>0</v>
      </c>
      <c r="G138" s="43">
        <f>SUM(G102:G136)</f>
        <v>0</v>
      </c>
      <c r="H138" s="44">
        <f>SUM(H102:H136)</f>
        <v>0</v>
      </c>
      <c r="I138" s="80">
        <f>SUM(D138:H138)</f>
        <v>1385</v>
      </c>
      <c r="J138" s="85" t="s">
        <v>49</v>
      </c>
      <c r="K138" s="48">
        <f>COUNTIF(K102:K136,J138)</f>
        <v>1</v>
      </c>
      <c r="L138" s="64"/>
      <c r="M138" s="14"/>
      <c r="N138" s="24"/>
      <c r="O138" s="15"/>
      <c r="Q138" s="30"/>
      <c r="R138" s="472"/>
      <c r="S138" s="472"/>
      <c r="T138" s="31"/>
    </row>
    <row r="139" spans="1:20" ht="12" customHeight="1" x14ac:dyDescent="0.25">
      <c r="A139" s="14" t="s">
        <v>18</v>
      </c>
      <c r="B139" s="24"/>
      <c r="C139" s="15"/>
      <c r="D139" s="42">
        <f>D100*K140</f>
        <v>640</v>
      </c>
      <c r="E139" s="42">
        <f>E100*K140</f>
        <v>640</v>
      </c>
      <c r="F139" s="42">
        <f>F100*K140</f>
        <v>960</v>
      </c>
      <c r="G139" s="42">
        <f>G100*K140</f>
        <v>960</v>
      </c>
      <c r="H139" s="42">
        <f>H100*K140</f>
        <v>0</v>
      </c>
      <c r="I139" s="80">
        <f>SUM(D139:H139)</f>
        <v>3200</v>
      </c>
      <c r="J139" s="86" t="s">
        <v>50</v>
      </c>
      <c r="K139" s="48">
        <f>COUNTIF(K102:K136,J139)</f>
        <v>31</v>
      </c>
      <c r="L139" s="64"/>
      <c r="M139" s="14"/>
      <c r="N139" s="24"/>
      <c r="O139" s="15"/>
      <c r="Q139" s="30"/>
      <c r="R139" s="472"/>
      <c r="S139" s="472"/>
      <c r="T139" s="31"/>
    </row>
    <row r="140" spans="1:20" ht="12" customHeight="1" x14ac:dyDescent="0.25">
      <c r="A140" s="26" t="s">
        <v>19</v>
      </c>
      <c r="B140" s="27"/>
      <c r="C140" s="28"/>
      <c r="D140" s="136">
        <f t="shared" ref="D140:I140" si="26">D138/D139*100</f>
        <v>216.40625</v>
      </c>
      <c r="E140" s="136">
        <f t="shared" si="26"/>
        <v>0</v>
      </c>
      <c r="F140" s="136">
        <f t="shared" si="26"/>
        <v>0</v>
      </c>
      <c r="G140" s="136">
        <f t="shared" si="26"/>
        <v>0</v>
      </c>
      <c r="H140" s="136" t="e">
        <f t="shared" si="26"/>
        <v>#DIV/0!</v>
      </c>
      <c r="I140" s="50">
        <f t="shared" si="26"/>
        <v>43.28125</v>
      </c>
      <c r="J140" s="75" t="s">
        <v>57</v>
      </c>
      <c r="K140" s="49">
        <f>SUM(K138:K139)</f>
        <v>32</v>
      </c>
      <c r="L140" s="66"/>
      <c r="M140" s="16"/>
      <c r="N140" s="25"/>
      <c r="O140" s="17"/>
      <c r="Q140" s="8"/>
      <c r="R140" s="473"/>
      <c r="S140" s="473"/>
      <c r="T140" s="9"/>
    </row>
    <row r="141" spans="1:20" ht="12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20" ht="12" customHeight="1" x14ac:dyDescent="0.25">
      <c r="A142" s="456" t="str">
        <f>'UH1'!A142</f>
        <v>ANALISA HASIL PH MATEMATIKA KLS IX  SMT GENAP</v>
      </c>
      <c r="B142" s="457"/>
      <c r="C142" s="457"/>
      <c r="D142" s="457"/>
      <c r="E142" s="457"/>
      <c r="F142" s="457"/>
      <c r="G142" s="457"/>
      <c r="H142" s="457"/>
      <c r="I142" s="457"/>
      <c r="J142" s="457"/>
      <c r="K142" s="457"/>
      <c r="L142" s="457"/>
      <c r="M142" s="457"/>
      <c r="N142" s="457"/>
      <c r="O142" s="458"/>
      <c r="Q142" s="456" t="s">
        <v>40</v>
      </c>
      <c r="R142" s="457"/>
      <c r="S142" s="457"/>
      <c r="T142" s="458"/>
    </row>
    <row r="143" spans="1:20" ht="12" customHeight="1" x14ac:dyDescent="0.25">
      <c r="A143" s="453" t="str">
        <f>A96</f>
        <v>SMP I LIMBANGAN  TH 2025/2026</v>
      </c>
      <c r="B143" s="454"/>
      <c r="C143" s="454"/>
      <c r="D143" s="454"/>
      <c r="E143" s="454"/>
      <c r="F143" s="454"/>
      <c r="G143" s="454"/>
      <c r="H143" s="454"/>
      <c r="I143" s="454"/>
      <c r="J143" s="454"/>
      <c r="K143" s="454"/>
      <c r="L143" s="454"/>
      <c r="M143" s="454"/>
      <c r="N143" s="454"/>
      <c r="O143" s="455"/>
      <c r="Q143" s="453" t="s">
        <v>61</v>
      </c>
      <c r="R143" s="454"/>
      <c r="S143" s="454"/>
      <c r="T143" s="455"/>
    </row>
    <row r="144" spans="1:20" ht="12" customHeight="1" x14ac:dyDescent="0.25"/>
    <row r="145" spans="1:20" ht="12" customHeight="1" x14ac:dyDescent="0.25">
      <c r="A145" s="99" t="s">
        <v>66</v>
      </c>
      <c r="C145" s="102" t="str">
        <f>DATA!H8</f>
        <v>9D</v>
      </c>
      <c r="D145" t="s">
        <v>297</v>
      </c>
      <c r="F145" s="87">
        <f>F4</f>
        <v>2</v>
      </c>
      <c r="I145" t="s">
        <v>20</v>
      </c>
      <c r="K145" s="72">
        <v>45937</v>
      </c>
      <c r="M145" s="1" t="s">
        <v>60</v>
      </c>
      <c r="N145" s="87">
        <f>N4</f>
        <v>2</v>
      </c>
      <c r="Q145" t="s">
        <v>28</v>
      </c>
      <c r="R145" s="470">
        <f>K145+7</f>
        <v>45944</v>
      </c>
      <c r="S145" s="470"/>
    </row>
    <row r="146" spans="1:20" ht="12" customHeight="1" x14ac:dyDescent="0.25">
      <c r="A146" s="2"/>
      <c r="B146" s="2"/>
      <c r="C146" s="3" t="s">
        <v>7</v>
      </c>
      <c r="D146" s="32">
        <v>1</v>
      </c>
      <c r="E146" s="33">
        <v>2</v>
      </c>
      <c r="F146" s="33">
        <v>3</v>
      </c>
      <c r="G146" s="33">
        <v>4</v>
      </c>
      <c r="H146" s="34">
        <v>5</v>
      </c>
      <c r="I146" s="35" t="s">
        <v>3</v>
      </c>
      <c r="J146" s="4" t="s">
        <v>4</v>
      </c>
      <c r="K146" s="53" t="s">
        <v>83</v>
      </c>
      <c r="L146" s="35" t="s">
        <v>43</v>
      </c>
      <c r="M146" s="459" t="s">
        <v>9</v>
      </c>
      <c r="N146" s="460"/>
      <c r="O146" s="461"/>
      <c r="Q146" s="2"/>
      <c r="R146" s="35" t="s">
        <v>24</v>
      </c>
      <c r="S146" s="60"/>
      <c r="T146" s="61"/>
    </row>
    <row r="147" spans="1:20" ht="12" customHeight="1" x14ac:dyDescent="0.25">
      <c r="A147" s="6" t="s">
        <v>0</v>
      </c>
      <c r="B147" s="6" t="s">
        <v>1</v>
      </c>
      <c r="C147" s="5" t="s">
        <v>8</v>
      </c>
      <c r="D147" s="55">
        <f>D100</f>
        <v>20</v>
      </c>
      <c r="E147" s="55">
        <f>E100</f>
        <v>20</v>
      </c>
      <c r="F147" s="55">
        <f>F100</f>
        <v>30</v>
      </c>
      <c r="G147" s="55">
        <f>G100</f>
        <v>30</v>
      </c>
      <c r="H147" s="55">
        <f>H100</f>
        <v>0</v>
      </c>
      <c r="I147" s="21">
        <f>SUM(D147:H147)</f>
        <v>100</v>
      </c>
      <c r="J147" s="6" t="s">
        <v>5</v>
      </c>
      <c r="K147" s="52" t="s">
        <v>22</v>
      </c>
      <c r="L147" s="11" t="s">
        <v>44</v>
      </c>
      <c r="M147" s="462"/>
      <c r="N147" s="463"/>
      <c r="O147" s="464"/>
      <c r="Q147" s="6" t="s">
        <v>2</v>
      </c>
      <c r="R147" s="11" t="s">
        <v>25</v>
      </c>
      <c r="S147" s="468" t="s">
        <v>27</v>
      </c>
      <c r="T147" s="469"/>
    </row>
    <row r="148" spans="1:20" ht="12" customHeight="1" x14ac:dyDescent="0.25">
      <c r="A148" s="6"/>
      <c r="B148" s="6"/>
      <c r="C148" s="51" t="s">
        <v>2</v>
      </c>
      <c r="D148" s="36"/>
      <c r="E148" s="37"/>
      <c r="F148" s="37"/>
      <c r="G148" s="37"/>
      <c r="H148" s="38"/>
      <c r="I148" s="11"/>
      <c r="J148" s="6" t="s">
        <v>6</v>
      </c>
      <c r="K148" s="54"/>
      <c r="L148" s="59" t="s">
        <v>45</v>
      </c>
      <c r="M148" s="465"/>
      <c r="N148" s="466"/>
      <c r="O148" s="467"/>
      <c r="Q148" s="7"/>
      <c r="R148" s="59" t="s">
        <v>26</v>
      </c>
      <c r="S148" s="8"/>
      <c r="T148" s="9"/>
    </row>
    <row r="149" spans="1:20" ht="12" customHeight="1" x14ac:dyDescent="0.3">
      <c r="A149" s="20">
        <v>1</v>
      </c>
      <c r="B149" s="18"/>
      <c r="C149" s="81" t="str">
        <f>DATA!H10</f>
        <v>Aditya Wahyu Putra Septiadi</v>
      </c>
      <c r="D149" s="381">
        <v>30</v>
      </c>
      <c r="E149" s="40"/>
      <c r="F149" s="40"/>
      <c r="G149" s="40"/>
      <c r="H149" s="41"/>
      <c r="I149" s="120">
        <f>SUM(D149:H149)</f>
        <v>30</v>
      </c>
      <c r="J149" s="121">
        <f>I149</f>
        <v>30</v>
      </c>
      <c r="K149" s="21" t="str">
        <f>IF(J149&lt;$N$10,"tdk tuntas","tuntas")</f>
        <v>tdk tuntas</v>
      </c>
      <c r="L149" s="209" t="str">
        <f>IF(J149&lt;=39.9,"80",IF(J149&lt;=59.9,"81",IF(J149&lt;=69.9,"82",IF(J149&lt;=74.9,"83",IF(J149&lt;=78.9,"84",IF(J149&lt;=78.9,"85",IF(J149&gt;=78.9,J149," ")))))))</f>
        <v>80</v>
      </c>
      <c r="M149" s="12"/>
      <c r="N149" s="23"/>
      <c r="O149" s="13"/>
      <c r="Q149" s="67" t="str">
        <f>C149</f>
        <v>Aditya Wahyu Putra Septiadi</v>
      </c>
      <c r="R149" s="21" t="str">
        <f>IF(I149&lt;$N$10,"80","")</f>
        <v>80</v>
      </c>
      <c r="S149" s="12"/>
      <c r="T149" s="13"/>
    </row>
    <row r="150" spans="1:20" ht="12" customHeight="1" x14ac:dyDescent="0.3">
      <c r="A150" s="21">
        <v>2</v>
      </c>
      <c r="B150" s="19"/>
      <c r="C150" s="82" t="str">
        <f>DATA!H11</f>
        <v>Al Fuzu Daya Satria</v>
      </c>
      <c r="D150" s="382">
        <v>30</v>
      </c>
      <c r="E150" s="43"/>
      <c r="F150" s="43"/>
      <c r="G150" s="43"/>
      <c r="H150" s="44"/>
      <c r="I150" s="122">
        <f t="shared" ref="I150:I178" si="27">SUM(D150:H150)</f>
        <v>30</v>
      </c>
      <c r="J150" s="123">
        <f t="shared" ref="J150:J178" si="28">I150</f>
        <v>30</v>
      </c>
      <c r="K150" s="21" t="str">
        <f t="shared" ref="K150:K178" si="29">IF(J150&lt;$N$10,"tdk tuntas","tuntas")</f>
        <v>tdk tuntas</v>
      </c>
      <c r="L150" s="210" t="str">
        <f t="shared" ref="L150:L179" si="30">IF(J150&lt;=39.9,"80",IF(J150&lt;=59.9,"81",IF(J150&lt;=69.9,"82",IF(J150&lt;=74.9,"83",IF(J150&lt;=78.9,"84",IF(J150&lt;=78.9,"85",IF(J150&gt;=78.9,J150," ")))))))</f>
        <v>80</v>
      </c>
      <c r="M150" s="14"/>
      <c r="N150" s="24"/>
      <c r="O150" s="15"/>
      <c r="Q150" s="68" t="str">
        <f t="shared" ref="Q150:Q178" si="31">C150</f>
        <v>Al Fuzu Daya Satria</v>
      </c>
      <c r="R150" s="21" t="str">
        <f>IF(I150&lt;$N$10,"81","")</f>
        <v>81</v>
      </c>
      <c r="S150" s="14" t="s">
        <v>29</v>
      </c>
      <c r="T150" s="15"/>
    </row>
    <row r="151" spans="1:20" ht="12" customHeight="1" thickBot="1" x14ac:dyDescent="0.35">
      <c r="A151" s="21">
        <v>3</v>
      </c>
      <c r="B151" s="19"/>
      <c r="C151" s="82" t="str">
        <f>DATA!H12</f>
        <v>Amanda Kirana Maharani</v>
      </c>
      <c r="D151" s="382">
        <v>40</v>
      </c>
      <c r="E151" s="43"/>
      <c r="F151" s="43"/>
      <c r="G151" s="43"/>
      <c r="H151" s="44"/>
      <c r="I151" s="122">
        <f t="shared" si="27"/>
        <v>40</v>
      </c>
      <c r="J151" s="123">
        <f t="shared" si="28"/>
        <v>40</v>
      </c>
      <c r="K151" s="21" t="str">
        <f t="shared" si="29"/>
        <v>tdk tuntas</v>
      </c>
      <c r="L151" s="210" t="str">
        <f t="shared" si="30"/>
        <v>81</v>
      </c>
      <c r="M151" s="70" t="s">
        <v>62</v>
      </c>
      <c r="N151" s="76">
        <f>N10</f>
        <v>80</v>
      </c>
      <c r="O151" s="15"/>
      <c r="Q151" s="68" t="str">
        <f t="shared" si="31"/>
        <v>Amanda Kirana Maharani</v>
      </c>
      <c r="R151" s="21" t="str">
        <f>IF(I151&lt;$N$10,"81","")</f>
        <v>81</v>
      </c>
      <c r="S151" s="26"/>
      <c r="T151" s="15"/>
    </row>
    <row r="152" spans="1:20" ht="12" customHeight="1" thickTop="1" thickBot="1" x14ac:dyDescent="0.35">
      <c r="A152" s="21">
        <v>4</v>
      </c>
      <c r="B152" s="19"/>
      <c r="C152" s="82" t="str">
        <f>DATA!H13</f>
        <v>Andra Prima Reza</v>
      </c>
      <c r="D152" s="382">
        <v>35</v>
      </c>
      <c r="E152" s="43"/>
      <c r="F152" s="43"/>
      <c r="G152" s="43"/>
      <c r="H152" s="44"/>
      <c r="I152" s="122">
        <f t="shared" si="27"/>
        <v>35</v>
      </c>
      <c r="J152" s="123">
        <f t="shared" si="28"/>
        <v>35</v>
      </c>
      <c r="K152" s="21" t="str">
        <f t="shared" si="29"/>
        <v>tdk tuntas</v>
      </c>
      <c r="L152" s="210" t="str">
        <f t="shared" si="30"/>
        <v>80</v>
      </c>
      <c r="M152" s="14"/>
      <c r="N152" s="24"/>
      <c r="O152" s="15"/>
      <c r="Q152" s="68" t="str">
        <f t="shared" si="31"/>
        <v>Andra Prima Reza</v>
      </c>
      <c r="R152" s="21" t="str">
        <f>IF(I152&lt;$N$10,"84","")</f>
        <v>84</v>
      </c>
      <c r="S152" s="62"/>
      <c r="T152" s="15" t="s">
        <v>35</v>
      </c>
    </row>
    <row r="153" spans="1:20" ht="12" customHeight="1" thickTop="1" thickBot="1" x14ac:dyDescent="0.35">
      <c r="A153" s="21">
        <v>5</v>
      </c>
      <c r="B153" s="19"/>
      <c r="C153" s="82" t="str">
        <f>DATA!H14</f>
        <v>Ayu Safitri Intan Zahwa</v>
      </c>
      <c r="D153" s="382">
        <v>40</v>
      </c>
      <c r="E153" s="43"/>
      <c r="F153" s="43"/>
      <c r="G153" s="43"/>
      <c r="H153" s="44"/>
      <c r="I153" s="122">
        <f t="shared" si="27"/>
        <v>40</v>
      </c>
      <c r="J153" s="123">
        <f t="shared" si="28"/>
        <v>40</v>
      </c>
      <c r="K153" s="21" t="str">
        <f t="shared" si="29"/>
        <v>tdk tuntas</v>
      </c>
      <c r="L153" s="210" t="str">
        <f t="shared" si="30"/>
        <v>81</v>
      </c>
      <c r="M153" s="14"/>
      <c r="N153" s="24"/>
      <c r="O153" s="15"/>
      <c r="Q153" s="68" t="str">
        <f t="shared" si="31"/>
        <v>Ayu Safitri Intan Zahwa</v>
      </c>
      <c r="R153" s="21" t="str">
        <f>IF(I153&lt;$N$10,"87","")</f>
        <v>87</v>
      </c>
      <c r="S153" s="158" t="s">
        <v>81</v>
      </c>
      <c r="T153" s="15" t="s">
        <v>38</v>
      </c>
    </row>
    <row r="154" spans="1:20" ht="12" customHeight="1" thickTop="1" thickBot="1" x14ac:dyDescent="0.35">
      <c r="A154" s="21">
        <v>6</v>
      </c>
      <c r="B154" s="19"/>
      <c r="C154" s="82" t="str">
        <f>DATA!H15</f>
        <v>Azzahra Quinnsha Setyana</v>
      </c>
      <c r="D154" s="382">
        <v>25</v>
      </c>
      <c r="E154" s="43"/>
      <c r="F154" s="43"/>
      <c r="G154" s="43"/>
      <c r="H154" s="44"/>
      <c r="I154" s="122">
        <f t="shared" si="27"/>
        <v>25</v>
      </c>
      <c r="J154" s="123">
        <f t="shared" si="28"/>
        <v>25</v>
      </c>
      <c r="K154" s="21" t="str">
        <f t="shared" si="29"/>
        <v>tdk tuntas</v>
      </c>
      <c r="L154" s="210" t="str">
        <f t="shared" si="30"/>
        <v>80</v>
      </c>
      <c r="M154" s="14" t="s">
        <v>10</v>
      </c>
      <c r="N154" s="24"/>
      <c r="O154" s="15"/>
      <c r="Q154" s="68" t="str">
        <f t="shared" si="31"/>
        <v>Azzahra Quinnsha Setyana</v>
      </c>
      <c r="R154" s="21" t="str">
        <f>IF(I154&lt;$N$10,"82","")</f>
        <v>82</v>
      </c>
      <c r="S154" s="155"/>
      <c r="T154" s="15" t="s">
        <v>39</v>
      </c>
    </row>
    <row r="155" spans="1:20" ht="12" customHeight="1" thickTop="1" thickBot="1" x14ac:dyDescent="0.35">
      <c r="A155" s="21">
        <v>7</v>
      </c>
      <c r="B155" s="189"/>
      <c r="C155" s="193" t="str">
        <f>DATA!H16</f>
        <v>Bryan Marcanda</v>
      </c>
      <c r="D155" s="382">
        <v>45</v>
      </c>
      <c r="E155" s="43"/>
      <c r="F155" s="43"/>
      <c r="G155" s="43"/>
      <c r="H155" s="44"/>
      <c r="I155" s="190">
        <f t="shared" si="27"/>
        <v>45</v>
      </c>
      <c r="J155" s="191">
        <f t="shared" si="28"/>
        <v>45</v>
      </c>
      <c r="K155" s="192" t="str">
        <f t="shared" si="29"/>
        <v>tdk tuntas</v>
      </c>
      <c r="L155" s="210" t="str">
        <f t="shared" si="30"/>
        <v>81</v>
      </c>
      <c r="M155" s="14"/>
      <c r="N155" s="24"/>
      <c r="O155" s="15"/>
      <c r="Q155" s="374" t="str">
        <f t="shared" si="31"/>
        <v>Bryan Marcanda</v>
      </c>
      <c r="R155" s="21" t="str">
        <f>IF(I155&lt;$N$10,"80","")</f>
        <v>80</v>
      </c>
      <c r="S155" s="158"/>
      <c r="T155" s="119" t="s">
        <v>36</v>
      </c>
    </row>
    <row r="156" spans="1:20" ht="12" customHeight="1" thickTop="1" x14ac:dyDescent="0.3">
      <c r="A156" s="21">
        <v>8</v>
      </c>
      <c r="B156" s="19"/>
      <c r="C156" s="82" t="str">
        <f>DATA!H17</f>
        <v>Chelsea Felita Matiune</v>
      </c>
      <c r="D156" s="382">
        <v>40</v>
      </c>
      <c r="E156" s="43"/>
      <c r="F156" s="43"/>
      <c r="G156" s="43"/>
      <c r="H156" s="44"/>
      <c r="I156" s="122">
        <f t="shared" si="27"/>
        <v>40</v>
      </c>
      <c r="J156" s="123">
        <f t="shared" si="28"/>
        <v>40</v>
      </c>
      <c r="K156" s="21" t="str">
        <f t="shared" si="29"/>
        <v>tdk tuntas</v>
      </c>
      <c r="L156" s="210" t="str">
        <f t="shared" si="30"/>
        <v>81</v>
      </c>
      <c r="M156" s="77" t="s">
        <v>51</v>
      </c>
      <c r="N156" s="24"/>
      <c r="O156" s="15"/>
      <c r="Q156" s="68" t="str">
        <f t="shared" si="31"/>
        <v>Chelsea Felita Matiune</v>
      </c>
      <c r="R156" s="21" t="str">
        <f>IF(I156&lt;$N$10,"84","")</f>
        <v>84</v>
      </c>
      <c r="S156" s="155"/>
      <c r="T156" s="119" t="s">
        <v>37</v>
      </c>
    </row>
    <row r="157" spans="1:20" ht="12" customHeight="1" x14ac:dyDescent="0.3">
      <c r="A157" s="21">
        <v>9</v>
      </c>
      <c r="B157" s="19"/>
      <c r="C157" s="82" t="str">
        <f>DATA!H18</f>
        <v>Dharma Tegar Sathrya</v>
      </c>
      <c r="D157" s="382">
        <v>40</v>
      </c>
      <c r="E157" s="43"/>
      <c r="F157" s="43"/>
      <c r="G157" s="43"/>
      <c r="H157" s="44"/>
      <c r="I157" s="122">
        <f t="shared" si="27"/>
        <v>40</v>
      </c>
      <c r="J157" s="123">
        <f t="shared" si="28"/>
        <v>40</v>
      </c>
      <c r="K157" s="21" t="str">
        <f t="shared" si="29"/>
        <v>tdk tuntas</v>
      </c>
      <c r="L157" s="210" t="str">
        <f t="shared" si="30"/>
        <v>81</v>
      </c>
      <c r="N157" s="24"/>
      <c r="O157" s="15"/>
      <c r="Q157" s="68" t="str">
        <f t="shared" si="31"/>
        <v>Dharma Tegar Sathrya</v>
      </c>
      <c r="R157" s="21" t="str">
        <f>IF(I157&lt;$N$10,"88","")</f>
        <v>88</v>
      </c>
      <c r="S157" s="14"/>
      <c r="T157" s="15"/>
    </row>
    <row r="158" spans="1:20" ht="12" customHeight="1" x14ac:dyDescent="0.3">
      <c r="A158" s="21">
        <v>10</v>
      </c>
      <c r="B158" s="19"/>
      <c r="C158" s="82" t="str">
        <f>DATA!H19</f>
        <v>Eza Septian Dinata</v>
      </c>
      <c r="D158" s="382">
        <v>45</v>
      </c>
      <c r="E158" s="43"/>
      <c r="F158" s="43"/>
      <c r="G158" s="43"/>
      <c r="H158" s="44"/>
      <c r="I158" s="122">
        <f t="shared" si="27"/>
        <v>45</v>
      </c>
      <c r="J158" s="123">
        <f t="shared" si="28"/>
        <v>45</v>
      </c>
      <c r="K158" s="21" t="str">
        <f t="shared" si="29"/>
        <v>tdk tuntas</v>
      </c>
      <c r="L158" s="210" t="str">
        <f t="shared" si="30"/>
        <v>81</v>
      </c>
      <c r="M158" s="14"/>
      <c r="N158" s="24"/>
      <c r="O158" s="15"/>
      <c r="Q158" s="68" t="str">
        <f t="shared" si="31"/>
        <v>Eza Septian Dinata</v>
      </c>
      <c r="R158" s="21" t="str">
        <f t="shared" ref="R158:R163" si="32">IF(I158&lt;$N$10,"85","")</f>
        <v>85</v>
      </c>
      <c r="S158" s="14" t="s">
        <v>30</v>
      </c>
      <c r="T158" s="15"/>
    </row>
    <row r="159" spans="1:20" ht="12" customHeight="1" thickBot="1" x14ac:dyDescent="0.35">
      <c r="A159" s="21">
        <v>11</v>
      </c>
      <c r="B159" s="19"/>
      <c r="C159" s="82" t="str">
        <f>DATA!H20</f>
        <v>Hadi Khoirul Anwar</v>
      </c>
      <c r="D159" s="382">
        <v>40</v>
      </c>
      <c r="E159" s="43"/>
      <c r="F159" s="43"/>
      <c r="G159" s="43"/>
      <c r="H159" s="44"/>
      <c r="I159" s="122">
        <f t="shared" si="27"/>
        <v>40</v>
      </c>
      <c r="J159" s="123">
        <f t="shared" si="28"/>
        <v>40</v>
      </c>
      <c r="K159" s="21" t="str">
        <f t="shared" si="29"/>
        <v>tdk tuntas</v>
      </c>
      <c r="L159" s="210" t="str">
        <f t="shared" si="30"/>
        <v>81</v>
      </c>
      <c r="M159" s="14"/>
      <c r="N159" s="24"/>
      <c r="O159" s="15"/>
      <c r="Q159" s="68" t="str">
        <f t="shared" si="31"/>
        <v>Hadi Khoirul Anwar</v>
      </c>
      <c r="R159" s="21" t="str">
        <f t="shared" si="32"/>
        <v>85</v>
      </c>
      <c r="T159" s="15"/>
    </row>
    <row r="160" spans="1:20" ht="12" customHeight="1" thickTop="1" thickBot="1" x14ac:dyDescent="0.35">
      <c r="A160" s="21">
        <v>12</v>
      </c>
      <c r="B160" s="19"/>
      <c r="C160" s="82" t="str">
        <f>DATA!H21</f>
        <v>Ica Nur Setyo Anugrah</v>
      </c>
      <c r="D160" s="382">
        <v>55</v>
      </c>
      <c r="E160" s="43"/>
      <c r="F160" s="43"/>
      <c r="G160" s="43"/>
      <c r="H160" s="44"/>
      <c r="I160" s="122">
        <f t="shared" si="27"/>
        <v>55</v>
      </c>
      <c r="J160" s="123">
        <f t="shared" si="28"/>
        <v>55</v>
      </c>
      <c r="K160" s="21" t="str">
        <f t="shared" si="29"/>
        <v>tdk tuntas</v>
      </c>
      <c r="L160" s="210" t="str">
        <f t="shared" si="30"/>
        <v>81</v>
      </c>
      <c r="M160" s="14" t="s">
        <v>11</v>
      </c>
      <c r="N160" s="58">
        <f>K187</f>
        <v>31</v>
      </c>
      <c r="O160" s="15"/>
      <c r="Q160" s="68" t="str">
        <f t="shared" si="31"/>
        <v>Ica Nur Setyo Anugrah</v>
      </c>
      <c r="R160" s="21" t="str">
        <f t="shared" si="32"/>
        <v>85</v>
      </c>
      <c r="S160" s="158" t="s">
        <v>46</v>
      </c>
      <c r="T160" s="119" t="s">
        <v>31</v>
      </c>
    </row>
    <row r="161" spans="1:20" ht="12" customHeight="1" thickTop="1" thickBot="1" x14ac:dyDescent="0.35">
      <c r="A161" s="21">
        <v>13</v>
      </c>
      <c r="B161" s="19"/>
      <c r="C161" s="82" t="str">
        <f>DATA!H22</f>
        <v>Jihan Aliya Kamil Alfayari</v>
      </c>
      <c r="D161" s="382">
        <v>35</v>
      </c>
      <c r="E161" s="43"/>
      <c r="F161" s="43"/>
      <c r="G161" s="43"/>
      <c r="H161" s="44"/>
      <c r="I161" s="122">
        <f t="shared" si="27"/>
        <v>35</v>
      </c>
      <c r="J161" s="123">
        <f t="shared" si="28"/>
        <v>35</v>
      </c>
      <c r="K161" s="21" t="str">
        <f t="shared" si="29"/>
        <v>tdk tuntas</v>
      </c>
      <c r="L161" s="210" t="str">
        <f t="shared" si="30"/>
        <v>80</v>
      </c>
      <c r="M161" s="14" t="s">
        <v>12</v>
      </c>
      <c r="N161" s="58">
        <f>K185</f>
        <v>0</v>
      </c>
      <c r="O161" s="15"/>
      <c r="Q161" s="68" t="str">
        <f t="shared" si="31"/>
        <v>Jihan Aliya Kamil Alfayari</v>
      </c>
      <c r="R161" s="21" t="str">
        <f t="shared" si="32"/>
        <v>85</v>
      </c>
      <c r="S161" s="155"/>
      <c r="T161" s="119" t="s">
        <v>32</v>
      </c>
    </row>
    <row r="162" spans="1:20" ht="12" customHeight="1" thickTop="1" thickBot="1" x14ac:dyDescent="0.35">
      <c r="A162" s="21">
        <v>14</v>
      </c>
      <c r="B162" s="19"/>
      <c r="C162" s="82" t="str">
        <f>DATA!H23</f>
        <v>Keisya Bily Ferlista</v>
      </c>
      <c r="D162" s="382">
        <v>40</v>
      </c>
      <c r="E162" s="43"/>
      <c r="F162" s="43"/>
      <c r="G162" s="43"/>
      <c r="H162" s="44"/>
      <c r="I162" s="122">
        <f t="shared" si="27"/>
        <v>40</v>
      </c>
      <c r="J162" s="123">
        <f t="shared" si="28"/>
        <v>40</v>
      </c>
      <c r="K162" s="21" t="str">
        <f t="shared" si="29"/>
        <v>tdk tuntas</v>
      </c>
      <c r="L162" s="210" t="str">
        <f t="shared" si="30"/>
        <v>81</v>
      </c>
      <c r="M162" s="14" t="s">
        <v>13</v>
      </c>
      <c r="N162" s="58">
        <f>N161/N160*100</f>
        <v>0</v>
      </c>
      <c r="O162" s="15" t="s">
        <v>4</v>
      </c>
      <c r="Q162" s="68" t="str">
        <f t="shared" si="31"/>
        <v>Keisya Bily Ferlista</v>
      </c>
      <c r="R162" s="21" t="str">
        <f t="shared" si="32"/>
        <v>85</v>
      </c>
      <c r="S162" s="62"/>
      <c r="T162" s="15" t="s">
        <v>33</v>
      </c>
    </row>
    <row r="163" spans="1:20" ht="12" customHeight="1" thickTop="1" x14ac:dyDescent="0.3">
      <c r="A163" s="21">
        <v>15</v>
      </c>
      <c r="B163" s="19"/>
      <c r="C163" s="82" t="str">
        <f>DATA!H24</f>
        <v>Muhammad Rafi Ma'Arif</v>
      </c>
      <c r="D163" s="382">
        <v>60</v>
      </c>
      <c r="E163" s="43"/>
      <c r="F163" s="43"/>
      <c r="G163" s="43"/>
      <c r="H163" s="44"/>
      <c r="I163" s="122">
        <f t="shared" si="27"/>
        <v>60</v>
      </c>
      <c r="J163" s="123">
        <f t="shared" si="28"/>
        <v>60</v>
      </c>
      <c r="K163" s="21" t="str">
        <f t="shared" si="29"/>
        <v>tdk tuntas</v>
      </c>
      <c r="L163" s="210" t="str">
        <f t="shared" si="30"/>
        <v>82</v>
      </c>
      <c r="M163" s="14"/>
      <c r="N163" s="24"/>
      <c r="O163" s="15"/>
      <c r="Q163" s="68" t="str">
        <f t="shared" si="31"/>
        <v>Muhammad Rafi Ma'Arif</v>
      </c>
      <c r="R163" s="21" t="str">
        <f t="shared" si="32"/>
        <v>85</v>
      </c>
      <c r="S163" s="14"/>
      <c r="T163" s="15" t="s">
        <v>34</v>
      </c>
    </row>
    <row r="164" spans="1:20" ht="12" customHeight="1" x14ac:dyDescent="0.3">
      <c r="A164" s="21">
        <v>16</v>
      </c>
      <c r="B164" s="19"/>
      <c r="C164" s="82" t="str">
        <f>DATA!H25</f>
        <v>Nafis Aufan Ahsanulkarim</v>
      </c>
      <c r="D164" s="382">
        <v>60</v>
      </c>
      <c r="E164" s="43"/>
      <c r="F164" s="43"/>
      <c r="G164" s="43"/>
      <c r="H164" s="44"/>
      <c r="I164" s="122">
        <f t="shared" si="27"/>
        <v>60</v>
      </c>
      <c r="J164" s="123">
        <f t="shared" si="28"/>
        <v>60</v>
      </c>
      <c r="K164" s="21" t="str">
        <f t="shared" si="29"/>
        <v>tdk tuntas</v>
      </c>
      <c r="L164" s="210" t="str">
        <f t="shared" si="30"/>
        <v>82</v>
      </c>
      <c r="M164" s="14" t="s">
        <v>52</v>
      </c>
      <c r="N164" s="24"/>
      <c r="O164" s="15"/>
      <c r="Q164" s="68" t="str">
        <f t="shared" si="31"/>
        <v>Nafis Aufan Ahsanulkarim</v>
      </c>
      <c r="R164" s="21" t="str">
        <f>IF(I164&lt;$N$10,"84","")</f>
        <v>84</v>
      </c>
      <c r="S164" s="14"/>
      <c r="T164" s="15"/>
    </row>
    <row r="165" spans="1:20" ht="12" customHeight="1" x14ac:dyDescent="0.3">
      <c r="A165" s="21">
        <v>17</v>
      </c>
      <c r="B165" s="19"/>
      <c r="C165" s="82" t="str">
        <f>DATA!H26</f>
        <v>Nayla Azalia Lathifah</v>
      </c>
      <c r="D165" s="382">
        <v>20</v>
      </c>
      <c r="E165" s="43"/>
      <c r="F165" s="43"/>
      <c r="G165" s="43"/>
      <c r="H165" s="44"/>
      <c r="I165" s="122">
        <f t="shared" si="27"/>
        <v>20</v>
      </c>
      <c r="J165" s="123">
        <f t="shared" si="28"/>
        <v>20</v>
      </c>
      <c r="K165" s="21" t="str">
        <f t="shared" si="29"/>
        <v>tdk tuntas</v>
      </c>
      <c r="L165" s="210" t="str">
        <f t="shared" si="30"/>
        <v>80</v>
      </c>
      <c r="N165" s="24"/>
      <c r="O165" s="15"/>
      <c r="Q165" s="68" t="str">
        <f t="shared" si="31"/>
        <v>Nayla Azalia Lathifah</v>
      </c>
      <c r="R165" s="21" t="str">
        <f t="shared" ref="R165:R171" si="33">IF(I165&lt;$N$10,"82","")</f>
        <v>82</v>
      </c>
      <c r="S165" s="14"/>
      <c r="T165" s="63" t="s">
        <v>41</v>
      </c>
    </row>
    <row r="166" spans="1:20" ht="12" customHeight="1" x14ac:dyDescent="0.3">
      <c r="A166" s="21">
        <v>18</v>
      </c>
      <c r="B166" s="19"/>
      <c r="C166" s="82" t="str">
        <f>DATA!H27</f>
        <v>Radita Raharjo</v>
      </c>
      <c r="D166" s="382">
        <v>45</v>
      </c>
      <c r="E166" s="43"/>
      <c r="F166" s="43"/>
      <c r="G166" s="43"/>
      <c r="H166" s="44"/>
      <c r="I166" s="122">
        <f t="shared" si="27"/>
        <v>45</v>
      </c>
      <c r="J166" s="123">
        <f t="shared" si="28"/>
        <v>45</v>
      </c>
      <c r="K166" s="21" t="str">
        <f t="shared" si="29"/>
        <v>tdk tuntas</v>
      </c>
      <c r="L166" s="210" t="str">
        <f t="shared" si="30"/>
        <v>81</v>
      </c>
      <c r="M166" s="14"/>
      <c r="N166" s="24"/>
      <c r="O166" s="15"/>
      <c r="Q166" s="68" t="str">
        <f t="shared" si="31"/>
        <v>Radita Raharjo</v>
      </c>
      <c r="R166" s="21" t="str">
        <f t="shared" si="33"/>
        <v>82</v>
      </c>
      <c r="S166" s="14"/>
      <c r="T166" s="63"/>
    </row>
    <row r="167" spans="1:20" ht="12" customHeight="1" x14ac:dyDescent="0.3">
      <c r="A167" s="21">
        <v>19</v>
      </c>
      <c r="B167" s="19"/>
      <c r="C167" s="82" t="str">
        <f>DATA!H28</f>
        <v>Rava Aditya Pratama</v>
      </c>
      <c r="D167" s="382">
        <v>30</v>
      </c>
      <c r="E167" s="43"/>
      <c r="F167" s="43"/>
      <c r="G167" s="43"/>
      <c r="H167" s="44"/>
      <c r="I167" s="122">
        <f t="shared" si="27"/>
        <v>30</v>
      </c>
      <c r="J167" s="123">
        <f t="shared" si="28"/>
        <v>30</v>
      </c>
      <c r="K167" s="21" t="str">
        <f t="shared" si="29"/>
        <v>tdk tuntas</v>
      </c>
      <c r="L167" s="210" t="str">
        <f t="shared" si="30"/>
        <v>80</v>
      </c>
      <c r="M167" s="14"/>
      <c r="N167" s="24"/>
      <c r="O167" s="15"/>
      <c r="Q167" s="68" t="str">
        <f t="shared" si="31"/>
        <v>Rava Aditya Pratama</v>
      </c>
      <c r="R167" s="21" t="str">
        <f t="shared" si="33"/>
        <v>82</v>
      </c>
      <c r="S167" s="14"/>
      <c r="T167" s="63"/>
    </row>
    <row r="168" spans="1:20" ht="12" customHeight="1" x14ac:dyDescent="0.3">
      <c r="A168" s="21">
        <v>20</v>
      </c>
      <c r="B168" s="19"/>
      <c r="C168" s="82" t="str">
        <f>DATA!H29</f>
        <v>Saffa Ayu Anastasya</v>
      </c>
      <c r="D168" s="382">
        <v>45</v>
      </c>
      <c r="E168" s="43"/>
      <c r="F168" s="43"/>
      <c r="G168" s="43"/>
      <c r="H168" s="44"/>
      <c r="I168" s="122">
        <f t="shared" si="27"/>
        <v>45</v>
      </c>
      <c r="J168" s="123">
        <f t="shared" si="28"/>
        <v>45</v>
      </c>
      <c r="K168" s="21" t="str">
        <f t="shared" si="29"/>
        <v>tdk tuntas</v>
      </c>
      <c r="L168" s="210" t="str">
        <f t="shared" si="30"/>
        <v>81</v>
      </c>
      <c r="M168" s="14" t="s">
        <v>53</v>
      </c>
      <c r="N168" s="78">
        <f>I185</f>
        <v>1100</v>
      </c>
      <c r="O168" s="15"/>
      <c r="Q168" s="68" t="str">
        <f t="shared" si="31"/>
        <v>Saffa Ayu Anastasya</v>
      </c>
      <c r="R168" s="21" t="str">
        <f t="shared" si="33"/>
        <v>82</v>
      </c>
      <c r="S168" s="14"/>
      <c r="T168" s="63"/>
    </row>
    <row r="169" spans="1:20" ht="12" customHeight="1" x14ac:dyDescent="0.3">
      <c r="A169" s="21">
        <v>21</v>
      </c>
      <c r="B169" s="19"/>
      <c r="C169" s="82" t="str">
        <f>DATA!H30</f>
        <v>Saromadika</v>
      </c>
      <c r="D169" s="382">
        <v>30</v>
      </c>
      <c r="E169" s="43"/>
      <c r="F169" s="43"/>
      <c r="G169" s="43"/>
      <c r="H169" s="44"/>
      <c r="I169" s="122">
        <f t="shared" si="27"/>
        <v>30</v>
      </c>
      <c r="J169" s="123">
        <f t="shared" si="28"/>
        <v>30</v>
      </c>
      <c r="K169" s="21" t="str">
        <f t="shared" si="29"/>
        <v>tdk tuntas</v>
      </c>
      <c r="L169" s="210" t="str">
        <f t="shared" si="30"/>
        <v>80</v>
      </c>
      <c r="M169" s="14" t="s">
        <v>54</v>
      </c>
      <c r="N169" s="78">
        <f>I186</f>
        <v>3100</v>
      </c>
      <c r="O169" s="15"/>
      <c r="Q169" s="68" t="str">
        <f t="shared" si="31"/>
        <v>Saromadika</v>
      </c>
      <c r="R169" s="21" t="str">
        <f t="shared" si="33"/>
        <v>82</v>
      </c>
      <c r="S169" s="14"/>
      <c r="T169" s="63" t="str">
        <f>T75</f>
        <v>KASMIN, S.Pd</v>
      </c>
    </row>
    <row r="170" spans="1:20" ht="12" customHeight="1" x14ac:dyDescent="0.3">
      <c r="A170" s="21">
        <v>22</v>
      </c>
      <c r="B170" s="19"/>
      <c r="C170" s="82" t="str">
        <f>DATA!H31</f>
        <v>Siti Fadilah Purmareta</v>
      </c>
      <c r="D170" s="382">
        <v>40</v>
      </c>
      <c r="E170" s="43"/>
      <c r="F170" s="43"/>
      <c r="G170" s="43"/>
      <c r="H170" s="44"/>
      <c r="I170" s="122">
        <f t="shared" si="27"/>
        <v>40</v>
      </c>
      <c r="J170" s="123">
        <f t="shared" si="28"/>
        <v>40</v>
      </c>
      <c r="K170" s="21" t="str">
        <f t="shared" si="29"/>
        <v>tdk tuntas</v>
      </c>
      <c r="L170" s="210" t="str">
        <f t="shared" si="30"/>
        <v>81</v>
      </c>
      <c r="M170" s="14" t="s">
        <v>13</v>
      </c>
      <c r="N170" s="84">
        <f>N168/N169*100</f>
        <v>35.483870967741936</v>
      </c>
      <c r="O170" s="79" t="s">
        <v>4</v>
      </c>
      <c r="Q170" s="68" t="str">
        <f t="shared" si="31"/>
        <v>Siti Fadilah Purmareta</v>
      </c>
      <c r="R170" s="21" t="str">
        <f t="shared" si="33"/>
        <v>82</v>
      </c>
      <c r="S170" s="14"/>
      <c r="T170" s="83" t="str">
        <f>T76</f>
        <v>NIP : 196609141990031007</v>
      </c>
    </row>
    <row r="171" spans="1:20" ht="12" customHeight="1" x14ac:dyDescent="0.3">
      <c r="A171" s="21">
        <v>23</v>
      </c>
      <c r="B171" s="19"/>
      <c r="C171" s="82" t="str">
        <f>DATA!H32</f>
        <v>Surya Ardika Pratama</v>
      </c>
      <c r="D171" s="382">
        <v>35</v>
      </c>
      <c r="E171" s="43"/>
      <c r="F171" s="43"/>
      <c r="G171" s="43"/>
      <c r="H171" s="44"/>
      <c r="I171" s="122">
        <f t="shared" si="27"/>
        <v>35</v>
      </c>
      <c r="J171" s="123">
        <f t="shared" si="28"/>
        <v>35</v>
      </c>
      <c r="K171" s="21" t="str">
        <f t="shared" si="29"/>
        <v>tdk tuntas</v>
      </c>
      <c r="L171" s="210" t="str">
        <f t="shared" si="30"/>
        <v>80</v>
      </c>
      <c r="M171" s="14"/>
      <c r="N171" s="24"/>
      <c r="O171" s="15"/>
      <c r="Q171" s="68" t="str">
        <f t="shared" si="31"/>
        <v>Surya Ardika Pratama</v>
      </c>
      <c r="R171" s="21" t="str">
        <f t="shared" si="33"/>
        <v>82</v>
      </c>
      <c r="S171" s="14"/>
      <c r="T171" s="15"/>
    </row>
    <row r="172" spans="1:20" ht="12" customHeight="1" x14ac:dyDescent="0.3">
      <c r="A172" s="21">
        <v>24</v>
      </c>
      <c r="B172" s="19"/>
      <c r="C172" s="133" t="str">
        <f>DATA!H33</f>
        <v>Syafa Nutrima Andini</v>
      </c>
      <c r="D172" s="382">
        <v>30</v>
      </c>
      <c r="E172" s="43"/>
      <c r="F172" s="43"/>
      <c r="G172" s="43"/>
      <c r="H172" s="44"/>
      <c r="I172" s="122">
        <f>SUM(D172:H172)</f>
        <v>30</v>
      </c>
      <c r="J172" s="123">
        <f>I172</f>
        <v>30</v>
      </c>
      <c r="K172" s="21" t="str">
        <f>IF(J172&lt;$N$10,"tdk tuntas","tuntas")</f>
        <v>tdk tuntas</v>
      </c>
      <c r="L172" s="210" t="str">
        <f t="shared" si="30"/>
        <v>80</v>
      </c>
      <c r="M172" s="14"/>
      <c r="N172" s="24"/>
      <c r="O172" s="15"/>
      <c r="Q172" s="68" t="str">
        <f t="shared" si="31"/>
        <v>Syafa Nutrima Andini</v>
      </c>
      <c r="R172" s="21" t="str">
        <f>IF(I172&lt;$N$10,"85","")</f>
        <v>85</v>
      </c>
      <c r="S172" s="14"/>
      <c r="T172" s="63" t="s">
        <v>42</v>
      </c>
    </row>
    <row r="173" spans="1:20" ht="12" customHeight="1" x14ac:dyDescent="0.3">
      <c r="A173" s="21">
        <v>25</v>
      </c>
      <c r="B173" s="19"/>
      <c r="C173" s="82" t="str">
        <f>DATA!H34</f>
        <v>Syifa Dwi Rahayu</v>
      </c>
      <c r="D173" s="382">
        <v>10</v>
      </c>
      <c r="E173" s="43"/>
      <c r="F173" s="43"/>
      <c r="G173" s="43"/>
      <c r="H173" s="44"/>
      <c r="I173" s="122">
        <f t="shared" si="27"/>
        <v>10</v>
      </c>
      <c r="J173" s="123">
        <f t="shared" si="28"/>
        <v>10</v>
      </c>
      <c r="K173" s="21" t="str">
        <f t="shared" si="29"/>
        <v>tdk tuntas</v>
      </c>
      <c r="L173" s="210" t="str">
        <f t="shared" si="30"/>
        <v>80</v>
      </c>
      <c r="M173" s="14" t="s">
        <v>14</v>
      </c>
      <c r="N173" s="24"/>
      <c r="O173" s="15"/>
      <c r="Q173" s="68" t="str">
        <f t="shared" si="31"/>
        <v>Syifa Dwi Rahayu</v>
      </c>
      <c r="R173" s="21" t="str">
        <f>IF(I173&lt;$N$10,"81","")</f>
        <v>81</v>
      </c>
      <c r="S173" s="14"/>
      <c r="T173" s="63"/>
    </row>
    <row r="174" spans="1:20" ht="12" customHeight="1" x14ac:dyDescent="0.3">
      <c r="A174" s="21">
        <v>26</v>
      </c>
      <c r="B174" s="19"/>
      <c r="C174" s="82" t="str">
        <f>DATA!H35</f>
        <v>Trendy Pambayun</v>
      </c>
      <c r="D174" s="382">
        <v>15</v>
      </c>
      <c r="E174" s="43"/>
      <c r="F174" s="43"/>
      <c r="G174" s="43"/>
      <c r="H174" s="44"/>
      <c r="I174" s="122">
        <f t="shared" si="27"/>
        <v>15</v>
      </c>
      <c r="J174" s="123">
        <f t="shared" si="28"/>
        <v>15</v>
      </c>
      <c r="K174" s="21" t="str">
        <f t="shared" si="29"/>
        <v>tdk tuntas</v>
      </c>
      <c r="L174" s="210" t="str">
        <f t="shared" si="30"/>
        <v>80</v>
      </c>
      <c r="M174" s="14" t="s">
        <v>15</v>
      </c>
      <c r="N174" s="24"/>
      <c r="O174" s="15"/>
      <c r="Q174" s="68" t="str">
        <f t="shared" si="31"/>
        <v>Trendy Pambayun</v>
      </c>
      <c r="R174" s="21" t="str">
        <f>IF(I174&lt;$N$10,"82","")</f>
        <v>82</v>
      </c>
      <c r="S174" s="14"/>
      <c r="T174" s="63"/>
    </row>
    <row r="175" spans="1:20" ht="12" customHeight="1" x14ac:dyDescent="0.3">
      <c r="A175" s="21">
        <v>27</v>
      </c>
      <c r="B175" s="19"/>
      <c r="C175" s="82" t="str">
        <f>DATA!H36</f>
        <v>Victar Alfiano</v>
      </c>
      <c r="D175" s="382">
        <v>35</v>
      </c>
      <c r="E175" s="43"/>
      <c r="F175" s="43"/>
      <c r="G175" s="43"/>
      <c r="H175" s="44"/>
      <c r="I175" s="122">
        <f t="shared" si="27"/>
        <v>35</v>
      </c>
      <c r="J175" s="123">
        <f t="shared" si="28"/>
        <v>35</v>
      </c>
      <c r="K175" s="21" t="str">
        <f t="shared" si="29"/>
        <v>tdk tuntas</v>
      </c>
      <c r="L175" s="210" t="str">
        <f t="shared" si="30"/>
        <v>80</v>
      </c>
      <c r="M175" s="155" t="s">
        <v>80</v>
      </c>
      <c r="N175" s="24"/>
      <c r="O175" s="15"/>
      <c r="Q175" s="68" t="str">
        <f t="shared" si="31"/>
        <v>Victar Alfiano</v>
      </c>
      <c r="R175" s="21" t="str">
        <f>IF(I175&lt;$N$10,"82","")</f>
        <v>82</v>
      </c>
      <c r="S175" s="14"/>
      <c r="T175" s="63"/>
    </row>
    <row r="176" spans="1:20" ht="12" customHeight="1" x14ac:dyDescent="0.3">
      <c r="A176" s="21">
        <v>28</v>
      </c>
      <c r="B176" s="19"/>
      <c r="C176" s="82" t="str">
        <f>DATA!H37</f>
        <v>Vika Adhania</v>
      </c>
      <c r="D176" s="382">
        <v>10</v>
      </c>
      <c r="E176" s="43"/>
      <c r="F176" s="43"/>
      <c r="G176" s="43"/>
      <c r="H176" s="44"/>
      <c r="I176" s="122">
        <f t="shared" si="27"/>
        <v>10</v>
      </c>
      <c r="J176" s="123">
        <f t="shared" si="28"/>
        <v>10</v>
      </c>
      <c r="K176" s="21" t="str">
        <f t="shared" si="29"/>
        <v>tdk tuntas</v>
      </c>
      <c r="L176" s="210" t="str">
        <f t="shared" si="30"/>
        <v>80</v>
      </c>
      <c r="M176" s="14"/>
      <c r="N176" s="24"/>
      <c r="O176" s="15"/>
      <c r="Q176" s="68" t="str">
        <f t="shared" si="31"/>
        <v>Vika Adhania</v>
      </c>
      <c r="R176" s="21" t="str">
        <f>IF(I176&lt;$N$10,"81","")</f>
        <v>81</v>
      </c>
      <c r="S176" s="14"/>
      <c r="T176" s="63"/>
    </row>
    <row r="177" spans="1:20" ht="12" customHeight="1" x14ac:dyDescent="0.3">
      <c r="A177" s="21">
        <v>29</v>
      </c>
      <c r="B177" s="19"/>
      <c r="C177" s="82" t="str">
        <f>DATA!H38</f>
        <v>Yogi Restu Bintang Pamungkas</v>
      </c>
      <c r="D177" s="382">
        <v>35</v>
      </c>
      <c r="E177" s="43"/>
      <c r="F177" s="43"/>
      <c r="G177" s="43"/>
      <c r="H177" s="44"/>
      <c r="I177" s="122">
        <f t="shared" si="27"/>
        <v>35</v>
      </c>
      <c r="J177" s="123">
        <f t="shared" si="28"/>
        <v>35</v>
      </c>
      <c r="K177" s="21" t="str">
        <f t="shared" si="29"/>
        <v>tdk tuntas</v>
      </c>
      <c r="L177" s="210" t="str">
        <f t="shared" si="30"/>
        <v>80</v>
      </c>
      <c r="M177" s="14"/>
      <c r="N177" s="24"/>
      <c r="O177" s="15"/>
      <c r="Q177" s="68" t="str">
        <f t="shared" si="31"/>
        <v>Yogi Restu Bintang Pamungkas</v>
      </c>
      <c r="R177" s="21" t="str">
        <f>IF(I177&lt;$N$10,"85","")</f>
        <v>85</v>
      </c>
      <c r="S177" s="14"/>
      <c r="T177" s="63"/>
    </row>
    <row r="178" spans="1:20" ht="12" customHeight="1" x14ac:dyDescent="0.3">
      <c r="A178" s="21">
        <v>30</v>
      </c>
      <c r="B178" s="19"/>
      <c r="C178" s="82" t="str">
        <f>DATA!H39</f>
        <v>Zahfa Zilvilya Putri</v>
      </c>
      <c r="D178" s="382">
        <v>15</v>
      </c>
      <c r="E178" s="43"/>
      <c r="F178" s="43"/>
      <c r="G178" s="43"/>
      <c r="H178" s="44"/>
      <c r="I178" s="122">
        <f t="shared" si="27"/>
        <v>15</v>
      </c>
      <c r="J178" s="123">
        <f t="shared" si="28"/>
        <v>15</v>
      </c>
      <c r="K178" s="21" t="str">
        <f t="shared" si="29"/>
        <v>tdk tuntas</v>
      </c>
      <c r="L178" s="210" t="str">
        <f t="shared" si="30"/>
        <v>80</v>
      </c>
      <c r="M178" s="14"/>
      <c r="N178" s="24"/>
      <c r="O178" s="15"/>
      <c r="Q178" s="68" t="str">
        <f t="shared" si="31"/>
        <v>Zahfa Zilvilya Putri</v>
      </c>
      <c r="R178" s="21" t="str">
        <f>IF(I178&lt;$N$10,"84","")</f>
        <v>84</v>
      </c>
      <c r="S178" s="14"/>
      <c r="T178" s="63" t="str">
        <f>T84</f>
        <v>Dra. BAROKAH GUNIARTI</v>
      </c>
    </row>
    <row r="179" spans="1:20" ht="12" customHeight="1" x14ac:dyDescent="0.3">
      <c r="A179" s="21">
        <v>31</v>
      </c>
      <c r="B179" s="19"/>
      <c r="C179" s="82" t="str">
        <f>DATA!H40</f>
        <v>Zaidan Rafa Prawidi</v>
      </c>
      <c r="D179" s="382">
        <v>45</v>
      </c>
      <c r="E179" s="43"/>
      <c r="F179" s="43"/>
      <c r="G179" s="43"/>
      <c r="H179" s="44"/>
      <c r="I179" s="122">
        <f>SUM(D179:H179)</f>
        <v>45</v>
      </c>
      <c r="J179" s="123">
        <f>I179</f>
        <v>45</v>
      </c>
      <c r="K179" s="21" t="str">
        <f>IF(J179&lt;$N$10,"tdk tuntas","tuntas")</f>
        <v>tdk tuntas</v>
      </c>
      <c r="L179" s="210" t="str">
        <f t="shared" si="30"/>
        <v>81</v>
      </c>
      <c r="M179" s="14" t="s">
        <v>56</v>
      </c>
      <c r="N179" s="24"/>
      <c r="O179" s="15"/>
      <c r="Q179" s="68"/>
      <c r="R179" s="21" t="str">
        <f>IF(I179&lt;$N$10,"84","")</f>
        <v>84</v>
      </c>
      <c r="S179" s="14"/>
      <c r="T179" s="103" t="str">
        <f>T85</f>
        <v>NIP : 196901081996122004</v>
      </c>
    </row>
    <row r="180" spans="1:20" ht="12" customHeight="1" x14ac:dyDescent="0.25">
      <c r="A180" s="21">
        <v>32</v>
      </c>
      <c r="B180" s="19"/>
      <c r="C180" s="82"/>
      <c r="D180" s="248"/>
      <c r="E180" s="43"/>
      <c r="F180" s="43"/>
      <c r="G180" s="43"/>
      <c r="H180" s="44"/>
      <c r="I180" s="122"/>
      <c r="J180" s="123"/>
      <c r="K180" s="21"/>
      <c r="L180" s="210"/>
      <c r="M180" s="14"/>
      <c r="N180" s="24"/>
      <c r="O180" s="15"/>
      <c r="Q180" s="68"/>
      <c r="R180" s="21"/>
      <c r="S180" s="14"/>
      <c r="T180" s="15"/>
    </row>
    <row r="181" spans="1:20" ht="12" customHeight="1" x14ac:dyDescent="0.25">
      <c r="A181" s="21">
        <v>33</v>
      </c>
      <c r="B181" s="19"/>
      <c r="C181" s="82"/>
      <c r="D181" s="42" t="s">
        <v>63</v>
      </c>
      <c r="E181" s="43"/>
      <c r="F181" s="43"/>
      <c r="G181" s="43"/>
      <c r="H181" s="44"/>
      <c r="I181" s="122"/>
      <c r="J181" s="123"/>
      <c r="K181" s="21"/>
      <c r="L181" s="135"/>
      <c r="M181" s="14" t="s">
        <v>16</v>
      </c>
      <c r="N181" s="24"/>
      <c r="O181" s="15"/>
      <c r="Q181" s="68"/>
      <c r="R181" s="21"/>
      <c r="S181" s="14"/>
      <c r="T181" s="15"/>
    </row>
    <row r="182" spans="1:20" ht="12" customHeight="1" x14ac:dyDescent="0.25">
      <c r="A182" s="21">
        <v>34</v>
      </c>
      <c r="B182" s="19"/>
      <c r="C182" s="82"/>
      <c r="D182" s="42" t="s">
        <v>63</v>
      </c>
      <c r="E182" s="43"/>
      <c r="F182" s="43"/>
      <c r="G182" s="43"/>
      <c r="H182" s="44"/>
      <c r="I182" s="122"/>
      <c r="J182" s="123"/>
      <c r="K182" s="21"/>
      <c r="L182" s="135"/>
      <c r="M182" s="14" t="s">
        <v>59</v>
      </c>
      <c r="N182" s="24"/>
      <c r="O182" s="15"/>
      <c r="Q182" s="68"/>
      <c r="R182" s="21"/>
      <c r="S182" s="14"/>
      <c r="T182" s="15"/>
    </row>
    <row r="183" spans="1:20" ht="12" customHeight="1" x14ac:dyDescent="0.25">
      <c r="A183" s="21">
        <v>35</v>
      </c>
      <c r="B183" s="22"/>
      <c r="C183" s="162"/>
      <c r="D183" s="136" t="s">
        <v>63</v>
      </c>
      <c r="E183" s="137"/>
      <c r="F183" s="137"/>
      <c r="G183" s="137"/>
      <c r="H183" s="138"/>
      <c r="I183" s="122"/>
      <c r="J183" s="123"/>
      <c r="K183" s="21"/>
      <c r="L183" s="139"/>
      <c r="M183" s="14" t="s">
        <v>23</v>
      </c>
      <c r="N183" s="24"/>
      <c r="O183" s="15"/>
      <c r="Q183" s="68"/>
      <c r="R183" s="21"/>
      <c r="S183" s="16"/>
      <c r="T183" s="17"/>
    </row>
    <row r="184" spans="1:20" ht="12" customHeight="1" x14ac:dyDescent="0.25">
      <c r="A184" s="101" t="s">
        <v>64</v>
      </c>
      <c r="B184" s="96"/>
      <c r="C184" s="97"/>
      <c r="D184" s="93"/>
      <c r="E184" s="94"/>
      <c r="F184" s="94"/>
      <c r="G184" s="94"/>
      <c r="H184" s="95"/>
      <c r="I184" s="98">
        <f>AVERAGE(I149:I183)</f>
        <v>35.483870967741936</v>
      </c>
      <c r="J184" s="74"/>
      <c r="K184" s="47"/>
      <c r="L184" s="65"/>
      <c r="M184" s="14"/>
      <c r="N184" s="24"/>
      <c r="O184" s="15"/>
      <c r="Q184" s="60"/>
      <c r="R184" s="471" t="str">
        <f>C145</f>
        <v>9D</v>
      </c>
      <c r="S184" s="471"/>
      <c r="T184" s="61"/>
    </row>
    <row r="185" spans="1:20" ht="12" customHeight="1" x14ac:dyDescent="0.25">
      <c r="A185" s="14" t="s">
        <v>17</v>
      </c>
      <c r="B185" s="24"/>
      <c r="C185" s="15"/>
      <c r="D185" s="42">
        <f>SUM(D149:D183)</f>
        <v>1100</v>
      </c>
      <c r="E185" s="43">
        <f>SUM(E149:E183)</f>
        <v>0</v>
      </c>
      <c r="F185" s="43">
        <f>SUM(F149:F183)</f>
        <v>0</v>
      </c>
      <c r="G185" s="43">
        <f>SUM(G149:G183)</f>
        <v>0</v>
      </c>
      <c r="H185" s="44">
        <f>SUM(H149:H183)</f>
        <v>0</v>
      </c>
      <c r="I185" s="80">
        <f>SUM(D185:H185)</f>
        <v>1100</v>
      </c>
      <c r="J185" s="85" t="s">
        <v>49</v>
      </c>
      <c r="K185" s="48">
        <f>COUNTIF(K149:K183,J185)</f>
        <v>0</v>
      </c>
      <c r="L185" s="64"/>
      <c r="M185" s="14"/>
      <c r="N185" s="24"/>
      <c r="O185" s="15"/>
      <c r="Q185" s="30"/>
      <c r="R185" s="472"/>
      <c r="S185" s="472"/>
      <c r="T185" s="31"/>
    </row>
    <row r="186" spans="1:20" ht="12" customHeight="1" x14ac:dyDescent="0.25">
      <c r="A186" s="14" t="s">
        <v>18</v>
      </c>
      <c r="B186" s="24"/>
      <c r="C186" s="15"/>
      <c r="D186" s="42">
        <f>D147*K187</f>
        <v>620</v>
      </c>
      <c r="E186" s="42">
        <f>E147*K187</f>
        <v>620</v>
      </c>
      <c r="F186" s="42">
        <f>F147*K187</f>
        <v>930</v>
      </c>
      <c r="G186" s="42">
        <f>G147*K187</f>
        <v>930</v>
      </c>
      <c r="H186" s="42">
        <f>H147*K187</f>
        <v>0</v>
      </c>
      <c r="I186" s="80">
        <f>SUM(D186:H186)</f>
        <v>3100</v>
      </c>
      <c r="J186" s="86" t="s">
        <v>50</v>
      </c>
      <c r="K186" s="48">
        <f>COUNTIF(K149:K183,J186)</f>
        <v>31</v>
      </c>
      <c r="L186" s="64"/>
      <c r="M186" s="14"/>
      <c r="N186" s="24"/>
      <c r="O186" s="15"/>
      <c r="Q186" s="30"/>
      <c r="R186" s="472"/>
      <c r="S186" s="472"/>
      <c r="T186" s="31"/>
    </row>
    <row r="187" spans="1:20" ht="12" customHeight="1" x14ac:dyDescent="0.25">
      <c r="A187" s="26" t="s">
        <v>19</v>
      </c>
      <c r="B187" s="27"/>
      <c r="C187" s="28"/>
      <c r="D187" s="136">
        <f t="shared" ref="D187:I187" si="34">D185/D186*100</f>
        <v>177.41935483870967</v>
      </c>
      <c r="E187" s="136">
        <f t="shared" si="34"/>
        <v>0</v>
      </c>
      <c r="F187" s="136">
        <f t="shared" si="34"/>
        <v>0</v>
      </c>
      <c r="G187" s="136">
        <f t="shared" si="34"/>
        <v>0</v>
      </c>
      <c r="H187" s="136" t="e">
        <f t="shared" si="34"/>
        <v>#DIV/0!</v>
      </c>
      <c r="I187" s="50">
        <f t="shared" si="34"/>
        <v>35.483870967741936</v>
      </c>
      <c r="J187" s="75" t="s">
        <v>57</v>
      </c>
      <c r="K187" s="49">
        <f>SUM(K185:K186)</f>
        <v>31</v>
      </c>
      <c r="L187" s="66"/>
      <c r="M187" s="16"/>
      <c r="N187" s="25"/>
      <c r="O187" s="17"/>
      <c r="Q187" s="8"/>
      <c r="R187" s="473"/>
      <c r="S187" s="473"/>
      <c r="T187" s="9"/>
    </row>
    <row r="188" spans="1:20" ht="12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20" ht="12" customHeight="1" x14ac:dyDescent="0.25">
      <c r="A189" s="456" t="str">
        <f>'UH1'!A189</f>
        <v>ANALISA HASIL PH MATEMATIKA KLS IX  SMT GENAP</v>
      </c>
      <c r="B189" s="457"/>
      <c r="C189" s="457"/>
      <c r="D189" s="457"/>
      <c r="E189" s="457"/>
      <c r="F189" s="457"/>
      <c r="G189" s="457"/>
      <c r="H189" s="457"/>
      <c r="I189" s="457"/>
      <c r="J189" s="457"/>
      <c r="K189" s="457"/>
      <c r="L189" s="457"/>
      <c r="M189" s="457"/>
      <c r="N189" s="457"/>
      <c r="O189" s="458"/>
      <c r="Q189" s="456" t="s">
        <v>40</v>
      </c>
      <c r="R189" s="457"/>
      <c r="S189" s="457"/>
      <c r="T189" s="458"/>
    </row>
    <row r="190" spans="1:20" ht="12" customHeight="1" x14ac:dyDescent="0.25">
      <c r="A190" s="453" t="str">
        <f>A143</f>
        <v>SMP I LIMBANGAN  TH 2025/2026</v>
      </c>
      <c r="B190" s="454"/>
      <c r="C190" s="454"/>
      <c r="D190" s="454"/>
      <c r="E190" s="454"/>
      <c r="F190" s="454"/>
      <c r="G190" s="454"/>
      <c r="H190" s="454"/>
      <c r="I190" s="454"/>
      <c r="J190" s="454"/>
      <c r="K190" s="454"/>
      <c r="L190" s="454"/>
      <c r="M190" s="454"/>
      <c r="N190" s="454"/>
      <c r="O190" s="455"/>
      <c r="Q190" s="453" t="s">
        <v>61</v>
      </c>
      <c r="R190" s="454"/>
      <c r="S190" s="454"/>
      <c r="T190" s="455"/>
    </row>
    <row r="191" spans="1:20" ht="12" customHeight="1" x14ac:dyDescent="0.25"/>
    <row r="192" spans="1:20" ht="12" customHeight="1" x14ac:dyDescent="0.25">
      <c r="A192" s="99" t="s">
        <v>66</v>
      </c>
      <c r="C192" s="102" t="str">
        <f>DATA!J8</f>
        <v>9E</v>
      </c>
      <c r="D192" t="s">
        <v>297</v>
      </c>
      <c r="F192" s="87">
        <f>F4</f>
        <v>2</v>
      </c>
      <c r="I192" t="s">
        <v>20</v>
      </c>
      <c r="K192" s="72">
        <v>45938</v>
      </c>
      <c r="M192" s="1" t="s">
        <v>60</v>
      </c>
      <c r="N192" s="87">
        <f>N4</f>
        <v>2</v>
      </c>
      <c r="Q192" t="s">
        <v>28</v>
      </c>
      <c r="R192" s="470">
        <f>K192+7</f>
        <v>45945</v>
      </c>
      <c r="S192" s="470"/>
    </row>
    <row r="193" spans="1:20" ht="12" customHeight="1" x14ac:dyDescent="0.25">
      <c r="A193" s="2"/>
      <c r="B193" s="2"/>
      <c r="C193" s="3" t="s">
        <v>7</v>
      </c>
      <c r="D193" s="32">
        <v>1</v>
      </c>
      <c r="E193" s="33">
        <v>2</v>
      </c>
      <c r="F193" s="33">
        <v>3</v>
      </c>
      <c r="G193" s="33">
        <v>4</v>
      </c>
      <c r="H193" s="34">
        <v>5</v>
      </c>
      <c r="I193" s="35" t="s">
        <v>3</v>
      </c>
      <c r="J193" s="4" t="s">
        <v>4</v>
      </c>
      <c r="K193" s="53" t="s">
        <v>83</v>
      </c>
      <c r="L193" s="35" t="s">
        <v>43</v>
      </c>
      <c r="M193" s="459" t="s">
        <v>9</v>
      </c>
      <c r="N193" s="460"/>
      <c r="O193" s="461"/>
      <c r="Q193" s="2"/>
      <c r="R193" s="35" t="s">
        <v>24</v>
      </c>
      <c r="S193" s="60"/>
      <c r="T193" s="61"/>
    </row>
    <row r="194" spans="1:20" ht="12" customHeight="1" x14ac:dyDescent="0.25">
      <c r="A194" s="6" t="s">
        <v>0</v>
      </c>
      <c r="B194" s="6" t="s">
        <v>1</v>
      </c>
      <c r="C194" s="5" t="s">
        <v>8</v>
      </c>
      <c r="D194" s="55">
        <f>D147</f>
        <v>20</v>
      </c>
      <c r="E194" s="55">
        <f>E147</f>
        <v>20</v>
      </c>
      <c r="F194" s="55">
        <f>F147</f>
        <v>30</v>
      </c>
      <c r="G194" s="55">
        <f>G147</f>
        <v>30</v>
      </c>
      <c r="H194" s="55">
        <f>H147</f>
        <v>0</v>
      </c>
      <c r="I194" s="21">
        <f>SUM(D194:H194)</f>
        <v>100</v>
      </c>
      <c r="J194" s="6" t="s">
        <v>5</v>
      </c>
      <c r="K194" s="52" t="s">
        <v>22</v>
      </c>
      <c r="L194" s="11" t="s">
        <v>44</v>
      </c>
      <c r="M194" s="462"/>
      <c r="N194" s="463"/>
      <c r="O194" s="464"/>
      <c r="Q194" s="6" t="s">
        <v>2</v>
      </c>
      <c r="R194" s="11" t="s">
        <v>25</v>
      </c>
      <c r="S194" s="468" t="s">
        <v>27</v>
      </c>
      <c r="T194" s="469"/>
    </row>
    <row r="195" spans="1:20" ht="12" customHeight="1" x14ac:dyDescent="0.25">
      <c r="A195" s="6"/>
      <c r="B195" s="6"/>
      <c r="C195" s="51" t="s">
        <v>2</v>
      </c>
      <c r="D195" s="36"/>
      <c r="E195" s="37"/>
      <c r="F195" s="37"/>
      <c r="G195" s="37"/>
      <c r="H195" s="38"/>
      <c r="I195" s="11"/>
      <c r="J195" s="6" t="s">
        <v>6</v>
      </c>
      <c r="K195" s="54"/>
      <c r="L195" s="59" t="s">
        <v>45</v>
      </c>
      <c r="M195" s="465"/>
      <c r="N195" s="466"/>
      <c r="O195" s="467"/>
      <c r="Q195" s="7"/>
      <c r="R195" s="59" t="s">
        <v>26</v>
      </c>
      <c r="S195" s="8"/>
      <c r="T195" s="9"/>
    </row>
    <row r="196" spans="1:20" ht="12" customHeight="1" x14ac:dyDescent="0.3">
      <c r="A196" s="20">
        <v>1</v>
      </c>
      <c r="B196" s="18"/>
      <c r="C196" s="81" t="str">
        <f>DATA!J10</f>
        <v>Adyatma Danendra Abimanyu</v>
      </c>
      <c r="D196" s="381">
        <v>65</v>
      </c>
      <c r="E196" s="40"/>
      <c r="F196" s="40"/>
      <c r="G196" s="40"/>
      <c r="H196" s="41"/>
      <c r="I196" s="120">
        <f>SUM(D196:H196)</f>
        <v>65</v>
      </c>
      <c r="J196" s="121">
        <f>I196</f>
        <v>65</v>
      </c>
      <c r="K196" s="21" t="str">
        <f>IF(J196&lt;$N$10,"tdk tuntas","tuntas")</f>
        <v>tdk tuntas</v>
      </c>
      <c r="L196" s="209" t="str">
        <f>IF(J196&lt;=39.9,"80",IF(J196&lt;=59.9,"81",IF(J196&lt;=69.9,"82",IF(J196&lt;=74.9,"83",IF(J196&lt;=78.9,"84",IF(J196&lt;=78.9,"85",IF(J196&gt;=78.9,J196," ")))))))</f>
        <v>82</v>
      </c>
      <c r="M196" s="12"/>
      <c r="N196" s="23"/>
      <c r="O196" s="13"/>
      <c r="Q196" s="67" t="str">
        <f>C196</f>
        <v>Adyatma Danendra Abimanyu</v>
      </c>
      <c r="R196" s="21" t="str">
        <f>IF(I196&lt;$N$10,"80","")</f>
        <v>80</v>
      </c>
      <c r="S196" s="12"/>
      <c r="T196" s="13"/>
    </row>
    <row r="197" spans="1:20" ht="12" customHeight="1" x14ac:dyDescent="0.3">
      <c r="A197" s="21">
        <v>2</v>
      </c>
      <c r="B197" s="19"/>
      <c r="C197" s="82" t="str">
        <f>DATA!J11</f>
        <v>Ainaya Aprillia Azzahra</v>
      </c>
      <c r="D197" s="382">
        <v>30</v>
      </c>
      <c r="E197" s="43"/>
      <c r="F197" s="43"/>
      <c r="G197" s="43"/>
      <c r="H197" s="44"/>
      <c r="I197" s="122">
        <f t="shared" ref="I197:I225" si="35">SUM(D197:H197)</f>
        <v>30</v>
      </c>
      <c r="J197" s="123">
        <f t="shared" ref="J197:J225" si="36">I197</f>
        <v>30</v>
      </c>
      <c r="K197" s="21" t="str">
        <f t="shared" ref="K197:K225" si="37">IF(J197&lt;$N$10,"tdk tuntas","tuntas")</f>
        <v>tdk tuntas</v>
      </c>
      <c r="L197" s="210" t="str">
        <f t="shared" ref="L197:L225" si="38">IF(J197&lt;=39.9,"80",IF(J197&lt;=59.9,"81",IF(J197&lt;=69.9,"82",IF(J197&lt;=74.9,"83",IF(J197&lt;=78.9,"84",IF(J197&lt;=78.9,"85",IF(J197&gt;=78.9,J197," ")))))))</f>
        <v>80</v>
      </c>
      <c r="M197" s="14"/>
      <c r="N197" s="24"/>
      <c r="O197" s="15"/>
      <c r="Q197" s="68" t="str">
        <f t="shared" ref="Q197:Q228" si="39">C197</f>
        <v>Ainaya Aprillia Azzahra</v>
      </c>
      <c r="R197" s="21" t="str">
        <f>IF(I197&lt;$N$10,"81","")</f>
        <v>81</v>
      </c>
      <c r="S197" s="14" t="s">
        <v>29</v>
      </c>
      <c r="T197" s="15"/>
    </row>
    <row r="198" spans="1:20" ht="12" customHeight="1" thickBot="1" x14ac:dyDescent="0.35">
      <c r="A198" s="21">
        <v>3</v>
      </c>
      <c r="B198" s="19"/>
      <c r="C198" s="82" t="str">
        <f>DATA!J12</f>
        <v>Alvicko Aprellio Jordan</v>
      </c>
      <c r="D198" s="382">
        <v>35</v>
      </c>
      <c r="E198" s="43"/>
      <c r="F198" s="43"/>
      <c r="G198" s="43"/>
      <c r="H198" s="44"/>
      <c r="I198" s="122">
        <f t="shared" si="35"/>
        <v>35</v>
      </c>
      <c r="J198" s="123">
        <f t="shared" si="36"/>
        <v>35</v>
      </c>
      <c r="K198" s="21" t="str">
        <f t="shared" si="37"/>
        <v>tdk tuntas</v>
      </c>
      <c r="L198" s="210" t="str">
        <f t="shared" si="38"/>
        <v>80</v>
      </c>
      <c r="M198" s="70" t="s">
        <v>62</v>
      </c>
      <c r="N198" s="76">
        <f>N10</f>
        <v>80</v>
      </c>
      <c r="O198" s="15"/>
      <c r="Q198" s="68" t="str">
        <f t="shared" si="39"/>
        <v>Alvicko Aprellio Jordan</v>
      </c>
      <c r="R198" s="21" t="str">
        <f>IF(I198&lt;$N$10,"81","")</f>
        <v>81</v>
      </c>
      <c r="S198" s="26"/>
      <c r="T198" s="15"/>
    </row>
    <row r="199" spans="1:20" ht="12" customHeight="1" thickTop="1" thickBot="1" x14ac:dyDescent="0.35">
      <c r="A199" s="21">
        <v>4</v>
      </c>
      <c r="B199" s="19"/>
      <c r="C199" s="82" t="str">
        <f>DATA!J13</f>
        <v>Anastain</v>
      </c>
      <c r="D199" s="382">
        <v>30</v>
      </c>
      <c r="E199" s="43"/>
      <c r="F199" s="43"/>
      <c r="G199" s="43"/>
      <c r="H199" s="44"/>
      <c r="I199" s="122">
        <f>SUM(D199:H199)</f>
        <v>30</v>
      </c>
      <c r="J199" s="123">
        <f>I199</f>
        <v>30</v>
      </c>
      <c r="K199" s="21" t="str">
        <f t="shared" si="37"/>
        <v>tdk tuntas</v>
      </c>
      <c r="L199" s="210" t="str">
        <f t="shared" si="38"/>
        <v>80</v>
      </c>
      <c r="M199" s="14" t="s">
        <v>63</v>
      </c>
      <c r="N199" s="24"/>
      <c r="O199" s="15"/>
      <c r="Q199" s="68" t="str">
        <f t="shared" si="39"/>
        <v>Anastain</v>
      </c>
      <c r="R199" s="21" t="str">
        <f>IF(I199&lt;$N$10,"84","")</f>
        <v>84</v>
      </c>
      <c r="S199" s="62"/>
      <c r="T199" s="15" t="s">
        <v>35</v>
      </c>
    </row>
    <row r="200" spans="1:20" ht="12" customHeight="1" thickTop="1" thickBot="1" x14ac:dyDescent="0.35">
      <c r="A200" s="21">
        <v>5</v>
      </c>
      <c r="B200" s="19"/>
      <c r="C200" s="82" t="str">
        <f>DATA!J14</f>
        <v>Angginia Regina Putri</v>
      </c>
      <c r="D200" s="382">
        <v>30</v>
      </c>
      <c r="E200" s="43"/>
      <c r="F200" s="43"/>
      <c r="G200" s="43"/>
      <c r="H200" s="44"/>
      <c r="I200" s="122">
        <f t="shared" si="35"/>
        <v>30</v>
      </c>
      <c r="J200" s="123">
        <f t="shared" si="36"/>
        <v>30</v>
      </c>
      <c r="K200" s="21" t="str">
        <f t="shared" si="37"/>
        <v>tdk tuntas</v>
      </c>
      <c r="L200" s="210" t="str">
        <f t="shared" si="38"/>
        <v>80</v>
      </c>
      <c r="M200" s="14"/>
      <c r="N200" s="24"/>
      <c r="O200" s="15"/>
      <c r="Q200" s="68" t="str">
        <f t="shared" si="39"/>
        <v>Angginia Regina Putri</v>
      </c>
      <c r="R200" s="21" t="str">
        <f>IF(I200&lt;$N$10,"87","")</f>
        <v>87</v>
      </c>
      <c r="S200" s="158" t="s">
        <v>81</v>
      </c>
      <c r="T200" s="15" t="s">
        <v>38</v>
      </c>
    </row>
    <row r="201" spans="1:20" ht="12" customHeight="1" thickTop="1" thickBot="1" x14ac:dyDescent="0.35">
      <c r="A201" s="21">
        <v>6</v>
      </c>
      <c r="B201" s="19"/>
      <c r="C201" s="82" t="str">
        <f>DATA!J15</f>
        <v>Arfan Faqih Al Hikam</v>
      </c>
      <c r="D201" s="382">
        <v>40</v>
      </c>
      <c r="E201" s="43"/>
      <c r="F201" s="43"/>
      <c r="G201" s="43"/>
      <c r="H201" s="44"/>
      <c r="I201" s="122">
        <f t="shared" si="35"/>
        <v>40</v>
      </c>
      <c r="J201" s="123">
        <f t="shared" si="36"/>
        <v>40</v>
      </c>
      <c r="K201" s="21" t="str">
        <f t="shared" si="37"/>
        <v>tdk tuntas</v>
      </c>
      <c r="L201" s="210" t="str">
        <f t="shared" si="38"/>
        <v>81</v>
      </c>
      <c r="M201" s="14" t="s">
        <v>10</v>
      </c>
      <c r="N201" s="24"/>
      <c r="O201" s="15"/>
      <c r="Q201" s="68" t="str">
        <f t="shared" si="39"/>
        <v>Arfan Faqih Al Hikam</v>
      </c>
      <c r="R201" s="21" t="str">
        <f>IF(I201&lt;$N$10,"82","")</f>
        <v>82</v>
      </c>
      <c r="S201" s="155"/>
      <c r="T201" s="15" t="s">
        <v>39</v>
      </c>
    </row>
    <row r="202" spans="1:20" ht="12" customHeight="1" thickTop="1" thickBot="1" x14ac:dyDescent="0.35">
      <c r="A202" s="21">
        <v>7</v>
      </c>
      <c r="B202" s="19"/>
      <c r="C202" s="82" t="str">
        <f>DATA!J16</f>
        <v>Bilqis Aura Dayinta</v>
      </c>
      <c r="D202" s="382">
        <v>45</v>
      </c>
      <c r="E202" s="43"/>
      <c r="F202" s="43"/>
      <c r="G202" s="43"/>
      <c r="H202" s="44"/>
      <c r="I202" s="122">
        <f>SUM(D202:H202)</f>
        <v>45</v>
      </c>
      <c r="J202" s="123">
        <f>I202</f>
        <v>45</v>
      </c>
      <c r="K202" s="21" t="str">
        <f>IF(J202&lt;$N$10,"tdk tuntas","tuntas")</f>
        <v>tdk tuntas</v>
      </c>
      <c r="L202" s="210" t="str">
        <f t="shared" si="38"/>
        <v>81</v>
      </c>
      <c r="M202" s="14"/>
      <c r="N202" s="24"/>
      <c r="O202" s="15"/>
      <c r="Q202" s="68" t="str">
        <f t="shared" si="39"/>
        <v>Bilqis Aura Dayinta</v>
      </c>
      <c r="R202" s="21" t="str">
        <f>IF(I202&lt;$N$10,"80","")</f>
        <v>80</v>
      </c>
      <c r="S202" s="158"/>
      <c r="T202" s="119" t="s">
        <v>36</v>
      </c>
    </row>
    <row r="203" spans="1:20" ht="12" customHeight="1" thickTop="1" x14ac:dyDescent="0.3">
      <c r="A203" s="21">
        <v>8</v>
      </c>
      <c r="B203" s="19"/>
      <c r="C203" s="82" t="str">
        <f>DATA!J17</f>
        <v>Chayril Arya Saputra</v>
      </c>
      <c r="D203" s="382">
        <v>30</v>
      </c>
      <c r="E203" s="43"/>
      <c r="F203" s="43"/>
      <c r="G203" s="43"/>
      <c r="H203" s="44"/>
      <c r="I203" s="122">
        <f t="shared" si="35"/>
        <v>30</v>
      </c>
      <c r="J203" s="123">
        <f t="shared" si="36"/>
        <v>30</v>
      </c>
      <c r="K203" s="21" t="str">
        <f t="shared" si="37"/>
        <v>tdk tuntas</v>
      </c>
      <c r="L203" s="210" t="str">
        <f t="shared" si="38"/>
        <v>80</v>
      </c>
      <c r="M203" s="77" t="s">
        <v>51</v>
      </c>
      <c r="N203" s="24"/>
      <c r="O203" s="15"/>
      <c r="Q203" s="68" t="str">
        <f t="shared" si="39"/>
        <v>Chayril Arya Saputra</v>
      </c>
      <c r="R203" s="21" t="str">
        <f>IF(I203&lt;$N$10,"84","")</f>
        <v>84</v>
      </c>
      <c r="S203" s="155"/>
      <c r="T203" s="119" t="s">
        <v>37</v>
      </c>
    </row>
    <row r="204" spans="1:20" ht="12" customHeight="1" x14ac:dyDescent="0.3">
      <c r="A204" s="21">
        <v>9</v>
      </c>
      <c r="B204" s="19"/>
      <c r="C204" s="82" t="str">
        <f>DATA!J18</f>
        <v>Dinda Cahya Kirana</v>
      </c>
      <c r="D204" s="382">
        <v>50</v>
      </c>
      <c r="E204" s="43"/>
      <c r="F204" s="43"/>
      <c r="G204" s="43"/>
      <c r="H204" s="44"/>
      <c r="I204" s="122">
        <f t="shared" si="35"/>
        <v>50</v>
      </c>
      <c r="J204" s="123">
        <f t="shared" si="36"/>
        <v>50</v>
      </c>
      <c r="K204" s="21" t="str">
        <f t="shared" si="37"/>
        <v>tdk tuntas</v>
      </c>
      <c r="L204" s="210" t="str">
        <f t="shared" si="38"/>
        <v>81</v>
      </c>
      <c r="N204" s="24"/>
      <c r="O204" s="15"/>
      <c r="Q204" s="68" t="str">
        <f t="shared" si="39"/>
        <v>Dinda Cahya Kirana</v>
      </c>
      <c r="R204" s="21" t="str">
        <f>IF(I204&lt;$N$10,"88","")</f>
        <v>88</v>
      </c>
      <c r="S204" s="14"/>
      <c r="T204" s="15"/>
    </row>
    <row r="205" spans="1:20" ht="12" customHeight="1" x14ac:dyDescent="0.3">
      <c r="A205" s="21">
        <v>10</v>
      </c>
      <c r="B205" s="19"/>
      <c r="C205" s="82" t="str">
        <f>DATA!J19</f>
        <v>Farhan Safiy Devangga</v>
      </c>
      <c r="D205" s="382">
        <v>20</v>
      </c>
      <c r="E205" s="43"/>
      <c r="F205" s="43"/>
      <c r="G205" s="43"/>
      <c r="H205" s="44"/>
      <c r="I205" s="122">
        <f t="shared" si="35"/>
        <v>20</v>
      </c>
      <c r="J205" s="123">
        <f t="shared" si="36"/>
        <v>20</v>
      </c>
      <c r="K205" s="21" t="str">
        <f t="shared" si="37"/>
        <v>tdk tuntas</v>
      </c>
      <c r="L205" s="210" t="str">
        <f t="shared" si="38"/>
        <v>80</v>
      </c>
      <c r="M205" s="14"/>
      <c r="N205" s="24"/>
      <c r="O205" s="15"/>
      <c r="Q205" s="68" t="str">
        <f t="shared" si="39"/>
        <v>Farhan Safiy Devangga</v>
      </c>
      <c r="R205" s="21" t="str">
        <f t="shared" ref="R205:R210" si="40">IF(I205&lt;$N$10,"85","")</f>
        <v>85</v>
      </c>
      <c r="S205" s="14" t="s">
        <v>30</v>
      </c>
      <c r="T205" s="15"/>
    </row>
    <row r="206" spans="1:20" ht="12" customHeight="1" thickBot="1" x14ac:dyDescent="0.35">
      <c r="A206" s="21">
        <v>11</v>
      </c>
      <c r="B206" s="19"/>
      <c r="C206" s="82" t="str">
        <f>DATA!J20</f>
        <v>Herlin Eka Noviana</v>
      </c>
      <c r="D206" s="382">
        <v>30</v>
      </c>
      <c r="E206" s="43"/>
      <c r="F206" s="43"/>
      <c r="G206" s="43"/>
      <c r="H206" s="44"/>
      <c r="I206" s="122">
        <f t="shared" si="35"/>
        <v>30</v>
      </c>
      <c r="J206" s="123">
        <f t="shared" si="36"/>
        <v>30</v>
      </c>
      <c r="K206" s="21" t="str">
        <f t="shared" si="37"/>
        <v>tdk tuntas</v>
      </c>
      <c r="L206" s="210" t="str">
        <f t="shared" si="38"/>
        <v>80</v>
      </c>
      <c r="M206" s="14"/>
      <c r="N206" s="24"/>
      <c r="O206" s="15"/>
      <c r="Q206" s="68" t="str">
        <f t="shared" si="39"/>
        <v>Herlin Eka Noviana</v>
      </c>
      <c r="R206" s="21" t="str">
        <f t="shared" si="40"/>
        <v>85</v>
      </c>
      <c r="T206" s="15"/>
    </row>
    <row r="207" spans="1:20" ht="12" customHeight="1" thickTop="1" thickBot="1" x14ac:dyDescent="0.35">
      <c r="A207" s="21">
        <v>12</v>
      </c>
      <c r="B207" s="19"/>
      <c r="C207" s="82" t="str">
        <f>DATA!J21</f>
        <v>Irfan Al Khafidz</v>
      </c>
      <c r="D207" s="382">
        <v>40</v>
      </c>
      <c r="E207" s="43"/>
      <c r="F207" s="43"/>
      <c r="G207" s="43"/>
      <c r="H207" s="44"/>
      <c r="I207" s="122">
        <f t="shared" si="35"/>
        <v>40</v>
      </c>
      <c r="J207" s="123">
        <f t="shared" si="36"/>
        <v>40</v>
      </c>
      <c r="K207" s="21" t="str">
        <f t="shared" si="37"/>
        <v>tdk tuntas</v>
      </c>
      <c r="L207" s="210" t="str">
        <f t="shared" si="38"/>
        <v>81</v>
      </c>
      <c r="M207" s="14" t="s">
        <v>11</v>
      </c>
      <c r="N207" s="58">
        <f>K234</f>
        <v>30</v>
      </c>
      <c r="O207" s="15"/>
      <c r="Q207" s="68" t="str">
        <f t="shared" si="39"/>
        <v>Irfan Al Khafidz</v>
      </c>
      <c r="R207" s="21" t="str">
        <f t="shared" si="40"/>
        <v>85</v>
      </c>
      <c r="S207" s="158" t="s">
        <v>46</v>
      </c>
      <c r="T207" s="119" t="s">
        <v>31</v>
      </c>
    </row>
    <row r="208" spans="1:20" ht="12" customHeight="1" thickTop="1" thickBot="1" x14ac:dyDescent="0.35">
      <c r="A208" s="21">
        <v>13</v>
      </c>
      <c r="B208" s="19"/>
      <c r="C208" s="82" t="str">
        <f>DATA!J22</f>
        <v>Mafaza Ayatussyifa</v>
      </c>
      <c r="D208" s="382">
        <v>45</v>
      </c>
      <c r="E208" s="43"/>
      <c r="F208" s="43"/>
      <c r="G208" s="43"/>
      <c r="H208" s="44"/>
      <c r="I208" s="122">
        <f t="shared" si="35"/>
        <v>45</v>
      </c>
      <c r="J208" s="123">
        <f t="shared" si="36"/>
        <v>45</v>
      </c>
      <c r="K208" s="21" t="str">
        <f t="shared" si="37"/>
        <v>tdk tuntas</v>
      </c>
      <c r="L208" s="210" t="str">
        <f t="shared" si="38"/>
        <v>81</v>
      </c>
      <c r="M208" s="14" t="s">
        <v>12</v>
      </c>
      <c r="N208" s="58">
        <f>K232</f>
        <v>0</v>
      </c>
      <c r="O208" s="15"/>
      <c r="Q208" s="68" t="str">
        <f t="shared" si="39"/>
        <v>Mafaza Ayatussyifa</v>
      </c>
      <c r="R208" s="21" t="str">
        <f t="shared" si="40"/>
        <v>85</v>
      </c>
      <c r="S208" s="155"/>
      <c r="T208" s="119" t="s">
        <v>32</v>
      </c>
    </row>
    <row r="209" spans="1:20" ht="12" customHeight="1" thickTop="1" thickBot="1" x14ac:dyDescent="0.35">
      <c r="A209" s="21">
        <v>14</v>
      </c>
      <c r="B209" s="19"/>
      <c r="C209" s="82" t="str">
        <f>DATA!J23</f>
        <v>Mirzanatun Kuni Afifah</v>
      </c>
      <c r="D209" s="382">
        <v>35</v>
      </c>
      <c r="E209" s="43"/>
      <c r="F209" s="43"/>
      <c r="G209" s="43"/>
      <c r="H209" s="44"/>
      <c r="I209" s="122">
        <f t="shared" si="35"/>
        <v>35</v>
      </c>
      <c r="J209" s="123">
        <f t="shared" si="36"/>
        <v>35</v>
      </c>
      <c r="K209" s="21" t="str">
        <f t="shared" si="37"/>
        <v>tdk tuntas</v>
      </c>
      <c r="L209" s="210" t="str">
        <f t="shared" si="38"/>
        <v>80</v>
      </c>
      <c r="M209" s="14" t="s">
        <v>13</v>
      </c>
      <c r="N209" s="58">
        <f>N208/N207*100</f>
        <v>0</v>
      </c>
      <c r="O209" s="15" t="s">
        <v>4</v>
      </c>
      <c r="Q209" s="68" t="str">
        <f t="shared" si="39"/>
        <v>Mirzanatun Kuni Afifah</v>
      </c>
      <c r="R209" s="21" t="str">
        <f t="shared" si="40"/>
        <v>85</v>
      </c>
      <c r="S209" s="62"/>
      <c r="T209" s="15" t="s">
        <v>33</v>
      </c>
    </row>
    <row r="210" spans="1:20" ht="12" customHeight="1" thickTop="1" x14ac:dyDescent="0.3">
      <c r="A210" s="21">
        <v>15</v>
      </c>
      <c r="B210" s="19"/>
      <c r="C210" s="82" t="str">
        <f>DATA!J24</f>
        <v>Muhammad Adil Chizqi Azwan</v>
      </c>
      <c r="D210" s="382">
        <v>30</v>
      </c>
      <c r="E210" s="43"/>
      <c r="F210" s="43"/>
      <c r="G210" s="43"/>
      <c r="H210" s="44"/>
      <c r="I210" s="122">
        <f t="shared" si="35"/>
        <v>30</v>
      </c>
      <c r="J210" s="123">
        <f t="shared" si="36"/>
        <v>30</v>
      </c>
      <c r="K210" s="21" t="str">
        <f t="shared" si="37"/>
        <v>tdk tuntas</v>
      </c>
      <c r="L210" s="210" t="str">
        <f t="shared" si="38"/>
        <v>80</v>
      </c>
      <c r="M210" s="14"/>
      <c r="N210" s="24"/>
      <c r="O210" s="15"/>
      <c r="Q210" s="68" t="str">
        <f t="shared" si="39"/>
        <v>Muhammad Adil Chizqi Azwan</v>
      </c>
      <c r="R210" s="21" t="str">
        <f t="shared" si="40"/>
        <v>85</v>
      </c>
      <c r="S210" s="14"/>
      <c r="T210" s="15" t="s">
        <v>34</v>
      </c>
    </row>
    <row r="211" spans="1:20" ht="12" customHeight="1" x14ac:dyDescent="0.3">
      <c r="A211" s="21">
        <v>16</v>
      </c>
      <c r="B211" s="19"/>
      <c r="C211" s="82" t="str">
        <f>DATA!J25</f>
        <v>Muhammad Alif Aditya Hartafi</v>
      </c>
      <c r="D211" s="382">
        <v>30</v>
      </c>
      <c r="E211" s="43"/>
      <c r="F211" s="43"/>
      <c r="G211" s="43"/>
      <c r="H211" s="44"/>
      <c r="I211" s="122">
        <f t="shared" si="35"/>
        <v>30</v>
      </c>
      <c r="J211" s="123">
        <f t="shared" si="36"/>
        <v>30</v>
      </c>
      <c r="K211" s="21" t="str">
        <f t="shared" si="37"/>
        <v>tdk tuntas</v>
      </c>
      <c r="L211" s="210" t="str">
        <f t="shared" si="38"/>
        <v>80</v>
      </c>
      <c r="M211" s="14" t="s">
        <v>52</v>
      </c>
      <c r="N211" s="24"/>
      <c r="O211" s="15"/>
      <c r="Q211" s="68" t="str">
        <f t="shared" si="39"/>
        <v>Muhammad Alif Aditya Hartafi</v>
      </c>
      <c r="R211" s="21" t="str">
        <f>IF(I211&lt;$N$10,"84","")</f>
        <v>84</v>
      </c>
      <c r="S211" s="14"/>
      <c r="T211" s="15"/>
    </row>
    <row r="212" spans="1:20" ht="12" customHeight="1" x14ac:dyDescent="0.3">
      <c r="A212" s="21">
        <v>17</v>
      </c>
      <c r="B212" s="19"/>
      <c r="C212" s="82" t="str">
        <f>DATA!J26</f>
        <v>Muhammad Azid Syaifurridho</v>
      </c>
      <c r="D212" s="382">
        <v>10</v>
      </c>
      <c r="E212" s="43"/>
      <c r="F212" s="43"/>
      <c r="G212" s="43"/>
      <c r="H212" s="44"/>
      <c r="I212" s="122">
        <f t="shared" si="35"/>
        <v>10</v>
      </c>
      <c r="J212" s="123">
        <f t="shared" si="36"/>
        <v>10</v>
      </c>
      <c r="K212" s="21" t="str">
        <f t="shared" si="37"/>
        <v>tdk tuntas</v>
      </c>
      <c r="L212" s="210" t="str">
        <f t="shared" si="38"/>
        <v>80</v>
      </c>
      <c r="N212" s="24"/>
      <c r="O212" s="15"/>
      <c r="Q212" s="68" t="str">
        <f t="shared" si="39"/>
        <v>Muhammad Azid Syaifurridho</v>
      </c>
      <c r="R212" s="21" t="str">
        <f t="shared" ref="R212:R218" si="41">IF(I212&lt;$N$10,"82","")</f>
        <v>82</v>
      </c>
      <c r="S212" s="14"/>
      <c r="T212" s="63" t="s">
        <v>41</v>
      </c>
    </row>
    <row r="213" spans="1:20" ht="12" customHeight="1" x14ac:dyDescent="0.3">
      <c r="A213" s="21">
        <v>18</v>
      </c>
      <c r="B213" s="19"/>
      <c r="C213" s="82" t="str">
        <f>DATA!J27</f>
        <v>Muhammad Hayqal Al Farizzi</v>
      </c>
      <c r="D213" s="382">
        <v>40</v>
      </c>
      <c r="E213" s="43"/>
      <c r="F213" s="43"/>
      <c r="G213" s="43"/>
      <c r="H213" s="44"/>
      <c r="I213" s="122">
        <f t="shared" si="35"/>
        <v>40</v>
      </c>
      <c r="J213" s="123">
        <f t="shared" si="36"/>
        <v>40</v>
      </c>
      <c r="K213" s="21" t="str">
        <f t="shared" si="37"/>
        <v>tdk tuntas</v>
      </c>
      <c r="L213" s="210" t="str">
        <f t="shared" si="38"/>
        <v>81</v>
      </c>
      <c r="M213" s="14"/>
      <c r="N213" s="24"/>
      <c r="O213" s="15"/>
      <c r="Q213" s="68" t="str">
        <f t="shared" si="39"/>
        <v>Muhammad Hayqal Al Farizzi</v>
      </c>
      <c r="R213" s="21" t="str">
        <f t="shared" si="41"/>
        <v>82</v>
      </c>
      <c r="S213" s="14"/>
      <c r="T213" s="63"/>
    </row>
    <row r="214" spans="1:20" ht="12" customHeight="1" x14ac:dyDescent="0.3">
      <c r="A214" s="21">
        <v>19</v>
      </c>
      <c r="B214" s="19"/>
      <c r="C214" s="82" t="str">
        <f>DATA!J28</f>
        <v>Muhammad Shobar Shodiq</v>
      </c>
      <c r="D214" s="382">
        <v>30</v>
      </c>
      <c r="E214" s="43"/>
      <c r="F214" s="43"/>
      <c r="G214" s="43"/>
      <c r="H214" s="44"/>
      <c r="I214" s="122">
        <f t="shared" si="35"/>
        <v>30</v>
      </c>
      <c r="J214" s="123">
        <f t="shared" si="36"/>
        <v>30</v>
      </c>
      <c r="K214" s="21" t="str">
        <f t="shared" si="37"/>
        <v>tdk tuntas</v>
      </c>
      <c r="L214" s="210" t="str">
        <f t="shared" si="38"/>
        <v>80</v>
      </c>
      <c r="M214" s="14"/>
      <c r="N214" s="24"/>
      <c r="O214" s="15"/>
      <c r="Q214" s="68" t="str">
        <f t="shared" si="39"/>
        <v>Muhammad Shobar Shodiq</v>
      </c>
      <c r="R214" s="21" t="str">
        <f t="shared" si="41"/>
        <v>82</v>
      </c>
      <c r="S214" s="14"/>
      <c r="T214" s="63"/>
    </row>
    <row r="215" spans="1:20" ht="12" customHeight="1" x14ac:dyDescent="0.3">
      <c r="A215" s="21">
        <v>20</v>
      </c>
      <c r="B215" s="19"/>
      <c r="C215" s="82" t="str">
        <f>DATA!J29</f>
        <v>Nabila Putri Noor Maulidhanti</v>
      </c>
      <c r="D215" s="382">
        <v>40</v>
      </c>
      <c r="E215" s="43"/>
      <c r="F215" s="43"/>
      <c r="G215" s="43"/>
      <c r="H215" s="44"/>
      <c r="I215" s="122">
        <f>SUM(D215:H215)</f>
        <v>40</v>
      </c>
      <c r="J215" s="123">
        <f>I215</f>
        <v>40</v>
      </c>
      <c r="K215" s="21" t="str">
        <f>IF(J215&lt;$N$10,"tdk tuntas","tuntas")</f>
        <v>tdk tuntas</v>
      </c>
      <c r="L215" s="210" t="str">
        <f t="shared" si="38"/>
        <v>81</v>
      </c>
      <c r="M215" s="14" t="s">
        <v>53</v>
      </c>
      <c r="N215" s="78">
        <f>I232</f>
        <v>1090</v>
      </c>
      <c r="O215" s="15"/>
      <c r="Q215" s="68" t="str">
        <f t="shared" si="39"/>
        <v>Nabila Putri Noor Maulidhanti</v>
      </c>
      <c r="R215" s="21" t="str">
        <f t="shared" si="41"/>
        <v>82</v>
      </c>
      <c r="S215" s="14"/>
      <c r="T215" s="63"/>
    </row>
    <row r="216" spans="1:20" ht="12" customHeight="1" x14ac:dyDescent="0.3">
      <c r="A216" s="21">
        <v>21</v>
      </c>
      <c r="B216" s="19"/>
      <c r="C216" s="82" t="str">
        <f>DATA!J30</f>
        <v>Naila Faizatis Syifa</v>
      </c>
      <c r="D216" s="382">
        <v>30</v>
      </c>
      <c r="E216" s="43"/>
      <c r="F216" s="43"/>
      <c r="G216" s="43"/>
      <c r="H216" s="44"/>
      <c r="I216" s="338">
        <f t="shared" si="35"/>
        <v>30</v>
      </c>
      <c r="J216" s="339">
        <f t="shared" si="36"/>
        <v>30</v>
      </c>
      <c r="K216" s="185" t="str">
        <f t="shared" si="37"/>
        <v>tdk tuntas</v>
      </c>
      <c r="L216" s="210" t="str">
        <f t="shared" si="38"/>
        <v>80</v>
      </c>
      <c r="M216" s="14" t="s">
        <v>54</v>
      </c>
      <c r="N216" s="78">
        <f>I233</f>
        <v>3000</v>
      </c>
      <c r="O216" s="15"/>
      <c r="Q216" s="68" t="str">
        <f t="shared" si="39"/>
        <v>Naila Faizatis Syifa</v>
      </c>
      <c r="R216" s="21" t="str">
        <f t="shared" si="41"/>
        <v>82</v>
      </c>
      <c r="S216" s="14"/>
      <c r="T216" s="63" t="str">
        <f>T75</f>
        <v>KASMIN, S.Pd</v>
      </c>
    </row>
    <row r="217" spans="1:20" ht="12" customHeight="1" x14ac:dyDescent="0.3">
      <c r="A217" s="21">
        <v>22</v>
      </c>
      <c r="B217" s="19"/>
      <c r="C217" s="82" t="str">
        <f>DATA!J31</f>
        <v>Nur Hijrah Maudhina</v>
      </c>
      <c r="D217" s="382">
        <v>30</v>
      </c>
      <c r="E217" s="43"/>
      <c r="F217" s="43"/>
      <c r="G217" s="43"/>
      <c r="H217" s="44"/>
      <c r="I217" s="338">
        <f t="shared" si="35"/>
        <v>30</v>
      </c>
      <c r="J217" s="339">
        <f t="shared" si="36"/>
        <v>30</v>
      </c>
      <c r="K217" s="185" t="str">
        <f t="shared" si="37"/>
        <v>tdk tuntas</v>
      </c>
      <c r="L217" s="210" t="str">
        <f t="shared" si="38"/>
        <v>80</v>
      </c>
      <c r="M217" s="14" t="s">
        <v>13</v>
      </c>
      <c r="N217" s="84">
        <f>N215/N216*100</f>
        <v>36.333333333333336</v>
      </c>
      <c r="O217" s="79" t="s">
        <v>4</v>
      </c>
      <c r="Q217" s="68" t="str">
        <f t="shared" si="39"/>
        <v>Nur Hijrah Maudhina</v>
      </c>
      <c r="R217" s="21" t="str">
        <f t="shared" si="41"/>
        <v>82</v>
      </c>
      <c r="S217" s="14"/>
      <c r="T217" s="83" t="str">
        <f>T76</f>
        <v>NIP : 196609141990031007</v>
      </c>
    </row>
    <row r="218" spans="1:20" ht="12" customHeight="1" x14ac:dyDescent="0.3">
      <c r="A218" s="21">
        <v>23</v>
      </c>
      <c r="B218" s="19"/>
      <c r="C218" s="82" t="str">
        <f>DATA!J32</f>
        <v>Ozil Azzariat</v>
      </c>
      <c r="D218" s="382">
        <v>30</v>
      </c>
      <c r="E218" s="43"/>
      <c r="F218" s="43"/>
      <c r="G218" s="43"/>
      <c r="H218" s="44"/>
      <c r="I218" s="338">
        <f t="shared" si="35"/>
        <v>30</v>
      </c>
      <c r="J218" s="339">
        <f t="shared" si="36"/>
        <v>30</v>
      </c>
      <c r="K218" s="185" t="str">
        <f t="shared" si="37"/>
        <v>tdk tuntas</v>
      </c>
      <c r="L218" s="210" t="str">
        <f t="shared" si="38"/>
        <v>80</v>
      </c>
      <c r="M218" s="14"/>
      <c r="N218" s="24"/>
      <c r="O218" s="15"/>
      <c r="Q218" s="68" t="str">
        <f t="shared" si="39"/>
        <v>Ozil Azzariat</v>
      </c>
      <c r="R218" s="21" t="str">
        <f t="shared" si="41"/>
        <v>82</v>
      </c>
      <c r="S218" s="14"/>
      <c r="T218" s="15"/>
    </row>
    <row r="219" spans="1:20" ht="12" customHeight="1" x14ac:dyDescent="0.3">
      <c r="A219" s="21">
        <v>24</v>
      </c>
      <c r="B219" s="19"/>
      <c r="C219" s="82" t="str">
        <f>DATA!J33</f>
        <v>Pranata Diaz Saputra</v>
      </c>
      <c r="D219" s="382">
        <v>30</v>
      </c>
      <c r="E219" s="43"/>
      <c r="F219" s="43"/>
      <c r="G219" s="43"/>
      <c r="H219" s="44"/>
      <c r="I219" s="338">
        <f t="shared" si="35"/>
        <v>30</v>
      </c>
      <c r="J219" s="339">
        <f t="shared" si="36"/>
        <v>30</v>
      </c>
      <c r="K219" s="185" t="str">
        <f t="shared" si="37"/>
        <v>tdk tuntas</v>
      </c>
      <c r="L219" s="210" t="str">
        <f t="shared" si="38"/>
        <v>80</v>
      </c>
      <c r="M219" s="14"/>
      <c r="N219" s="24"/>
      <c r="O219" s="15"/>
      <c r="Q219" s="68" t="str">
        <f t="shared" si="39"/>
        <v>Pranata Diaz Saputra</v>
      </c>
      <c r="R219" s="21" t="str">
        <f>IF(I219&lt;$N$10,"85","")</f>
        <v>85</v>
      </c>
      <c r="S219" s="14"/>
      <c r="T219" s="63" t="s">
        <v>42</v>
      </c>
    </row>
    <row r="220" spans="1:20" ht="12" customHeight="1" x14ac:dyDescent="0.3">
      <c r="A220" s="21">
        <v>25</v>
      </c>
      <c r="B220" s="19"/>
      <c r="C220" s="82" t="str">
        <f>DATA!J34</f>
        <v>Rafki Bais Abimanyu</v>
      </c>
      <c r="D220" s="382">
        <v>60</v>
      </c>
      <c r="E220" s="43"/>
      <c r="F220" s="43"/>
      <c r="G220" s="43"/>
      <c r="H220" s="44"/>
      <c r="I220" s="338">
        <f t="shared" si="35"/>
        <v>60</v>
      </c>
      <c r="J220" s="339">
        <f t="shared" si="36"/>
        <v>60</v>
      </c>
      <c r="K220" s="185" t="str">
        <f t="shared" si="37"/>
        <v>tdk tuntas</v>
      </c>
      <c r="L220" s="210" t="str">
        <f t="shared" si="38"/>
        <v>82</v>
      </c>
      <c r="M220" s="14" t="s">
        <v>14</v>
      </c>
      <c r="N220" s="24"/>
      <c r="O220" s="15"/>
      <c r="Q220" s="68" t="str">
        <f t="shared" si="39"/>
        <v>Rafki Bais Abimanyu</v>
      </c>
      <c r="R220" s="21" t="str">
        <f>IF(I220&lt;$N$10,"81","")</f>
        <v>81</v>
      </c>
      <c r="S220" s="14"/>
      <c r="T220" s="63"/>
    </row>
    <row r="221" spans="1:20" ht="12" customHeight="1" x14ac:dyDescent="0.3">
      <c r="A221" s="21">
        <v>26</v>
      </c>
      <c r="B221" s="19"/>
      <c r="C221" s="82" t="str">
        <f>DATA!J35</f>
        <v>Risma Liana Gita Pratiwi</v>
      </c>
      <c r="D221" s="382">
        <v>70</v>
      </c>
      <c r="E221" s="43"/>
      <c r="F221" s="43"/>
      <c r="G221" s="43"/>
      <c r="H221" s="44"/>
      <c r="I221" s="338">
        <f t="shared" si="35"/>
        <v>70</v>
      </c>
      <c r="J221" s="339">
        <f t="shared" si="36"/>
        <v>70</v>
      </c>
      <c r="K221" s="185" t="str">
        <f t="shared" si="37"/>
        <v>tdk tuntas</v>
      </c>
      <c r="L221" s="210" t="str">
        <f t="shared" si="38"/>
        <v>83</v>
      </c>
      <c r="M221" s="14" t="s">
        <v>15</v>
      </c>
      <c r="N221" s="24"/>
      <c r="O221" s="15"/>
      <c r="Q221" s="68" t="str">
        <f t="shared" si="39"/>
        <v>Risma Liana Gita Pratiwi</v>
      </c>
      <c r="R221" s="21" t="str">
        <f>IF(I221&lt;$N$10,"82","")</f>
        <v>82</v>
      </c>
      <c r="S221" s="14"/>
      <c r="T221" s="63"/>
    </row>
    <row r="222" spans="1:20" ht="12" customHeight="1" x14ac:dyDescent="0.3">
      <c r="A222" s="21">
        <v>27</v>
      </c>
      <c r="B222" s="19"/>
      <c r="C222" s="82" t="str">
        <f>DATA!J36</f>
        <v>Rizky Bagoes Sasongko</v>
      </c>
      <c r="D222" s="382">
        <v>30</v>
      </c>
      <c r="E222" s="43"/>
      <c r="F222" s="43"/>
      <c r="G222" s="43"/>
      <c r="H222" s="44"/>
      <c r="I222" s="338">
        <f t="shared" si="35"/>
        <v>30</v>
      </c>
      <c r="J222" s="339">
        <f t="shared" si="36"/>
        <v>30</v>
      </c>
      <c r="K222" s="185" t="str">
        <f t="shared" si="37"/>
        <v>tdk tuntas</v>
      </c>
      <c r="L222" s="210" t="str">
        <f t="shared" si="38"/>
        <v>80</v>
      </c>
      <c r="M222" s="155" t="s">
        <v>80</v>
      </c>
      <c r="N222" s="24"/>
      <c r="O222" s="15"/>
      <c r="Q222" s="68" t="str">
        <f t="shared" si="39"/>
        <v>Rizky Bagoes Sasongko</v>
      </c>
      <c r="R222" s="21" t="str">
        <f>IF(I222&lt;$N$10,"82","")</f>
        <v>82</v>
      </c>
      <c r="S222" s="14"/>
      <c r="T222" s="63"/>
    </row>
    <row r="223" spans="1:20" ht="12" customHeight="1" x14ac:dyDescent="0.3">
      <c r="A223" s="21">
        <v>28</v>
      </c>
      <c r="B223" s="19"/>
      <c r="C223" s="82" t="str">
        <f>DATA!J37</f>
        <v>Thalita Nava Ailsanti</v>
      </c>
      <c r="D223" s="382">
        <v>30</v>
      </c>
      <c r="E223" s="43"/>
      <c r="F223" s="43"/>
      <c r="G223" s="43"/>
      <c r="H223" s="44"/>
      <c r="I223" s="338">
        <f t="shared" si="35"/>
        <v>30</v>
      </c>
      <c r="J223" s="339">
        <f t="shared" si="36"/>
        <v>30</v>
      </c>
      <c r="K223" s="185" t="str">
        <f t="shared" si="37"/>
        <v>tdk tuntas</v>
      </c>
      <c r="L223" s="210" t="str">
        <f t="shared" si="38"/>
        <v>80</v>
      </c>
      <c r="M223" s="14"/>
      <c r="N223" s="24"/>
      <c r="O223" s="15"/>
      <c r="Q223" s="68" t="str">
        <f t="shared" si="39"/>
        <v>Thalita Nava Ailsanti</v>
      </c>
      <c r="R223" s="21" t="str">
        <f>IF(I223&lt;$N$10,"81","")</f>
        <v>81</v>
      </c>
      <c r="S223" s="14"/>
      <c r="T223" s="63"/>
    </row>
    <row r="224" spans="1:20" ht="12" customHeight="1" x14ac:dyDescent="0.3">
      <c r="A224" s="21">
        <v>29</v>
      </c>
      <c r="B224" s="19"/>
      <c r="C224" s="82" t="str">
        <f>DATA!J38</f>
        <v>Wahid Sulistiyo</v>
      </c>
      <c r="D224" s="382">
        <v>45</v>
      </c>
      <c r="E224" s="43"/>
      <c r="F224" s="43"/>
      <c r="G224" s="43"/>
      <c r="H224" s="44"/>
      <c r="I224" s="338">
        <f t="shared" si="35"/>
        <v>45</v>
      </c>
      <c r="J224" s="339">
        <f t="shared" si="36"/>
        <v>45</v>
      </c>
      <c r="K224" s="185" t="str">
        <f t="shared" si="37"/>
        <v>tdk tuntas</v>
      </c>
      <c r="L224" s="210" t="str">
        <f t="shared" si="38"/>
        <v>81</v>
      </c>
      <c r="M224" s="14"/>
      <c r="N224" s="24"/>
      <c r="O224" s="15"/>
      <c r="Q224" s="68" t="str">
        <f t="shared" si="39"/>
        <v>Wahid Sulistiyo</v>
      </c>
      <c r="R224" s="21" t="str">
        <f>IF(I224&lt;$N$10,"85","")</f>
        <v>85</v>
      </c>
      <c r="S224" s="14"/>
      <c r="T224" s="63"/>
    </row>
    <row r="225" spans="1:20" ht="12" customHeight="1" x14ac:dyDescent="0.3">
      <c r="A225" s="21">
        <v>30</v>
      </c>
      <c r="B225" s="19"/>
      <c r="C225" s="82" t="str">
        <f>DATA!J39</f>
        <v>Yanuar Putra Akbar</v>
      </c>
      <c r="D225" s="382">
        <v>30</v>
      </c>
      <c r="E225" s="43"/>
      <c r="F225" s="43"/>
      <c r="G225" s="43"/>
      <c r="H225" s="44"/>
      <c r="I225" s="338">
        <f t="shared" si="35"/>
        <v>30</v>
      </c>
      <c r="J225" s="339">
        <f t="shared" si="36"/>
        <v>30</v>
      </c>
      <c r="K225" s="185" t="str">
        <f t="shared" si="37"/>
        <v>tdk tuntas</v>
      </c>
      <c r="L225" s="210" t="str">
        <f t="shared" si="38"/>
        <v>80</v>
      </c>
      <c r="M225" s="14"/>
      <c r="N225" s="24"/>
      <c r="O225" s="15"/>
      <c r="Q225" s="68" t="str">
        <f t="shared" si="39"/>
        <v>Yanuar Putra Akbar</v>
      </c>
      <c r="R225" s="21" t="str">
        <f>IF(I225&lt;$N$10,"84","")</f>
        <v>84</v>
      </c>
      <c r="S225" s="14"/>
      <c r="T225" s="195" t="str">
        <f>T84</f>
        <v>Dra. BAROKAH GUNIARTI</v>
      </c>
    </row>
    <row r="226" spans="1:20" ht="12" customHeight="1" x14ac:dyDescent="0.25">
      <c r="A226" s="21">
        <v>31</v>
      </c>
      <c r="B226" s="19"/>
      <c r="C226" s="82"/>
      <c r="D226" s="134"/>
      <c r="E226" s="43"/>
      <c r="F226" s="43"/>
      <c r="G226" s="43"/>
      <c r="H226" s="44"/>
      <c r="I226" s="338"/>
      <c r="J226" s="339"/>
      <c r="K226" s="185"/>
      <c r="L226" s="210"/>
      <c r="M226" s="14" t="s">
        <v>56</v>
      </c>
      <c r="N226" s="24"/>
      <c r="O226" s="15"/>
      <c r="Q226" s="68">
        <f t="shared" si="39"/>
        <v>0</v>
      </c>
      <c r="R226" s="21" t="str">
        <f>IF(I226&lt;$N$10,"84","")</f>
        <v>84</v>
      </c>
      <c r="S226" s="14"/>
      <c r="T226" s="196" t="str">
        <f>T85</f>
        <v>NIP : 196901081996122004</v>
      </c>
    </row>
    <row r="227" spans="1:20" ht="12" customHeight="1" x14ac:dyDescent="0.25">
      <c r="A227" s="21">
        <v>32</v>
      </c>
      <c r="B227" s="19"/>
      <c r="C227" s="82"/>
      <c r="D227" s="248"/>
      <c r="E227" s="43"/>
      <c r="F227" s="43"/>
      <c r="G227" s="43"/>
      <c r="H227" s="44"/>
      <c r="I227" s="338"/>
      <c r="J227" s="339"/>
      <c r="K227" s="185"/>
      <c r="L227" s="210"/>
      <c r="M227" s="14"/>
      <c r="N227" s="24"/>
      <c r="O227" s="15"/>
      <c r="Q227" s="68">
        <f t="shared" si="39"/>
        <v>0</v>
      </c>
      <c r="R227" s="21"/>
      <c r="S227" s="14"/>
      <c r="T227" s="15"/>
    </row>
    <row r="228" spans="1:20" ht="12" customHeight="1" x14ac:dyDescent="0.25">
      <c r="A228" s="21">
        <v>33</v>
      </c>
      <c r="B228" s="19"/>
      <c r="C228" s="82"/>
      <c r="D228" s="42" t="s">
        <v>63</v>
      </c>
      <c r="E228" s="43"/>
      <c r="F228" s="43"/>
      <c r="G228" s="43"/>
      <c r="H228" s="44"/>
      <c r="I228" s="122"/>
      <c r="J228" s="123"/>
      <c r="K228" s="21"/>
      <c r="L228" s="135"/>
      <c r="M228" s="14" t="s">
        <v>16</v>
      </c>
      <c r="N228" s="24"/>
      <c r="O228" s="15"/>
      <c r="Q228" s="68">
        <f t="shared" si="39"/>
        <v>0</v>
      </c>
      <c r="R228" s="21"/>
      <c r="S228" s="14"/>
      <c r="T228" s="15"/>
    </row>
    <row r="229" spans="1:20" ht="12" customHeight="1" x14ac:dyDescent="0.25">
      <c r="A229" s="21">
        <v>34</v>
      </c>
      <c r="B229" s="19"/>
      <c r="C229" s="82"/>
      <c r="D229" s="42" t="s">
        <v>63</v>
      </c>
      <c r="E229" s="43"/>
      <c r="F229" s="43"/>
      <c r="G229" s="43"/>
      <c r="H229" s="44"/>
      <c r="I229" s="122"/>
      <c r="J229" s="123"/>
      <c r="K229" s="21"/>
      <c r="L229" s="135"/>
      <c r="M229" s="14" t="s">
        <v>59</v>
      </c>
      <c r="N229" s="24"/>
      <c r="O229" s="15"/>
      <c r="Q229" s="68"/>
      <c r="R229" s="21"/>
      <c r="S229" s="14"/>
      <c r="T229" s="15"/>
    </row>
    <row r="230" spans="1:20" ht="12" customHeight="1" x14ac:dyDescent="0.25">
      <c r="A230" s="21">
        <v>35</v>
      </c>
      <c r="B230" s="22"/>
      <c r="C230" s="162"/>
      <c r="D230" s="136" t="s">
        <v>63</v>
      </c>
      <c r="E230" s="137"/>
      <c r="F230" s="137"/>
      <c r="G230" s="137"/>
      <c r="H230" s="138"/>
      <c r="I230" s="122"/>
      <c r="J230" s="123"/>
      <c r="K230" s="21"/>
      <c r="L230" s="139"/>
      <c r="M230" s="14" t="s">
        <v>23</v>
      </c>
      <c r="N230" s="24"/>
      <c r="O230" s="15"/>
      <c r="Q230" s="68"/>
      <c r="R230" s="21"/>
      <c r="S230" s="16"/>
      <c r="T230" s="17"/>
    </row>
    <row r="231" spans="1:20" ht="12" customHeight="1" x14ac:dyDescent="0.25">
      <c r="A231" s="101" t="s">
        <v>64</v>
      </c>
      <c r="B231" s="96"/>
      <c r="C231" s="97"/>
      <c r="D231" s="93"/>
      <c r="E231" s="94"/>
      <c r="F231" s="94"/>
      <c r="G231" s="94"/>
      <c r="H231" s="95"/>
      <c r="I231" s="98">
        <f>AVERAGE(I196:I230)</f>
        <v>36.333333333333336</v>
      </c>
      <c r="J231" s="74"/>
      <c r="K231" s="47"/>
      <c r="L231" s="65"/>
      <c r="M231" s="14"/>
      <c r="N231" s="24"/>
      <c r="O231" s="15"/>
      <c r="Q231" s="60"/>
      <c r="R231" s="471" t="str">
        <f>C192</f>
        <v>9E</v>
      </c>
      <c r="S231" s="471"/>
      <c r="T231" s="61"/>
    </row>
    <row r="232" spans="1:20" ht="12" customHeight="1" x14ac:dyDescent="0.25">
      <c r="A232" s="14" t="s">
        <v>17</v>
      </c>
      <c r="B232" s="24"/>
      <c r="C232" s="15"/>
      <c r="D232" s="42">
        <f>SUM(D196:D230)</f>
        <v>1090</v>
      </c>
      <c r="E232" s="43">
        <f>SUM(E196:E230)</f>
        <v>0</v>
      </c>
      <c r="F232" s="43">
        <f>SUM(F196:F230)</f>
        <v>0</v>
      </c>
      <c r="G232" s="43">
        <f>SUM(G196:G230)</f>
        <v>0</v>
      </c>
      <c r="H232" s="44">
        <f>SUM(H196:H230)</f>
        <v>0</v>
      </c>
      <c r="I232" s="80">
        <f>SUM(D232:H232)</f>
        <v>1090</v>
      </c>
      <c r="J232" s="85" t="s">
        <v>49</v>
      </c>
      <c r="K232" s="48">
        <f>COUNTIF(K196:K230,J232)</f>
        <v>0</v>
      </c>
      <c r="L232" s="64"/>
      <c r="M232" s="14"/>
      <c r="N232" s="24"/>
      <c r="O232" s="15"/>
      <c r="Q232" s="30"/>
      <c r="R232" s="472"/>
      <c r="S232" s="472"/>
      <c r="T232" s="31"/>
    </row>
    <row r="233" spans="1:20" ht="12" customHeight="1" x14ac:dyDescent="0.25">
      <c r="A233" s="14" t="s">
        <v>18</v>
      </c>
      <c r="B233" s="24"/>
      <c r="C233" s="15"/>
      <c r="D233" s="42">
        <f>D194*K234</f>
        <v>600</v>
      </c>
      <c r="E233" s="42">
        <f>E194*K234</f>
        <v>600</v>
      </c>
      <c r="F233" s="42">
        <f>F194*K234</f>
        <v>900</v>
      </c>
      <c r="G233" s="42">
        <f>G194*K234</f>
        <v>900</v>
      </c>
      <c r="H233" s="42">
        <f>H194*K234</f>
        <v>0</v>
      </c>
      <c r="I233" s="80">
        <f>SUM(D233:H233)</f>
        <v>3000</v>
      </c>
      <c r="J233" s="86" t="s">
        <v>50</v>
      </c>
      <c r="K233" s="48">
        <f>COUNTIF(K196:K230,J233)</f>
        <v>30</v>
      </c>
      <c r="L233" s="64"/>
      <c r="M233" s="14"/>
      <c r="N233" s="24"/>
      <c r="O233" s="15"/>
      <c r="Q233" s="30"/>
      <c r="R233" s="472"/>
      <c r="S233" s="472"/>
      <c r="T233" s="31"/>
    </row>
    <row r="234" spans="1:20" ht="12" customHeight="1" x14ac:dyDescent="0.25">
      <c r="A234" s="26" t="s">
        <v>19</v>
      </c>
      <c r="B234" s="27"/>
      <c r="C234" s="28"/>
      <c r="D234" s="136">
        <f t="shared" ref="D234:I234" si="42">D232/D233*100</f>
        <v>181.66666666666666</v>
      </c>
      <c r="E234" s="136">
        <f t="shared" si="42"/>
        <v>0</v>
      </c>
      <c r="F234" s="136">
        <f t="shared" si="42"/>
        <v>0</v>
      </c>
      <c r="G234" s="136">
        <f t="shared" si="42"/>
        <v>0</v>
      </c>
      <c r="H234" s="136" t="e">
        <f t="shared" si="42"/>
        <v>#DIV/0!</v>
      </c>
      <c r="I234" s="50">
        <f t="shared" si="42"/>
        <v>36.333333333333336</v>
      </c>
      <c r="J234" s="75" t="s">
        <v>57</v>
      </c>
      <c r="K234" s="49">
        <f>SUM(K232:K233)</f>
        <v>30</v>
      </c>
      <c r="L234" s="66"/>
      <c r="M234" s="16"/>
      <c r="N234" s="25"/>
      <c r="O234" s="17"/>
      <c r="Q234" s="8"/>
      <c r="R234" s="473"/>
      <c r="S234" s="473"/>
      <c r="T234" s="9"/>
    </row>
    <row r="235" spans="1:20" ht="12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1:20" ht="12" customHeight="1" x14ac:dyDescent="0.25">
      <c r="A236" s="456" t="str">
        <f>'UH1'!A236</f>
        <v>ANALISA HASIL PH MATEMATIKA KLS IX  SMT GENAP</v>
      </c>
      <c r="B236" s="457"/>
      <c r="C236" s="457"/>
      <c r="D236" s="457"/>
      <c r="E236" s="457"/>
      <c r="F236" s="457"/>
      <c r="G236" s="457"/>
      <c r="H236" s="457"/>
      <c r="I236" s="457"/>
      <c r="J236" s="457"/>
      <c r="K236" s="457"/>
      <c r="L236" s="457"/>
      <c r="M236" s="457"/>
      <c r="N236" s="457"/>
      <c r="O236" s="458"/>
      <c r="Q236" s="456" t="s">
        <v>40</v>
      </c>
      <c r="R236" s="457"/>
      <c r="S236" s="457"/>
      <c r="T236" s="458"/>
    </row>
    <row r="237" spans="1:20" ht="12" customHeight="1" x14ac:dyDescent="0.25">
      <c r="A237" s="453" t="str">
        <f>A190</f>
        <v>SMP I LIMBANGAN  TH 2025/2026</v>
      </c>
      <c r="B237" s="454"/>
      <c r="C237" s="454"/>
      <c r="D237" s="454"/>
      <c r="E237" s="454"/>
      <c r="F237" s="454"/>
      <c r="G237" s="454"/>
      <c r="H237" s="454"/>
      <c r="I237" s="454"/>
      <c r="J237" s="454"/>
      <c r="K237" s="454"/>
      <c r="L237" s="454"/>
      <c r="M237" s="454"/>
      <c r="N237" s="454"/>
      <c r="O237" s="455"/>
      <c r="Q237" s="453" t="s">
        <v>61</v>
      </c>
      <c r="R237" s="454"/>
      <c r="S237" s="454"/>
      <c r="T237" s="455"/>
    </row>
    <row r="238" spans="1:20" ht="12" customHeight="1" x14ac:dyDescent="0.25"/>
    <row r="239" spans="1:20" ht="12" customHeight="1" x14ac:dyDescent="0.25">
      <c r="A239" s="99" t="s">
        <v>66</v>
      </c>
      <c r="C239" s="102" t="str">
        <f>DATA!L8</f>
        <v>9F</v>
      </c>
      <c r="D239" t="s">
        <v>297</v>
      </c>
      <c r="F239" s="87">
        <f>F51</f>
        <v>2</v>
      </c>
      <c r="I239" t="s">
        <v>20</v>
      </c>
      <c r="K239" s="72">
        <v>44812</v>
      </c>
      <c r="M239" s="1" t="s">
        <v>60</v>
      </c>
      <c r="N239" s="87">
        <f>N51</f>
        <v>2</v>
      </c>
      <c r="Q239" t="s">
        <v>28</v>
      </c>
      <c r="R239" s="470">
        <f>K239+7</f>
        <v>44819</v>
      </c>
      <c r="S239" s="470"/>
    </row>
    <row r="240" spans="1:20" ht="12" customHeight="1" x14ac:dyDescent="0.25">
      <c r="A240" s="2"/>
      <c r="B240" s="2"/>
      <c r="C240" s="3" t="s">
        <v>7</v>
      </c>
      <c r="D240" s="32">
        <v>1</v>
      </c>
      <c r="E240" s="33">
        <v>2</v>
      </c>
      <c r="F240" s="33">
        <v>3</v>
      </c>
      <c r="G240" s="33">
        <v>4</v>
      </c>
      <c r="H240" s="34">
        <v>5</v>
      </c>
      <c r="I240" s="35" t="s">
        <v>3</v>
      </c>
      <c r="J240" s="4" t="s">
        <v>4</v>
      </c>
      <c r="K240" s="53" t="s">
        <v>83</v>
      </c>
      <c r="L240" s="35" t="s">
        <v>43</v>
      </c>
      <c r="M240" s="459" t="s">
        <v>9</v>
      </c>
      <c r="N240" s="460"/>
      <c r="O240" s="461"/>
      <c r="Q240" s="2"/>
      <c r="R240" s="35" t="s">
        <v>24</v>
      </c>
      <c r="S240" s="60"/>
      <c r="T240" s="61"/>
    </row>
    <row r="241" spans="1:20" ht="12" customHeight="1" x14ac:dyDescent="0.25">
      <c r="A241" s="6" t="s">
        <v>0</v>
      </c>
      <c r="B241" s="6" t="s">
        <v>1</v>
      </c>
      <c r="C241" s="5" t="s">
        <v>8</v>
      </c>
      <c r="D241" s="55">
        <f>D194</f>
        <v>20</v>
      </c>
      <c r="E241" s="55">
        <f>E194</f>
        <v>20</v>
      </c>
      <c r="F241" s="55">
        <f>F194</f>
        <v>30</v>
      </c>
      <c r="G241" s="55">
        <f>G194</f>
        <v>30</v>
      </c>
      <c r="H241" s="55">
        <f>H194</f>
        <v>0</v>
      </c>
      <c r="I241" s="21">
        <f>SUM(D241:H241)</f>
        <v>100</v>
      </c>
      <c r="J241" s="6" t="s">
        <v>5</v>
      </c>
      <c r="K241" s="52" t="s">
        <v>22</v>
      </c>
      <c r="L241" s="11" t="s">
        <v>44</v>
      </c>
      <c r="M241" s="462"/>
      <c r="N241" s="463"/>
      <c r="O241" s="464"/>
      <c r="Q241" s="6" t="s">
        <v>2</v>
      </c>
      <c r="R241" s="11" t="s">
        <v>25</v>
      </c>
      <c r="S241" s="468" t="s">
        <v>27</v>
      </c>
      <c r="T241" s="469"/>
    </row>
    <row r="242" spans="1:20" ht="12" customHeight="1" x14ac:dyDescent="0.25">
      <c r="A242" s="6"/>
      <c r="B242" s="6"/>
      <c r="C242" s="51" t="s">
        <v>2</v>
      </c>
      <c r="D242" s="36"/>
      <c r="E242" s="37"/>
      <c r="F242" s="37"/>
      <c r="G242" s="37"/>
      <c r="H242" s="38"/>
      <c r="I242" s="11"/>
      <c r="J242" s="6" t="s">
        <v>6</v>
      </c>
      <c r="K242" s="54"/>
      <c r="L242" s="59" t="s">
        <v>45</v>
      </c>
      <c r="M242" s="465"/>
      <c r="N242" s="466"/>
      <c r="O242" s="467"/>
      <c r="Q242" s="7"/>
      <c r="R242" s="59" t="s">
        <v>26</v>
      </c>
      <c r="S242" s="8"/>
      <c r="T242" s="9"/>
    </row>
    <row r="243" spans="1:20" ht="12" customHeight="1" x14ac:dyDescent="0.25">
      <c r="A243" s="20">
        <v>1</v>
      </c>
      <c r="B243" s="18"/>
      <c r="C243" s="81" t="str">
        <f>DATA!L10</f>
        <v>Ahmad Azam Muhanif</v>
      </c>
      <c r="D243" s="131" t="s">
        <v>63</v>
      </c>
      <c r="E243" s="40"/>
      <c r="F243" s="40"/>
      <c r="G243" s="40"/>
      <c r="H243" s="41"/>
      <c r="I243" s="120">
        <f>SUM(D243:H243)</f>
        <v>0</v>
      </c>
      <c r="J243" s="121">
        <f>I243</f>
        <v>0</v>
      </c>
      <c r="K243" s="21" t="str">
        <f>IF(J243&lt;$N$10,"tdk tuntas","tuntas")</f>
        <v>tdk tuntas</v>
      </c>
      <c r="L243" s="209" t="str">
        <f>IF(J243&lt;=39.9,"80",IF(J243&lt;=59.9,"81",IF(J243&lt;=69.9,"82",IF(J243&lt;=74.9,"83",IF(J243&lt;=78.9,"84",IF(J243&lt;=78.9,"85",IF(J243&gt;=78.9,J243," ")))))))</f>
        <v>80</v>
      </c>
      <c r="M243" s="12"/>
      <c r="N243" s="23"/>
      <c r="O243" s="13"/>
      <c r="Q243" s="67" t="str">
        <f>C243</f>
        <v>Ahmad Azam Muhanif</v>
      </c>
      <c r="R243" s="21" t="str">
        <f>IF(I243&lt;$N$10,"80","")</f>
        <v>80</v>
      </c>
      <c r="S243" s="12"/>
      <c r="T243" s="13"/>
    </row>
    <row r="244" spans="1:20" ht="12" customHeight="1" x14ac:dyDescent="0.25">
      <c r="A244" s="21">
        <v>2</v>
      </c>
      <c r="B244" s="19"/>
      <c r="C244" s="82" t="str">
        <f>DATA!L11</f>
        <v>Ananda Rafa Mahesa Putra</v>
      </c>
      <c r="D244" s="248" t="s">
        <v>63</v>
      </c>
      <c r="E244" s="43"/>
      <c r="F244" s="43"/>
      <c r="G244" s="43"/>
      <c r="H244" s="44"/>
      <c r="I244" s="122">
        <f>SUM(D244:H244)</f>
        <v>0</v>
      </c>
      <c r="J244" s="123">
        <f>I244</f>
        <v>0</v>
      </c>
      <c r="K244" s="21" t="str">
        <f t="shared" ref="K244:K272" si="43">IF(J244&lt;$N$10,"tdk tuntas","tuntas")</f>
        <v>tdk tuntas</v>
      </c>
      <c r="L244" s="210" t="str">
        <f t="shared" ref="L244:L272" si="44">IF(J244&lt;=39.9,"80",IF(J244&lt;=59.9,"81",IF(J244&lt;=69.9,"82",IF(J244&lt;=74.9,"83",IF(J244&lt;=78.9,"84",IF(J244&lt;=78.9,"85",IF(J244&gt;=78.9,J244," ")))))))</f>
        <v>80</v>
      </c>
      <c r="M244" s="14"/>
      <c r="N244" s="24"/>
      <c r="O244" s="15"/>
      <c r="Q244" s="68" t="str">
        <f t="shared" ref="Q244:Q275" si="45">C244</f>
        <v>Ananda Rafa Mahesa Putra</v>
      </c>
      <c r="R244" s="21" t="str">
        <f>IF(I244&lt;$N$10,"81","")</f>
        <v>81</v>
      </c>
      <c r="S244" s="14" t="s">
        <v>29</v>
      </c>
      <c r="T244" s="15"/>
    </row>
    <row r="245" spans="1:20" ht="12" customHeight="1" thickBot="1" x14ac:dyDescent="0.35">
      <c r="A245" s="21">
        <v>3</v>
      </c>
      <c r="B245" s="19"/>
      <c r="C245" s="82" t="str">
        <f>DATA!L12</f>
        <v>Aprian Caysa Raditiansyah</v>
      </c>
      <c r="D245" s="248" t="s">
        <v>63</v>
      </c>
      <c r="E245" s="43"/>
      <c r="F245" s="43"/>
      <c r="G245" s="43"/>
      <c r="H245" s="44"/>
      <c r="I245" s="122">
        <f>SUM(D245:H245)</f>
        <v>0</v>
      </c>
      <c r="J245" s="123">
        <f>I245</f>
        <v>0</v>
      </c>
      <c r="K245" s="21" t="str">
        <f t="shared" si="43"/>
        <v>tdk tuntas</v>
      </c>
      <c r="L245" s="210" t="str">
        <f t="shared" si="44"/>
        <v>80</v>
      </c>
      <c r="M245" s="70" t="s">
        <v>62</v>
      </c>
      <c r="N245" s="76">
        <f>N57</f>
        <v>80</v>
      </c>
      <c r="O245" s="15"/>
      <c r="Q245" s="68" t="str">
        <f t="shared" si="45"/>
        <v>Aprian Caysa Raditiansyah</v>
      </c>
      <c r="R245" s="21" t="str">
        <f>IF(I245&lt;$N$10,"81","")</f>
        <v>81</v>
      </c>
      <c r="S245" s="26"/>
      <c r="T245" s="15"/>
    </row>
    <row r="246" spans="1:20" ht="12" customHeight="1" thickTop="1" thickBot="1" x14ac:dyDescent="0.3">
      <c r="A246" s="21">
        <v>4</v>
      </c>
      <c r="B246" s="19"/>
      <c r="C246" s="82" t="str">
        <f>DATA!L13</f>
        <v>Attaya Nadine Vanessa</v>
      </c>
      <c r="D246" s="248" t="s">
        <v>63</v>
      </c>
      <c r="E246" s="43"/>
      <c r="F246" s="43"/>
      <c r="G246" s="43"/>
      <c r="H246" s="44"/>
      <c r="I246" s="122">
        <f>SUM(D246:H246)</f>
        <v>0</v>
      </c>
      <c r="J246" s="123">
        <f>I246</f>
        <v>0</v>
      </c>
      <c r="K246" s="21" t="str">
        <f t="shared" si="43"/>
        <v>tdk tuntas</v>
      </c>
      <c r="L246" s="210" t="str">
        <f t="shared" si="44"/>
        <v>80</v>
      </c>
      <c r="M246" s="14"/>
      <c r="N246" s="24"/>
      <c r="O246" s="15"/>
      <c r="Q246" s="68" t="str">
        <f t="shared" si="45"/>
        <v>Attaya Nadine Vanessa</v>
      </c>
      <c r="R246" s="21" t="str">
        <f>IF(I246&lt;$N$10,"84","")</f>
        <v>84</v>
      </c>
      <c r="S246" s="62"/>
      <c r="T246" s="15" t="s">
        <v>35</v>
      </c>
    </row>
    <row r="247" spans="1:20" ht="12" customHeight="1" thickTop="1" thickBot="1" x14ac:dyDescent="0.3">
      <c r="A247" s="21">
        <v>5</v>
      </c>
      <c r="B247" s="19"/>
      <c r="C247" s="82" t="str">
        <f>DATA!L14</f>
        <v>Dimas Suryo Admodjo</v>
      </c>
      <c r="D247" s="248" t="s">
        <v>63</v>
      </c>
      <c r="E247" s="43"/>
      <c r="F247" s="43"/>
      <c r="G247" s="43"/>
      <c r="H247" s="44"/>
      <c r="I247" s="122">
        <f t="shared" ref="I247:I272" si="46">SUM(D247:H247)</f>
        <v>0</v>
      </c>
      <c r="J247" s="123">
        <f t="shared" ref="J247:J272" si="47">I247</f>
        <v>0</v>
      </c>
      <c r="K247" s="21" t="str">
        <f t="shared" si="43"/>
        <v>tdk tuntas</v>
      </c>
      <c r="L247" s="210" t="str">
        <f t="shared" si="44"/>
        <v>80</v>
      </c>
      <c r="M247" s="14"/>
      <c r="N247" s="24"/>
      <c r="O247" s="15"/>
      <c r="Q247" s="68" t="str">
        <f t="shared" si="45"/>
        <v>Dimas Suryo Admodjo</v>
      </c>
      <c r="R247" s="21" t="str">
        <f>IF(I247&lt;$N$10,"87","")</f>
        <v>87</v>
      </c>
      <c r="S247" s="158" t="s">
        <v>81</v>
      </c>
      <c r="T247" s="15" t="s">
        <v>38</v>
      </c>
    </row>
    <row r="248" spans="1:20" ht="12" customHeight="1" thickTop="1" thickBot="1" x14ac:dyDescent="0.3">
      <c r="A248" s="21">
        <v>6</v>
      </c>
      <c r="B248" s="19"/>
      <c r="C248" s="82" t="str">
        <f>DATA!L15</f>
        <v>Dwi Erinadestari</v>
      </c>
      <c r="D248" s="134" t="s">
        <v>63</v>
      </c>
      <c r="E248" s="43"/>
      <c r="F248" s="43"/>
      <c r="G248" s="43"/>
      <c r="H248" s="44"/>
      <c r="I248" s="122">
        <f t="shared" si="46"/>
        <v>0</v>
      </c>
      <c r="J248" s="123">
        <f t="shared" si="47"/>
        <v>0</v>
      </c>
      <c r="K248" s="21" t="str">
        <f t="shared" si="43"/>
        <v>tdk tuntas</v>
      </c>
      <c r="L248" s="210" t="str">
        <f t="shared" si="44"/>
        <v>80</v>
      </c>
      <c r="M248" s="14" t="s">
        <v>10</v>
      </c>
      <c r="N248" s="24"/>
      <c r="O248" s="15"/>
      <c r="Q248" s="68" t="str">
        <f t="shared" si="45"/>
        <v>Dwi Erinadestari</v>
      </c>
      <c r="R248" s="21" t="str">
        <f>IF(I248&lt;$N$10,"82","")</f>
        <v>82</v>
      </c>
      <c r="S248" s="155"/>
      <c r="T248" s="119" t="s">
        <v>39</v>
      </c>
    </row>
    <row r="249" spans="1:20" ht="12" customHeight="1" thickTop="1" thickBot="1" x14ac:dyDescent="0.3">
      <c r="A249" s="21">
        <v>7</v>
      </c>
      <c r="B249" s="19"/>
      <c r="C249" s="82" t="str">
        <f>DATA!L16</f>
        <v>Eka Yuanita Safa</v>
      </c>
      <c r="D249" s="248" t="s">
        <v>63</v>
      </c>
      <c r="E249" s="43"/>
      <c r="F249" s="43"/>
      <c r="G249" s="43"/>
      <c r="H249" s="44"/>
      <c r="I249" s="122">
        <f t="shared" si="46"/>
        <v>0</v>
      </c>
      <c r="J249" s="123">
        <f t="shared" si="47"/>
        <v>0</v>
      </c>
      <c r="K249" s="21" t="str">
        <f t="shared" si="43"/>
        <v>tdk tuntas</v>
      </c>
      <c r="L249" s="210" t="str">
        <f t="shared" si="44"/>
        <v>80</v>
      </c>
      <c r="M249" s="14"/>
      <c r="N249" s="24"/>
      <c r="O249" s="15"/>
      <c r="Q249" s="68" t="str">
        <f t="shared" si="45"/>
        <v>Eka Yuanita Safa</v>
      </c>
      <c r="R249" s="21" t="str">
        <f>IF(I249&lt;$N$10,"80","")</f>
        <v>80</v>
      </c>
      <c r="S249" s="158"/>
      <c r="T249" s="119" t="s">
        <v>36</v>
      </c>
    </row>
    <row r="250" spans="1:20" ht="12" customHeight="1" thickTop="1" x14ac:dyDescent="0.25">
      <c r="A250" s="21">
        <v>8</v>
      </c>
      <c r="B250" s="19"/>
      <c r="C250" s="82" t="str">
        <f>DATA!L17</f>
        <v>Ellisa Adelia Putri</v>
      </c>
      <c r="D250" s="134" t="s">
        <v>63</v>
      </c>
      <c r="E250" s="43"/>
      <c r="F250" s="43"/>
      <c r="G250" s="43"/>
      <c r="H250" s="44"/>
      <c r="I250" s="122">
        <f t="shared" si="46"/>
        <v>0</v>
      </c>
      <c r="J250" s="123">
        <f t="shared" si="47"/>
        <v>0</v>
      </c>
      <c r="K250" s="21" t="str">
        <f t="shared" si="43"/>
        <v>tdk tuntas</v>
      </c>
      <c r="L250" s="210" t="str">
        <f t="shared" si="44"/>
        <v>80</v>
      </c>
      <c r="M250" s="77" t="s">
        <v>51</v>
      </c>
      <c r="N250" s="24"/>
      <c r="O250" s="15"/>
      <c r="Q250" s="68" t="str">
        <f t="shared" si="45"/>
        <v>Ellisa Adelia Putri</v>
      </c>
      <c r="R250" s="21" t="str">
        <f>IF(I250&lt;$N$10,"84","")</f>
        <v>84</v>
      </c>
      <c r="S250" s="155"/>
      <c r="T250" s="119" t="s">
        <v>37</v>
      </c>
    </row>
    <row r="251" spans="1:20" ht="12" customHeight="1" x14ac:dyDescent="0.25">
      <c r="A251" s="21">
        <v>9</v>
      </c>
      <c r="B251" s="19"/>
      <c r="C251" s="82" t="str">
        <f>DATA!L18</f>
        <v>Elsa Adinda Putri</v>
      </c>
      <c r="D251" s="134" t="s">
        <v>63</v>
      </c>
      <c r="E251" s="43"/>
      <c r="F251" s="43"/>
      <c r="G251" s="43"/>
      <c r="H251" s="44"/>
      <c r="I251" s="122">
        <f t="shared" si="46"/>
        <v>0</v>
      </c>
      <c r="J251" s="123">
        <f t="shared" si="47"/>
        <v>0</v>
      </c>
      <c r="K251" s="21" t="str">
        <f t="shared" si="43"/>
        <v>tdk tuntas</v>
      </c>
      <c r="L251" s="210" t="str">
        <f t="shared" si="44"/>
        <v>80</v>
      </c>
      <c r="N251" s="24"/>
      <c r="O251" s="15"/>
      <c r="Q251" s="68" t="str">
        <f t="shared" si="45"/>
        <v>Elsa Adinda Putri</v>
      </c>
      <c r="R251" s="21" t="str">
        <f>IF(I251&lt;$N$10,"88","")</f>
        <v>88</v>
      </c>
      <c r="S251" s="14"/>
      <c r="T251" s="15"/>
    </row>
    <row r="252" spans="1:20" ht="12" customHeight="1" x14ac:dyDescent="0.25">
      <c r="A252" s="21">
        <v>10</v>
      </c>
      <c r="B252" s="19"/>
      <c r="C252" s="82" t="str">
        <f>DATA!L19</f>
        <v>Erick Putra Wijaya</v>
      </c>
      <c r="D252" s="248" t="s">
        <v>63</v>
      </c>
      <c r="E252" s="43"/>
      <c r="F252" s="43"/>
      <c r="G252" s="43"/>
      <c r="H252" s="44"/>
      <c r="I252" s="122">
        <f t="shared" si="46"/>
        <v>0</v>
      </c>
      <c r="J252" s="123">
        <f t="shared" si="47"/>
        <v>0</v>
      </c>
      <c r="K252" s="21" t="str">
        <f t="shared" si="43"/>
        <v>tdk tuntas</v>
      </c>
      <c r="L252" s="210" t="str">
        <f t="shared" si="44"/>
        <v>80</v>
      </c>
      <c r="M252" s="14"/>
      <c r="N252" s="24"/>
      <c r="O252" s="15"/>
      <c r="Q252" s="68" t="str">
        <f t="shared" si="45"/>
        <v>Erick Putra Wijaya</v>
      </c>
      <c r="R252" s="21" t="str">
        <f t="shared" ref="R252:R257" si="48">IF(I252&lt;$N$10,"85","")</f>
        <v>85</v>
      </c>
      <c r="S252" s="14" t="s">
        <v>30</v>
      </c>
      <c r="T252" s="15"/>
    </row>
    <row r="253" spans="1:20" ht="12" customHeight="1" thickBot="1" x14ac:dyDescent="0.3">
      <c r="A253" s="21">
        <v>11</v>
      </c>
      <c r="B253" s="19"/>
      <c r="C253" s="82" t="str">
        <f>DATA!L20</f>
        <v>Intan Qurrota A'Yun</v>
      </c>
      <c r="D253" s="248" t="s">
        <v>63</v>
      </c>
      <c r="E253" s="43"/>
      <c r="F253" s="43"/>
      <c r="G253" s="43"/>
      <c r="H253" s="44"/>
      <c r="I253" s="122">
        <f t="shared" si="46"/>
        <v>0</v>
      </c>
      <c r="J253" s="123">
        <f t="shared" si="47"/>
        <v>0</v>
      </c>
      <c r="K253" s="21" t="str">
        <f t="shared" si="43"/>
        <v>tdk tuntas</v>
      </c>
      <c r="L253" s="210" t="str">
        <f t="shared" si="44"/>
        <v>80</v>
      </c>
      <c r="M253" s="14"/>
      <c r="N253" s="24"/>
      <c r="O253" s="15"/>
      <c r="Q253" s="68" t="str">
        <f t="shared" si="45"/>
        <v>Intan Qurrota A'Yun</v>
      </c>
      <c r="R253" s="21" t="str">
        <f t="shared" si="48"/>
        <v>85</v>
      </c>
      <c r="T253" s="15"/>
    </row>
    <row r="254" spans="1:20" ht="12" customHeight="1" thickTop="1" thickBot="1" x14ac:dyDescent="0.35">
      <c r="A254" s="21">
        <v>12</v>
      </c>
      <c r="B254" s="19"/>
      <c r="C254" s="82" t="str">
        <f>DATA!L21</f>
        <v>Johan Renaldi</v>
      </c>
      <c r="D254" s="248" t="s">
        <v>63</v>
      </c>
      <c r="E254" s="43"/>
      <c r="F254" s="43"/>
      <c r="G254" s="43"/>
      <c r="H254" s="44"/>
      <c r="I254" s="122">
        <f t="shared" si="46"/>
        <v>0</v>
      </c>
      <c r="J254" s="123">
        <f t="shared" si="47"/>
        <v>0</v>
      </c>
      <c r="K254" s="21" t="str">
        <f t="shared" si="43"/>
        <v>tdk tuntas</v>
      </c>
      <c r="L254" s="210" t="str">
        <f t="shared" si="44"/>
        <v>80</v>
      </c>
      <c r="M254" s="14" t="s">
        <v>11</v>
      </c>
      <c r="N254" s="58">
        <f>K281</f>
        <v>30</v>
      </c>
      <c r="O254" s="15"/>
      <c r="Q254" s="68" t="str">
        <f t="shared" si="45"/>
        <v>Johan Renaldi</v>
      </c>
      <c r="R254" s="21" t="str">
        <f t="shared" si="48"/>
        <v>85</v>
      </c>
      <c r="S254" s="158" t="s">
        <v>46</v>
      </c>
      <c r="T254" s="119" t="s">
        <v>31</v>
      </c>
    </row>
    <row r="255" spans="1:20" ht="12" customHeight="1" thickTop="1" thickBot="1" x14ac:dyDescent="0.35">
      <c r="A255" s="21">
        <v>13</v>
      </c>
      <c r="B255" s="19"/>
      <c r="C255" s="82" t="str">
        <f>DATA!L22</f>
        <v>Lituhayu Sabrina</v>
      </c>
      <c r="D255" s="248" t="s">
        <v>63</v>
      </c>
      <c r="E255" s="43"/>
      <c r="F255" s="43"/>
      <c r="G255" s="43"/>
      <c r="H255" s="44"/>
      <c r="I255" s="122">
        <f t="shared" si="46"/>
        <v>0</v>
      </c>
      <c r="J255" s="123">
        <f t="shared" si="47"/>
        <v>0</v>
      </c>
      <c r="K255" s="21" t="str">
        <f t="shared" si="43"/>
        <v>tdk tuntas</v>
      </c>
      <c r="L255" s="210" t="str">
        <f t="shared" si="44"/>
        <v>80</v>
      </c>
      <c r="M255" s="14" t="s">
        <v>12</v>
      </c>
      <c r="N255" s="58">
        <f>K279</f>
        <v>0</v>
      </c>
      <c r="O255" s="15"/>
      <c r="Q255" s="68" t="str">
        <f t="shared" si="45"/>
        <v>Lituhayu Sabrina</v>
      </c>
      <c r="R255" s="21" t="str">
        <f t="shared" si="48"/>
        <v>85</v>
      </c>
      <c r="S255" s="155"/>
      <c r="T255" s="119" t="s">
        <v>32</v>
      </c>
    </row>
    <row r="256" spans="1:20" ht="12" customHeight="1" thickTop="1" thickBot="1" x14ac:dyDescent="0.35">
      <c r="A256" s="21">
        <v>14</v>
      </c>
      <c r="B256" s="19"/>
      <c r="C256" s="82" t="str">
        <f>DATA!L23</f>
        <v>Luthfi Az Zahra Aulyvia</v>
      </c>
      <c r="D256" s="134" t="s">
        <v>63</v>
      </c>
      <c r="E256" s="43"/>
      <c r="F256" s="43"/>
      <c r="G256" s="43"/>
      <c r="H256" s="44"/>
      <c r="I256" s="122">
        <f t="shared" si="46"/>
        <v>0</v>
      </c>
      <c r="J256" s="123">
        <f t="shared" si="47"/>
        <v>0</v>
      </c>
      <c r="K256" s="21" t="str">
        <f t="shared" si="43"/>
        <v>tdk tuntas</v>
      </c>
      <c r="L256" s="210" t="str">
        <f t="shared" si="44"/>
        <v>80</v>
      </c>
      <c r="M256" s="14" t="s">
        <v>13</v>
      </c>
      <c r="N256" s="58">
        <f>N255/N254*100</f>
        <v>0</v>
      </c>
      <c r="O256" s="15" t="s">
        <v>4</v>
      </c>
      <c r="Q256" s="68" t="str">
        <f t="shared" si="45"/>
        <v>Luthfi Az Zahra Aulyvia</v>
      </c>
      <c r="R256" s="21" t="str">
        <f t="shared" si="48"/>
        <v>85</v>
      </c>
      <c r="S256" s="62"/>
      <c r="T256" s="15" t="s">
        <v>33</v>
      </c>
    </row>
    <row r="257" spans="1:20" ht="12" customHeight="1" thickTop="1" x14ac:dyDescent="0.25">
      <c r="A257" s="21">
        <v>15</v>
      </c>
      <c r="B257" s="19"/>
      <c r="C257" s="82" t="str">
        <f>DATA!L24</f>
        <v>Maulana Rizki Kurniawan</v>
      </c>
      <c r="D257" s="134" t="s">
        <v>63</v>
      </c>
      <c r="E257" s="43"/>
      <c r="F257" s="43"/>
      <c r="G257" s="43"/>
      <c r="H257" s="44"/>
      <c r="I257" s="122">
        <f t="shared" si="46"/>
        <v>0</v>
      </c>
      <c r="J257" s="123">
        <f t="shared" si="47"/>
        <v>0</v>
      </c>
      <c r="K257" s="21" t="str">
        <f t="shared" si="43"/>
        <v>tdk tuntas</v>
      </c>
      <c r="L257" s="210" t="str">
        <f t="shared" si="44"/>
        <v>80</v>
      </c>
      <c r="M257" s="14"/>
      <c r="N257" s="24"/>
      <c r="O257" s="15"/>
      <c r="Q257" s="68" t="str">
        <f t="shared" si="45"/>
        <v>Maulana Rizki Kurniawan</v>
      </c>
      <c r="R257" s="21" t="str">
        <f t="shared" si="48"/>
        <v>85</v>
      </c>
      <c r="S257" s="14"/>
      <c r="T257" s="15" t="s">
        <v>34</v>
      </c>
    </row>
    <row r="258" spans="1:20" ht="12" customHeight="1" x14ac:dyDescent="0.25">
      <c r="A258" s="21">
        <v>16</v>
      </c>
      <c r="B258" s="19"/>
      <c r="C258" s="82" t="str">
        <f>DATA!L25</f>
        <v>Meisya Anindita</v>
      </c>
      <c r="D258" s="248" t="s">
        <v>63</v>
      </c>
      <c r="E258" s="43"/>
      <c r="F258" s="43"/>
      <c r="G258" s="43"/>
      <c r="H258" s="44"/>
      <c r="I258" s="122">
        <f t="shared" si="46"/>
        <v>0</v>
      </c>
      <c r="J258" s="123">
        <f t="shared" si="47"/>
        <v>0</v>
      </c>
      <c r="K258" s="21" t="str">
        <f t="shared" si="43"/>
        <v>tdk tuntas</v>
      </c>
      <c r="L258" s="210" t="str">
        <f t="shared" si="44"/>
        <v>80</v>
      </c>
      <c r="M258" s="14" t="s">
        <v>52</v>
      </c>
      <c r="N258" s="24"/>
      <c r="O258" s="15"/>
      <c r="Q258" s="68" t="str">
        <f t="shared" si="45"/>
        <v>Meisya Anindita</v>
      </c>
      <c r="R258" s="21" t="str">
        <f>IF(I258&lt;$N$10,"84","")</f>
        <v>84</v>
      </c>
      <c r="S258" s="14"/>
      <c r="T258" s="15"/>
    </row>
    <row r="259" spans="1:20" ht="12" customHeight="1" x14ac:dyDescent="0.25">
      <c r="A259" s="21">
        <v>17</v>
      </c>
      <c r="B259" s="19"/>
      <c r="C259" s="82" t="str">
        <f>DATA!L26</f>
        <v>Melilea Azahra</v>
      </c>
      <c r="D259" s="134" t="s">
        <v>63</v>
      </c>
      <c r="E259" s="43"/>
      <c r="F259" s="43"/>
      <c r="G259" s="43"/>
      <c r="H259" s="44"/>
      <c r="I259" s="122">
        <f t="shared" si="46"/>
        <v>0</v>
      </c>
      <c r="J259" s="123">
        <f t="shared" si="47"/>
        <v>0</v>
      </c>
      <c r="K259" s="21" t="str">
        <f t="shared" si="43"/>
        <v>tdk tuntas</v>
      </c>
      <c r="L259" s="210" t="str">
        <f t="shared" si="44"/>
        <v>80</v>
      </c>
      <c r="N259" s="24"/>
      <c r="O259" s="15"/>
      <c r="Q259" s="68" t="str">
        <f t="shared" si="45"/>
        <v>Melilea Azahra</v>
      </c>
      <c r="R259" s="21" t="str">
        <f t="shared" ref="R259:R265" si="49">IF(I259&lt;$N$10,"82","")</f>
        <v>82</v>
      </c>
      <c r="S259" s="14"/>
      <c r="T259" s="63" t="s">
        <v>41</v>
      </c>
    </row>
    <row r="260" spans="1:20" ht="12" customHeight="1" x14ac:dyDescent="0.25">
      <c r="A260" s="21">
        <v>18</v>
      </c>
      <c r="B260" s="19"/>
      <c r="C260" s="82" t="str">
        <f>DATA!L27</f>
        <v>Muhammad Furqon Ashfary</v>
      </c>
      <c r="D260" s="134" t="s">
        <v>63</v>
      </c>
      <c r="E260" s="43"/>
      <c r="F260" s="43"/>
      <c r="G260" s="43"/>
      <c r="H260" s="44"/>
      <c r="I260" s="122">
        <f t="shared" si="46"/>
        <v>0</v>
      </c>
      <c r="J260" s="123">
        <f t="shared" si="47"/>
        <v>0</v>
      </c>
      <c r="K260" s="21" t="str">
        <f t="shared" si="43"/>
        <v>tdk tuntas</v>
      </c>
      <c r="L260" s="210" t="str">
        <f t="shared" si="44"/>
        <v>80</v>
      </c>
      <c r="M260" s="14"/>
      <c r="N260" s="24"/>
      <c r="O260" s="15"/>
      <c r="Q260" s="68" t="str">
        <f t="shared" si="45"/>
        <v>Muhammad Furqon Ashfary</v>
      </c>
      <c r="R260" s="21" t="str">
        <f t="shared" si="49"/>
        <v>82</v>
      </c>
      <c r="S260" s="14"/>
      <c r="T260" s="63"/>
    </row>
    <row r="261" spans="1:20" ht="12" customHeight="1" x14ac:dyDescent="0.25">
      <c r="A261" s="21">
        <v>19</v>
      </c>
      <c r="B261" s="19"/>
      <c r="C261" s="82" t="str">
        <f>DATA!L28</f>
        <v>Muhammad Rizky Fahreza</v>
      </c>
      <c r="D261" s="248" t="s">
        <v>63</v>
      </c>
      <c r="E261" s="43"/>
      <c r="F261" s="43"/>
      <c r="G261" s="43"/>
      <c r="H261" s="44"/>
      <c r="I261" s="122">
        <f t="shared" si="46"/>
        <v>0</v>
      </c>
      <c r="J261" s="123">
        <f t="shared" si="47"/>
        <v>0</v>
      </c>
      <c r="K261" s="21" t="str">
        <f t="shared" si="43"/>
        <v>tdk tuntas</v>
      </c>
      <c r="L261" s="210" t="str">
        <f t="shared" si="44"/>
        <v>80</v>
      </c>
      <c r="M261" s="14"/>
      <c r="N261" s="24"/>
      <c r="O261" s="15"/>
      <c r="Q261" s="68" t="str">
        <f t="shared" si="45"/>
        <v>Muhammad Rizky Fahreza</v>
      </c>
      <c r="R261" s="21" t="str">
        <f t="shared" si="49"/>
        <v>82</v>
      </c>
      <c r="S261" s="14"/>
      <c r="T261" s="63"/>
    </row>
    <row r="262" spans="1:20" ht="12" customHeight="1" x14ac:dyDescent="0.25">
      <c r="A262" s="21">
        <v>20</v>
      </c>
      <c r="B262" s="19"/>
      <c r="C262" s="82" t="str">
        <f>DATA!L29</f>
        <v>Mutiara Yuliyanti</v>
      </c>
      <c r="D262" s="134" t="s">
        <v>63</v>
      </c>
      <c r="E262" s="43"/>
      <c r="F262" s="43"/>
      <c r="G262" s="43"/>
      <c r="H262" s="44"/>
      <c r="I262" s="122">
        <f t="shared" si="46"/>
        <v>0</v>
      </c>
      <c r="J262" s="123">
        <f t="shared" si="47"/>
        <v>0</v>
      </c>
      <c r="K262" s="21" t="str">
        <f t="shared" si="43"/>
        <v>tdk tuntas</v>
      </c>
      <c r="L262" s="210" t="str">
        <f t="shared" si="44"/>
        <v>80</v>
      </c>
      <c r="M262" s="14" t="s">
        <v>53</v>
      </c>
      <c r="N262" s="78">
        <f>I279</f>
        <v>0</v>
      </c>
      <c r="O262" s="15"/>
      <c r="Q262" s="68" t="str">
        <f t="shared" si="45"/>
        <v>Mutiara Yuliyanti</v>
      </c>
      <c r="R262" s="21" t="str">
        <f t="shared" si="49"/>
        <v>82</v>
      </c>
      <c r="S262" s="14"/>
      <c r="T262" s="63"/>
    </row>
    <row r="263" spans="1:20" ht="12" customHeight="1" x14ac:dyDescent="0.25">
      <c r="A263" s="21">
        <v>21</v>
      </c>
      <c r="B263" s="19"/>
      <c r="C263" s="82" t="str">
        <f>DATA!L30</f>
        <v>Nathasya Maharani Putri Agustina</v>
      </c>
      <c r="D263" s="248" t="s">
        <v>63</v>
      </c>
      <c r="E263" s="43"/>
      <c r="F263" s="43"/>
      <c r="G263" s="43"/>
      <c r="H263" s="44"/>
      <c r="I263" s="122">
        <f t="shared" si="46"/>
        <v>0</v>
      </c>
      <c r="J263" s="123">
        <f t="shared" si="47"/>
        <v>0</v>
      </c>
      <c r="K263" s="21" t="str">
        <f t="shared" si="43"/>
        <v>tdk tuntas</v>
      </c>
      <c r="L263" s="210" t="str">
        <f t="shared" si="44"/>
        <v>80</v>
      </c>
      <c r="M263" s="14" t="s">
        <v>54</v>
      </c>
      <c r="N263" s="78">
        <f>I280</f>
        <v>3000</v>
      </c>
      <c r="O263" s="15"/>
      <c r="Q263" s="68" t="str">
        <f t="shared" si="45"/>
        <v>Nathasya Maharani Putri Agustina</v>
      </c>
      <c r="R263" s="21" t="str">
        <f t="shared" si="49"/>
        <v>82</v>
      </c>
      <c r="S263" s="14"/>
      <c r="T263" s="63" t="str">
        <f>T75</f>
        <v>KASMIN, S.Pd</v>
      </c>
    </row>
    <row r="264" spans="1:20" ht="12" customHeight="1" x14ac:dyDescent="0.25">
      <c r="A264" s="21">
        <v>22</v>
      </c>
      <c r="B264" s="19"/>
      <c r="C264" s="82" t="str">
        <f>DATA!L31</f>
        <v>Naysilla Anindya Ramadhani Nayra</v>
      </c>
      <c r="D264" s="248" t="s">
        <v>63</v>
      </c>
      <c r="E264" s="43"/>
      <c r="F264" s="43"/>
      <c r="G264" s="43"/>
      <c r="H264" s="44"/>
      <c r="I264" s="122">
        <f t="shared" si="46"/>
        <v>0</v>
      </c>
      <c r="J264" s="123">
        <f t="shared" si="47"/>
        <v>0</v>
      </c>
      <c r="K264" s="21" t="str">
        <f t="shared" si="43"/>
        <v>tdk tuntas</v>
      </c>
      <c r="L264" s="210" t="str">
        <f t="shared" si="44"/>
        <v>80</v>
      </c>
      <c r="M264" s="14" t="s">
        <v>13</v>
      </c>
      <c r="N264" s="84">
        <f>N262/N263*100</f>
        <v>0</v>
      </c>
      <c r="O264" s="79" t="s">
        <v>4</v>
      </c>
      <c r="Q264" s="68" t="str">
        <f t="shared" si="45"/>
        <v>Naysilla Anindya Ramadhani Nayra</v>
      </c>
      <c r="R264" s="21" t="str">
        <f t="shared" si="49"/>
        <v>82</v>
      </c>
      <c r="S264" s="14"/>
      <c r="T264" s="83" t="str">
        <f>T76</f>
        <v>NIP : 196609141990031007</v>
      </c>
    </row>
    <row r="265" spans="1:20" ht="12" customHeight="1" x14ac:dyDescent="0.25">
      <c r="A265" s="21">
        <v>23</v>
      </c>
      <c r="B265" s="19"/>
      <c r="C265" s="82" t="str">
        <f>DATA!L32</f>
        <v>Qaleesya Juliandhifa Putri Ajisia</v>
      </c>
      <c r="D265" s="248" t="s">
        <v>63</v>
      </c>
      <c r="E265" s="43"/>
      <c r="F265" s="43"/>
      <c r="G265" s="43"/>
      <c r="H265" s="44"/>
      <c r="I265" s="122">
        <f t="shared" si="46"/>
        <v>0</v>
      </c>
      <c r="J265" s="123">
        <f t="shared" si="47"/>
        <v>0</v>
      </c>
      <c r="K265" s="21" t="str">
        <f t="shared" si="43"/>
        <v>tdk tuntas</v>
      </c>
      <c r="L265" s="210" t="str">
        <f t="shared" si="44"/>
        <v>80</v>
      </c>
      <c r="M265" s="14"/>
      <c r="N265" s="24"/>
      <c r="O265" s="15"/>
      <c r="Q265" s="68" t="str">
        <f t="shared" si="45"/>
        <v>Qaleesya Juliandhifa Putri Ajisia</v>
      </c>
      <c r="R265" s="21" t="str">
        <f t="shared" si="49"/>
        <v>82</v>
      </c>
      <c r="S265" s="14"/>
      <c r="T265" s="15"/>
    </row>
    <row r="266" spans="1:20" ht="12" customHeight="1" x14ac:dyDescent="0.25">
      <c r="A266" s="21">
        <v>24</v>
      </c>
      <c r="B266" s="19"/>
      <c r="C266" s="82" t="str">
        <f>DATA!L33</f>
        <v>Rahesya Firmansah</v>
      </c>
      <c r="D266" s="248" t="s">
        <v>63</v>
      </c>
      <c r="E266" s="43"/>
      <c r="F266" s="43"/>
      <c r="G266" s="43"/>
      <c r="H266" s="44"/>
      <c r="I266" s="122">
        <f t="shared" si="46"/>
        <v>0</v>
      </c>
      <c r="J266" s="123">
        <f t="shared" si="47"/>
        <v>0</v>
      </c>
      <c r="K266" s="21" t="str">
        <f t="shared" si="43"/>
        <v>tdk tuntas</v>
      </c>
      <c r="L266" s="210" t="str">
        <f t="shared" si="44"/>
        <v>80</v>
      </c>
      <c r="M266" s="14"/>
      <c r="N266" s="24"/>
      <c r="O266" s="15"/>
      <c r="Q266" s="68" t="str">
        <f t="shared" si="45"/>
        <v>Rahesya Firmansah</v>
      </c>
      <c r="R266" s="21" t="str">
        <f>IF(I266&lt;$N$10,"85","")</f>
        <v>85</v>
      </c>
      <c r="S266" s="14"/>
      <c r="T266" s="63" t="s">
        <v>42</v>
      </c>
    </row>
    <row r="267" spans="1:20" ht="12" customHeight="1" x14ac:dyDescent="0.25">
      <c r="A267" s="21">
        <v>25</v>
      </c>
      <c r="B267" s="19"/>
      <c r="C267" s="82" t="str">
        <f>DATA!L34</f>
        <v>Revalino Adhyaqsa Pamungkas</v>
      </c>
      <c r="D267" s="248" t="s">
        <v>63</v>
      </c>
      <c r="E267" s="43"/>
      <c r="F267" s="43"/>
      <c r="G267" s="43"/>
      <c r="H267" s="44"/>
      <c r="I267" s="122">
        <f t="shared" si="46"/>
        <v>0</v>
      </c>
      <c r="J267" s="123">
        <f t="shared" si="47"/>
        <v>0</v>
      </c>
      <c r="K267" s="21" t="str">
        <f t="shared" si="43"/>
        <v>tdk tuntas</v>
      </c>
      <c r="L267" s="210" t="str">
        <f t="shared" si="44"/>
        <v>80</v>
      </c>
      <c r="M267" s="14" t="s">
        <v>14</v>
      </c>
      <c r="N267" s="24"/>
      <c r="O267" s="15"/>
      <c r="Q267" s="68" t="str">
        <f t="shared" si="45"/>
        <v>Revalino Adhyaqsa Pamungkas</v>
      </c>
      <c r="R267" s="21" t="str">
        <f>IF(I267&lt;$N$10,"81","")</f>
        <v>81</v>
      </c>
      <c r="S267" s="14"/>
      <c r="T267" s="63"/>
    </row>
    <row r="268" spans="1:20" ht="12" customHeight="1" x14ac:dyDescent="0.25">
      <c r="A268" s="21">
        <v>26</v>
      </c>
      <c r="B268" s="19"/>
      <c r="C268" s="82" t="str">
        <f>DATA!L35</f>
        <v>Rokhan Dwi Ma'Arif</v>
      </c>
      <c r="D268" s="248" t="s">
        <v>63</v>
      </c>
      <c r="E268" s="43"/>
      <c r="F268" s="43"/>
      <c r="G268" s="43"/>
      <c r="H268" s="44"/>
      <c r="I268" s="122">
        <f t="shared" si="46"/>
        <v>0</v>
      </c>
      <c r="J268" s="123">
        <f t="shared" si="47"/>
        <v>0</v>
      </c>
      <c r="K268" s="21" t="str">
        <f t="shared" si="43"/>
        <v>tdk tuntas</v>
      </c>
      <c r="L268" s="210" t="str">
        <f t="shared" si="44"/>
        <v>80</v>
      </c>
      <c r="M268" s="14" t="s">
        <v>15</v>
      </c>
      <c r="N268" s="24"/>
      <c r="O268" s="15"/>
      <c r="Q268" s="68" t="str">
        <f t="shared" si="45"/>
        <v>Rokhan Dwi Ma'Arif</v>
      </c>
      <c r="R268" s="21" t="str">
        <f>IF(I268&lt;$N$10,"82","")</f>
        <v>82</v>
      </c>
      <c r="S268" s="14"/>
      <c r="T268" s="63"/>
    </row>
    <row r="269" spans="1:20" ht="12" customHeight="1" x14ac:dyDescent="0.3">
      <c r="A269" s="21">
        <v>27</v>
      </c>
      <c r="B269" s="19"/>
      <c r="C269" s="82" t="str">
        <f>DATA!L36</f>
        <v>Sawung Lintang Kamandanu</v>
      </c>
      <c r="D269" s="248" t="s">
        <v>63</v>
      </c>
      <c r="E269" s="43"/>
      <c r="F269" s="43"/>
      <c r="G269" s="43"/>
      <c r="H269" s="44"/>
      <c r="I269" s="122">
        <f t="shared" si="46"/>
        <v>0</v>
      </c>
      <c r="J269" s="123">
        <f t="shared" si="47"/>
        <v>0</v>
      </c>
      <c r="K269" s="21" t="str">
        <f t="shared" si="43"/>
        <v>tdk tuntas</v>
      </c>
      <c r="L269" s="210" t="str">
        <f t="shared" si="44"/>
        <v>80</v>
      </c>
      <c r="M269" s="155" t="s">
        <v>80</v>
      </c>
      <c r="N269" s="24"/>
      <c r="O269" s="15"/>
      <c r="Q269" s="68" t="str">
        <f t="shared" si="45"/>
        <v>Sawung Lintang Kamandanu</v>
      </c>
      <c r="R269" s="21" t="str">
        <f>IF(I269&lt;$N$10,"82","")</f>
        <v>82</v>
      </c>
      <c r="S269" s="14"/>
      <c r="T269" s="63"/>
    </row>
    <row r="270" spans="1:20" ht="12" customHeight="1" x14ac:dyDescent="0.25">
      <c r="A270" s="21">
        <v>28</v>
      </c>
      <c r="B270" s="19"/>
      <c r="C270" s="82" t="str">
        <f>DATA!L37</f>
        <v>Taufik Hidayat</v>
      </c>
      <c r="D270" s="134" t="s">
        <v>63</v>
      </c>
      <c r="E270" s="43"/>
      <c r="F270" s="43"/>
      <c r="G270" s="43"/>
      <c r="H270" s="44"/>
      <c r="I270" s="122">
        <f t="shared" si="46"/>
        <v>0</v>
      </c>
      <c r="J270" s="123">
        <f t="shared" si="47"/>
        <v>0</v>
      </c>
      <c r="K270" s="21" t="str">
        <f t="shared" si="43"/>
        <v>tdk tuntas</v>
      </c>
      <c r="L270" s="210" t="str">
        <f t="shared" si="44"/>
        <v>80</v>
      </c>
      <c r="M270" s="14"/>
      <c r="N270" s="24"/>
      <c r="O270" s="15"/>
      <c r="Q270" s="68" t="str">
        <f t="shared" si="45"/>
        <v>Taufik Hidayat</v>
      </c>
      <c r="R270" s="21" t="str">
        <f>IF(I270&lt;$N$10,"81","")</f>
        <v>81</v>
      </c>
      <c r="S270" s="14"/>
      <c r="T270" s="63"/>
    </row>
    <row r="271" spans="1:20" ht="12" customHeight="1" x14ac:dyDescent="0.25">
      <c r="A271" s="21">
        <v>29</v>
      </c>
      <c r="B271" s="19"/>
      <c r="C271" s="82" t="str">
        <f>DATA!L38</f>
        <v>Valentino Febrianzah</v>
      </c>
      <c r="D271" s="134" t="s">
        <v>63</v>
      </c>
      <c r="E271" s="43"/>
      <c r="F271" s="43"/>
      <c r="G271" s="43"/>
      <c r="H271" s="44"/>
      <c r="I271" s="122">
        <f t="shared" si="46"/>
        <v>0</v>
      </c>
      <c r="J271" s="123">
        <f t="shared" si="47"/>
        <v>0</v>
      </c>
      <c r="K271" s="21" t="str">
        <f t="shared" si="43"/>
        <v>tdk tuntas</v>
      </c>
      <c r="L271" s="210" t="str">
        <f t="shared" si="44"/>
        <v>80</v>
      </c>
      <c r="M271" s="14"/>
      <c r="N271" s="24"/>
      <c r="O271" s="15"/>
      <c r="Q271" s="68" t="str">
        <f t="shared" si="45"/>
        <v>Valentino Febrianzah</v>
      </c>
      <c r="R271" s="21" t="str">
        <f>IF(I271&lt;$N$10,"85","")</f>
        <v>85</v>
      </c>
      <c r="S271" s="14"/>
      <c r="T271" s="63"/>
    </row>
    <row r="272" spans="1:20" ht="12" customHeight="1" x14ac:dyDescent="0.25">
      <c r="A272" s="21">
        <v>30</v>
      </c>
      <c r="B272" s="19"/>
      <c r="C272" s="82" t="str">
        <f>DATA!L39</f>
        <v>Vega Olivia Ramandhani</v>
      </c>
      <c r="D272" s="248" t="s">
        <v>63</v>
      </c>
      <c r="E272" s="43"/>
      <c r="F272" s="43"/>
      <c r="G272" s="43"/>
      <c r="H272" s="44"/>
      <c r="I272" s="122">
        <f t="shared" si="46"/>
        <v>0</v>
      </c>
      <c r="J272" s="123">
        <f t="shared" si="47"/>
        <v>0</v>
      </c>
      <c r="K272" s="21" t="str">
        <f t="shared" si="43"/>
        <v>tdk tuntas</v>
      </c>
      <c r="L272" s="210" t="str">
        <f t="shared" si="44"/>
        <v>80</v>
      </c>
      <c r="M272" s="14"/>
      <c r="N272" s="24"/>
      <c r="O272" s="15"/>
      <c r="Q272" s="68" t="str">
        <f t="shared" si="45"/>
        <v>Vega Olivia Ramandhani</v>
      </c>
      <c r="R272" s="21" t="str">
        <f>IF(I272&lt;$N$10,"84","")</f>
        <v>84</v>
      </c>
      <c r="S272" s="14"/>
      <c r="T272" s="63" t="str">
        <f>T84</f>
        <v>Dra. BAROKAH GUNIARTI</v>
      </c>
    </row>
    <row r="273" spans="1:20" ht="12" customHeight="1" x14ac:dyDescent="0.25">
      <c r="A273" s="21">
        <v>31</v>
      </c>
      <c r="B273" s="19"/>
      <c r="C273" s="82"/>
      <c r="D273" s="134"/>
      <c r="E273" s="43"/>
      <c r="F273" s="43"/>
      <c r="G273" s="43"/>
      <c r="H273" s="44"/>
      <c r="I273" s="122"/>
      <c r="J273" s="123"/>
      <c r="K273" s="21"/>
      <c r="L273" s="210"/>
      <c r="M273" s="14" t="s">
        <v>56</v>
      </c>
      <c r="N273" s="24"/>
      <c r="O273" s="15"/>
      <c r="Q273" s="68">
        <f t="shared" si="45"/>
        <v>0</v>
      </c>
      <c r="R273" s="21" t="str">
        <f>IF(I273&lt;$N$10,"84","")</f>
        <v>84</v>
      </c>
      <c r="S273" s="14"/>
      <c r="T273" s="103" t="str">
        <f>T85</f>
        <v>NIP : 196901081996122004</v>
      </c>
    </row>
    <row r="274" spans="1:20" ht="12" customHeight="1" x14ac:dyDescent="0.25">
      <c r="A274" s="21">
        <v>32</v>
      </c>
      <c r="B274" s="19"/>
      <c r="C274" s="82"/>
      <c r="D274" s="248"/>
      <c r="E274" s="43"/>
      <c r="F274" s="43"/>
      <c r="G274" s="43"/>
      <c r="H274" s="44"/>
      <c r="I274" s="122"/>
      <c r="J274" s="123"/>
      <c r="K274" s="21"/>
      <c r="L274" s="210"/>
      <c r="M274" s="14"/>
      <c r="N274" s="24"/>
      <c r="O274" s="15"/>
      <c r="Q274" s="68">
        <f t="shared" si="45"/>
        <v>0</v>
      </c>
      <c r="R274" s="21"/>
      <c r="S274" s="14"/>
      <c r="T274" s="15"/>
    </row>
    <row r="275" spans="1:20" ht="12" customHeight="1" x14ac:dyDescent="0.25">
      <c r="A275" s="21">
        <v>33</v>
      </c>
      <c r="B275" s="19"/>
      <c r="C275" s="82"/>
      <c r="D275" s="42" t="s">
        <v>63</v>
      </c>
      <c r="E275" s="43"/>
      <c r="F275" s="43"/>
      <c r="G275" s="43"/>
      <c r="H275" s="44"/>
      <c r="I275" s="122"/>
      <c r="J275" s="123"/>
      <c r="K275" s="21"/>
      <c r="L275" s="135"/>
      <c r="M275" s="14" t="s">
        <v>16</v>
      </c>
      <c r="N275" s="24"/>
      <c r="O275" s="15"/>
      <c r="Q275" s="68">
        <f t="shared" si="45"/>
        <v>0</v>
      </c>
      <c r="R275" s="21"/>
      <c r="S275" s="14"/>
      <c r="T275" s="15"/>
    </row>
    <row r="276" spans="1:20" ht="12" customHeight="1" x14ac:dyDescent="0.25">
      <c r="A276" s="21">
        <v>34</v>
      </c>
      <c r="B276" s="19"/>
      <c r="C276" s="82"/>
      <c r="D276" s="42"/>
      <c r="E276" s="43"/>
      <c r="F276" s="43"/>
      <c r="G276" s="43"/>
      <c r="H276" s="44"/>
      <c r="I276" s="122"/>
      <c r="J276" s="123"/>
      <c r="K276" s="21"/>
      <c r="L276" s="135"/>
      <c r="M276" s="14" t="s">
        <v>59</v>
      </c>
      <c r="N276" s="24"/>
      <c r="O276" s="15"/>
      <c r="Q276" s="68"/>
      <c r="R276" s="21"/>
      <c r="S276" s="14"/>
      <c r="T276" s="15"/>
    </row>
    <row r="277" spans="1:20" ht="12" customHeight="1" x14ac:dyDescent="0.25">
      <c r="A277" s="21">
        <v>35</v>
      </c>
      <c r="B277" s="22"/>
      <c r="C277" s="162"/>
      <c r="D277" s="136"/>
      <c r="E277" s="137"/>
      <c r="F277" s="137"/>
      <c r="G277" s="137"/>
      <c r="H277" s="138"/>
      <c r="I277" s="122"/>
      <c r="J277" s="123"/>
      <c r="K277" s="21"/>
      <c r="L277" s="139"/>
      <c r="M277" s="14" t="s">
        <v>23</v>
      </c>
      <c r="N277" s="24"/>
      <c r="O277" s="15"/>
      <c r="Q277" s="68"/>
      <c r="R277" s="21"/>
      <c r="S277" s="16"/>
      <c r="T277" s="17"/>
    </row>
    <row r="278" spans="1:20" ht="12" customHeight="1" x14ac:dyDescent="0.25">
      <c r="A278" s="101" t="s">
        <v>64</v>
      </c>
      <c r="B278" s="96"/>
      <c r="C278" s="97"/>
      <c r="D278" s="93"/>
      <c r="E278" s="94"/>
      <c r="F278" s="94"/>
      <c r="G278" s="94"/>
      <c r="H278" s="95"/>
      <c r="I278" s="98">
        <f>AVERAGE(I243:I277)</f>
        <v>0</v>
      </c>
      <c r="J278" s="74"/>
      <c r="K278" s="47"/>
      <c r="L278" s="65"/>
      <c r="M278" s="14"/>
      <c r="N278" s="24"/>
      <c r="O278" s="15"/>
      <c r="Q278" s="60"/>
      <c r="R278" s="471" t="str">
        <f>C239</f>
        <v>9F</v>
      </c>
      <c r="S278" s="471"/>
      <c r="T278" s="61"/>
    </row>
    <row r="279" spans="1:20" ht="12" customHeight="1" x14ac:dyDescent="0.25">
      <c r="A279" s="14" t="s">
        <v>17</v>
      </c>
      <c r="B279" s="24"/>
      <c r="C279" s="15"/>
      <c r="D279" s="42">
        <f>SUM(D243:D277)</f>
        <v>0</v>
      </c>
      <c r="E279" s="43">
        <f>SUM(E243:E277)</f>
        <v>0</v>
      </c>
      <c r="F279" s="43">
        <f>SUM(F243:F277)</f>
        <v>0</v>
      </c>
      <c r="G279" s="43">
        <f>SUM(G243:G277)</f>
        <v>0</v>
      </c>
      <c r="H279" s="44">
        <f>SUM(H243:H277)</f>
        <v>0</v>
      </c>
      <c r="I279" s="80">
        <f>SUM(D279:H279)</f>
        <v>0</v>
      </c>
      <c r="J279" s="85" t="s">
        <v>49</v>
      </c>
      <c r="K279" s="48">
        <f>COUNTIF(K243:K277,J279)</f>
        <v>0</v>
      </c>
      <c r="L279" s="64"/>
      <c r="M279" s="14"/>
      <c r="N279" s="24"/>
      <c r="O279" s="15"/>
      <c r="Q279" s="30"/>
      <c r="R279" s="472"/>
      <c r="S279" s="472"/>
      <c r="T279" s="31"/>
    </row>
    <row r="280" spans="1:20" ht="12" customHeight="1" x14ac:dyDescent="0.25">
      <c r="A280" s="14" t="s">
        <v>18</v>
      </c>
      <c r="B280" s="24"/>
      <c r="C280" s="15"/>
      <c r="D280" s="42">
        <f>D241*K281</f>
        <v>600</v>
      </c>
      <c r="E280" s="42">
        <f>E241*K281</f>
        <v>600</v>
      </c>
      <c r="F280" s="42">
        <f>F241*K281</f>
        <v>900</v>
      </c>
      <c r="G280" s="42">
        <f>G241*K281</f>
        <v>900</v>
      </c>
      <c r="H280" s="42">
        <f>H241*K281</f>
        <v>0</v>
      </c>
      <c r="I280" s="80">
        <f>SUM(D280:H280)</f>
        <v>3000</v>
      </c>
      <c r="J280" s="86" t="s">
        <v>50</v>
      </c>
      <c r="K280" s="48">
        <f>COUNTIF(K243:K277,J280)</f>
        <v>30</v>
      </c>
      <c r="L280" s="64"/>
      <c r="M280" s="14"/>
      <c r="N280" s="24"/>
      <c r="O280" s="15"/>
      <c r="Q280" s="30"/>
      <c r="R280" s="472"/>
      <c r="S280" s="472"/>
      <c r="T280" s="31"/>
    </row>
    <row r="281" spans="1:20" ht="12" customHeight="1" x14ac:dyDescent="0.25">
      <c r="A281" s="26" t="s">
        <v>19</v>
      </c>
      <c r="B281" s="27"/>
      <c r="C281" s="28"/>
      <c r="D281" s="136">
        <f t="shared" ref="D281:I281" si="50">D279/D280*100</f>
        <v>0</v>
      </c>
      <c r="E281" s="136">
        <f t="shared" si="50"/>
        <v>0</v>
      </c>
      <c r="F281" s="136">
        <f t="shared" si="50"/>
        <v>0</v>
      </c>
      <c r="G281" s="136">
        <f t="shared" si="50"/>
        <v>0</v>
      </c>
      <c r="H281" s="136" t="e">
        <f t="shared" si="50"/>
        <v>#DIV/0!</v>
      </c>
      <c r="I281" s="50">
        <f t="shared" si="50"/>
        <v>0</v>
      </c>
      <c r="J281" s="75" t="s">
        <v>57</v>
      </c>
      <c r="K281" s="49">
        <f>SUM(K279:K280)</f>
        <v>30</v>
      </c>
      <c r="L281" s="66"/>
      <c r="M281" s="16"/>
      <c r="N281" s="25"/>
      <c r="O281" s="17"/>
      <c r="Q281" s="8"/>
      <c r="R281" s="473"/>
      <c r="S281" s="473"/>
      <c r="T281" s="9"/>
    </row>
    <row r="282" spans="1:20" ht="12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</sheetData>
  <mergeCells count="48">
    <mergeCell ref="R43:S46"/>
    <mergeCell ref="R90:S93"/>
    <mergeCell ref="R137:S140"/>
    <mergeCell ref="R184:S187"/>
    <mergeCell ref="R231:S234"/>
    <mergeCell ref="R278:S281"/>
    <mergeCell ref="A236:O236"/>
    <mergeCell ref="Q236:T236"/>
    <mergeCell ref="A237:O237"/>
    <mergeCell ref="Q237:T237"/>
    <mergeCell ref="R239:S239"/>
    <mergeCell ref="M240:O242"/>
    <mergeCell ref="S241:T241"/>
    <mergeCell ref="A1:O1"/>
    <mergeCell ref="Q1:T1"/>
    <mergeCell ref="A2:O2"/>
    <mergeCell ref="Q2:T2"/>
    <mergeCell ref="R4:S4"/>
    <mergeCell ref="M5:O7"/>
    <mergeCell ref="S6:T6"/>
    <mergeCell ref="A48:O48"/>
    <mergeCell ref="Q48:T48"/>
    <mergeCell ref="A49:O49"/>
    <mergeCell ref="Q49:T49"/>
    <mergeCell ref="R51:S51"/>
    <mergeCell ref="M52:O54"/>
    <mergeCell ref="S53:T53"/>
    <mergeCell ref="A95:O95"/>
    <mergeCell ref="Q95:T95"/>
    <mergeCell ref="A96:O96"/>
    <mergeCell ref="Q96:T96"/>
    <mergeCell ref="R98:S98"/>
    <mergeCell ref="M99:O101"/>
    <mergeCell ref="S100:T100"/>
    <mergeCell ref="A142:O142"/>
    <mergeCell ref="Q142:T142"/>
    <mergeCell ref="A143:O143"/>
    <mergeCell ref="Q143:T143"/>
    <mergeCell ref="R145:S145"/>
    <mergeCell ref="M146:O148"/>
    <mergeCell ref="S147:T147"/>
    <mergeCell ref="A189:O189"/>
    <mergeCell ref="Q189:T189"/>
    <mergeCell ref="A190:O190"/>
    <mergeCell ref="Q190:T190"/>
    <mergeCell ref="R192:S192"/>
    <mergeCell ref="M193:O195"/>
    <mergeCell ref="S194:T194"/>
  </mergeCells>
  <phoneticPr fontId="2" type="noConversion"/>
  <pageMargins left="0.39" right="0.13" top="0.46" bottom="0.14000000000000001" header="0.12" footer="0.11"/>
  <pageSetup paperSize="5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 sizeWithCells="1">
              <from>
                <xdr:col>12</xdr:col>
                <xdr:colOff>0</xdr:colOff>
                <xdr:row>14</xdr:row>
                <xdr:rowOff>114300</xdr:rowOff>
              </from>
              <to>
                <xdr:col>15</xdr:col>
                <xdr:colOff>31750</xdr:colOff>
                <xdr:row>17</xdr:row>
                <xdr:rowOff>19050</xdr:rowOff>
              </to>
            </anchor>
          </objectPr>
        </oleObject>
      </mc:Choice>
      <mc:Fallback>
        <oleObject progId="Equation.3" shapeId="2049" r:id="rId4"/>
      </mc:Fallback>
    </mc:AlternateContent>
    <mc:AlternateContent xmlns:mc="http://schemas.openxmlformats.org/markup-compatibility/2006">
      <mc:Choice Requires="x14">
        <oleObject progId="Equation.3" shapeId="2050" r:id="rId6">
          <objectPr defaultSize="0" autoPict="0" r:id="rId7">
            <anchor moveWithCells="1" sizeWithCells="1">
              <from>
                <xdr:col>12</xdr:col>
                <xdr:colOff>19050</xdr:colOff>
                <xdr:row>23</xdr:row>
                <xdr:rowOff>0</xdr:rowOff>
              </from>
              <to>
                <xdr:col>14</xdr:col>
                <xdr:colOff>101600</xdr:colOff>
                <xdr:row>25</xdr:row>
                <xdr:rowOff>12700</xdr:rowOff>
              </to>
            </anchor>
          </objectPr>
        </oleObject>
      </mc:Choice>
      <mc:Fallback>
        <oleObject progId="Equation.3" shapeId="2050" r:id="rId6"/>
      </mc:Fallback>
    </mc:AlternateContent>
    <mc:AlternateContent xmlns:mc="http://schemas.openxmlformats.org/markup-compatibility/2006">
      <mc:Choice Requires="x14">
        <oleObject progId="Equation.3" shapeId="2051" r:id="rId8">
          <objectPr defaultSize="0" autoPict="0" r:id="rId5">
            <anchor moveWithCells="1" sizeWithCells="1">
              <from>
                <xdr:col>12</xdr:col>
                <xdr:colOff>0</xdr:colOff>
                <xdr:row>61</xdr:row>
                <xdr:rowOff>133350</xdr:rowOff>
              </from>
              <to>
                <xdr:col>14</xdr:col>
                <xdr:colOff>120650</xdr:colOff>
                <xdr:row>64</xdr:row>
                <xdr:rowOff>38100</xdr:rowOff>
              </to>
            </anchor>
          </objectPr>
        </oleObject>
      </mc:Choice>
      <mc:Fallback>
        <oleObject progId="Equation.3" shapeId="2051" r:id="rId8"/>
      </mc:Fallback>
    </mc:AlternateContent>
    <mc:AlternateContent xmlns:mc="http://schemas.openxmlformats.org/markup-compatibility/2006">
      <mc:Choice Requires="x14">
        <oleObject progId="Equation.3" shapeId="2052" r:id="rId9">
          <objectPr defaultSize="0" autoPict="0" r:id="rId7">
            <anchor moveWithCells="1" sizeWithCells="1">
              <from>
                <xdr:col>12</xdr:col>
                <xdr:colOff>19050</xdr:colOff>
                <xdr:row>70</xdr:row>
                <xdr:rowOff>12700</xdr:rowOff>
              </from>
              <to>
                <xdr:col>14</xdr:col>
                <xdr:colOff>101600</xdr:colOff>
                <xdr:row>72</xdr:row>
                <xdr:rowOff>19050</xdr:rowOff>
              </to>
            </anchor>
          </objectPr>
        </oleObject>
      </mc:Choice>
      <mc:Fallback>
        <oleObject progId="Equation.3" shapeId="2052" r:id="rId9"/>
      </mc:Fallback>
    </mc:AlternateContent>
    <mc:AlternateContent xmlns:mc="http://schemas.openxmlformats.org/markup-compatibility/2006">
      <mc:Choice Requires="x14">
        <oleObject progId="Equation.3" shapeId="2053" r:id="rId10">
          <objectPr defaultSize="0" autoPict="0" r:id="rId5">
            <anchor moveWithCells="1" sizeWithCells="1">
              <from>
                <xdr:col>12</xdr:col>
                <xdr:colOff>0</xdr:colOff>
                <xdr:row>108</xdr:row>
                <xdr:rowOff>133350</xdr:rowOff>
              </from>
              <to>
                <xdr:col>14</xdr:col>
                <xdr:colOff>120650</xdr:colOff>
                <xdr:row>111</xdr:row>
                <xdr:rowOff>38100</xdr:rowOff>
              </to>
            </anchor>
          </objectPr>
        </oleObject>
      </mc:Choice>
      <mc:Fallback>
        <oleObject progId="Equation.3" shapeId="2053" r:id="rId10"/>
      </mc:Fallback>
    </mc:AlternateContent>
    <mc:AlternateContent xmlns:mc="http://schemas.openxmlformats.org/markup-compatibility/2006">
      <mc:Choice Requires="x14">
        <oleObject progId="Equation.3" shapeId="2054" r:id="rId11">
          <objectPr defaultSize="0" autoPict="0" r:id="rId7">
            <anchor moveWithCells="1" sizeWithCells="1">
              <from>
                <xdr:col>12</xdr:col>
                <xdr:colOff>19050</xdr:colOff>
                <xdr:row>117</xdr:row>
                <xdr:rowOff>0</xdr:rowOff>
              </from>
              <to>
                <xdr:col>14</xdr:col>
                <xdr:colOff>101600</xdr:colOff>
                <xdr:row>119</xdr:row>
                <xdr:rowOff>12700</xdr:rowOff>
              </to>
            </anchor>
          </objectPr>
        </oleObject>
      </mc:Choice>
      <mc:Fallback>
        <oleObject progId="Equation.3" shapeId="2054" r:id="rId11"/>
      </mc:Fallback>
    </mc:AlternateContent>
    <mc:AlternateContent xmlns:mc="http://schemas.openxmlformats.org/markup-compatibility/2006">
      <mc:Choice Requires="x14">
        <oleObject progId="Equation.3" shapeId="2056" r:id="rId12">
          <objectPr defaultSize="0" autoPict="0" r:id="rId7">
            <anchor moveWithCells="1" sizeWithCells="1">
              <from>
                <xdr:col>12</xdr:col>
                <xdr:colOff>19050</xdr:colOff>
                <xdr:row>164</xdr:row>
                <xdr:rowOff>0</xdr:rowOff>
              </from>
              <to>
                <xdr:col>14</xdr:col>
                <xdr:colOff>101600</xdr:colOff>
                <xdr:row>166</xdr:row>
                <xdr:rowOff>12700</xdr:rowOff>
              </to>
            </anchor>
          </objectPr>
        </oleObject>
      </mc:Choice>
      <mc:Fallback>
        <oleObject progId="Equation.3" shapeId="2056" r:id="rId12"/>
      </mc:Fallback>
    </mc:AlternateContent>
    <mc:AlternateContent xmlns:mc="http://schemas.openxmlformats.org/markup-compatibility/2006">
      <mc:Choice Requires="x14">
        <oleObject progId="Equation.3" shapeId="2064" r:id="rId13">
          <objectPr defaultSize="0" autoPict="0" r:id="rId7">
            <anchor moveWithCells="1" sizeWithCells="1">
              <from>
                <xdr:col>12</xdr:col>
                <xdr:colOff>19050</xdr:colOff>
                <xdr:row>211</xdr:row>
                <xdr:rowOff>0</xdr:rowOff>
              </from>
              <to>
                <xdr:col>14</xdr:col>
                <xdr:colOff>101600</xdr:colOff>
                <xdr:row>213</xdr:row>
                <xdr:rowOff>12700</xdr:rowOff>
              </to>
            </anchor>
          </objectPr>
        </oleObject>
      </mc:Choice>
      <mc:Fallback>
        <oleObject progId="Equation.3" shapeId="2064" r:id="rId13"/>
      </mc:Fallback>
    </mc:AlternateContent>
    <mc:AlternateContent xmlns:mc="http://schemas.openxmlformats.org/markup-compatibility/2006">
      <mc:Choice Requires="x14">
        <oleObject progId="Equation.3" shapeId="14906" r:id="rId14">
          <objectPr defaultSize="0" autoPict="0" r:id="rId5">
            <anchor moveWithCells="1" sizeWithCells="1">
              <from>
                <xdr:col>12</xdr:col>
                <xdr:colOff>0</xdr:colOff>
                <xdr:row>249</xdr:row>
                <xdr:rowOff>133350</xdr:rowOff>
              </from>
              <to>
                <xdr:col>14</xdr:col>
                <xdr:colOff>120650</xdr:colOff>
                <xdr:row>252</xdr:row>
                <xdr:rowOff>38100</xdr:rowOff>
              </to>
            </anchor>
          </objectPr>
        </oleObject>
      </mc:Choice>
      <mc:Fallback>
        <oleObject progId="Equation.3" shapeId="14906" r:id="rId14"/>
      </mc:Fallback>
    </mc:AlternateContent>
    <mc:AlternateContent xmlns:mc="http://schemas.openxmlformats.org/markup-compatibility/2006">
      <mc:Choice Requires="x14">
        <oleObject progId="Equation.3" shapeId="78272" r:id="rId15">
          <objectPr defaultSize="0" autoPict="0" r:id="rId5">
            <anchor moveWithCells="1" sizeWithCells="1">
              <from>
                <xdr:col>12</xdr:col>
                <xdr:colOff>0</xdr:colOff>
                <xdr:row>155</xdr:row>
                <xdr:rowOff>133350</xdr:rowOff>
              </from>
              <to>
                <xdr:col>14</xdr:col>
                <xdr:colOff>120650</xdr:colOff>
                <xdr:row>158</xdr:row>
                <xdr:rowOff>38100</xdr:rowOff>
              </to>
            </anchor>
          </objectPr>
        </oleObject>
      </mc:Choice>
      <mc:Fallback>
        <oleObject progId="Equation.3" shapeId="78272" r:id="rId1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D895-F615-46E8-B9CA-913560FACB3D}">
  <dimension ref="A1:T282"/>
  <sheetViews>
    <sheetView zoomScaleNormal="100" workbookViewId="0">
      <selection activeCell="D196" sqref="D196:H227"/>
    </sheetView>
  </sheetViews>
  <sheetFormatPr defaultRowHeight="12.5" x14ac:dyDescent="0.25"/>
  <cols>
    <col min="1" max="1" width="3.1796875" customWidth="1"/>
    <col min="2" max="2" width="4" customWidth="1"/>
    <col min="3" max="3" width="15.7265625" customWidth="1"/>
    <col min="4" max="6" width="3.7265625" customWidth="1"/>
    <col min="7" max="7" width="4.54296875" customWidth="1"/>
    <col min="8" max="8" width="3.7265625" customWidth="1"/>
    <col min="9" max="9" width="5.81640625" customWidth="1"/>
    <col min="10" max="10" width="4.7265625" customWidth="1"/>
    <col min="12" max="12" width="6.26953125" customWidth="1"/>
    <col min="13" max="13" width="26.81640625" customWidth="1"/>
    <col min="14" max="14" width="4.1796875" customWidth="1"/>
    <col min="15" max="15" width="3.54296875" customWidth="1"/>
    <col min="16" max="16" width="1.7265625" customWidth="1"/>
    <col min="17" max="17" width="19.54296875" customWidth="1"/>
    <col min="18" max="18" width="5.26953125" customWidth="1"/>
    <col min="19" max="19" width="3.1796875" customWidth="1"/>
    <col min="20" max="20" width="24.7265625" customWidth="1"/>
  </cols>
  <sheetData>
    <row r="1" spans="1:20" ht="12" customHeight="1" x14ac:dyDescent="0.25">
      <c r="A1" s="453" t="str">
        <f>'UH1'!A1</f>
        <v>ANALISA HASIL PH MATEMATIKA KLS IX  SMT GENAP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5"/>
      <c r="Q1" s="456" t="s">
        <v>40</v>
      </c>
      <c r="R1" s="457"/>
      <c r="S1" s="457"/>
      <c r="T1" s="458"/>
    </row>
    <row r="2" spans="1:20" ht="12" customHeight="1" x14ac:dyDescent="0.25">
      <c r="A2" s="453" t="str">
        <f>'UH1'!A2</f>
        <v>SMP I LIMBANGAN  TH 2025/2026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5"/>
      <c r="Q2" s="453" t="s">
        <v>61</v>
      </c>
      <c r="R2" s="454"/>
      <c r="S2" s="454"/>
      <c r="T2" s="455"/>
    </row>
    <row r="3" spans="1:20" ht="12" customHeight="1" x14ac:dyDescent="0.25"/>
    <row r="4" spans="1:20" ht="12" customHeight="1" x14ac:dyDescent="0.25">
      <c r="A4" s="99" t="s">
        <v>65</v>
      </c>
      <c r="C4" s="102" t="str">
        <f>DATA!B8</f>
        <v>9A</v>
      </c>
      <c r="D4" t="s">
        <v>21</v>
      </c>
      <c r="F4" s="89">
        <v>3</v>
      </c>
      <c r="I4" t="s">
        <v>20</v>
      </c>
      <c r="J4" s="90"/>
      <c r="K4" s="88">
        <v>45971</v>
      </c>
      <c r="M4" s="1" t="s">
        <v>60</v>
      </c>
      <c r="N4" s="91">
        <v>3</v>
      </c>
      <c r="Q4" t="s">
        <v>28</v>
      </c>
      <c r="R4" s="470">
        <f>K4+7</f>
        <v>45978</v>
      </c>
      <c r="S4" s="470"/>
    </row>
    <row r="5" spans="1:20" ht="12" customHeight="1" x14ac:dyDescent="0.25">
      <c r="A5" s="2"/>
      <c r="B5" s="2"/>
      <c r="C5" s="3" t="s">
        <v>7</v>
      </c>
      <c r="D5" s="32">
        <v>1</v>
      </c>
      <c r="E5" s="33">
        <v>2</v>
      </c>
      <c r="F5" s="33">
        <v>3</v>
      </c>
      <c r="G5" s="33">
        <v>4</v>
      </c>
      <c r="H5" s="34">
        <v>5</v>
      </c>
      <c r="I5" s="35" t="s">
        <v>3</v>
      </c>
      <c r="J5" s="4" t="s">
        <v>4</v>
      </c>
      <c r="K5" s="53" t="s">
        <v>83</v>
      </c>
      <c r="L5" s="35" t="s">
        <v>43</v>
      </c>
      <c r="M5" s="459" t="s">
        <v>9</v>
      </c>
      <c r="N5" s="460"/>
      <c r="O5" s="461"/>
      <c r="Q5" s="2"/>
      <c r="R5" s="35" t="s">
        <v>24</v>
      </c>
      <c r="S5" s="60"/>
      <c r="T5" s="61"/>
    </row>
    <row r="6" spans="1:20" ht="12" customHeight="1" x14ac:dyDescent="0.25">
      <c r="A6" s="6" t="s">
        <v>0</v>
      </c>
      <c r="B6" s="6" t="s">
        <v>1</v>
      </c>
      <c r="C6" s="5" t="s">
        <v>8</v>
      </c>
      <c r="D6" s="55">
        <v>20</v>
      </c>
      <c r="E6" s="56">
        <v>20</v>
      </c>
      <c r="F6" s="56">
        <v>20</v>
      </c>
      <c r="G6" s="56">
        <v>20</v>
      </c>
      <c r="H6" s="57">
        <v>20</v>
      </c>
      <c r="I6" s="21">
        <f>SUM(D6:H6)</f>
        <v>100</v>
      </c>
      <c r="J6" s="6" t="s">
        <v>5</v>
      </c>
      <c r="K6" s="52" t="s">
        <v>22</v>
      </c>
      <c r="L6" s="11" t="s">
        <v>44</v>
      </c>
      <c r="M6" s="462"/>
      <c r="N6" s="463"/>
      <c r="O6" s="464"/>
      <c r="Q6" s="6" t="s">
        <v>2</v>
      </c>
      <c r="R6" s="11" t="s">
        <v>25</v>
      </c>
      <c r="S6" s="468" t="s">
        <v>27</v>
      </c>
      <c r="T6" s="469"/>
    </row>
    <row r="7" spans="1:20" ht="12" customHeight="1" x14ac:dyDescent="0.25">
      <c r="A7" s="6"/>
      <c r="B7" s="6"/>
      <c r="C7" s="51" t="s">
        <v>2</v>
      </c>
      <c r="D7" s="36"/>
      <c r="E7" s="37"/>
      <c r="F7" s="37"/>
      <c r="G7" s="37"/>
      <c r="H7" s="38"/>
      <c r="I7" s="11"/>
      <c r="J7" s="6" t="s">
        <v>6</v>
      </c>
      <c r="K7" s="54"/>
      <c r="L7" s="59" t="s">
        <v>45</v>
      </c>
      <c r="M7" s="465"/>
      <c r="N7" s="466"/>
      <c r="O7" s="467"/>
      <c r="Q7" s="7"/>
      <c r="R7" s="59" t="s">
        <v>26</v>
      </c>
      <c r="S7" s="8"/>
      <c r="T7" s="9"/>
    </row>
    <row r="8" spans="1:20" ht="12" customHeight="1" x14ac:dyDescent="0.25">
      <c r="A8" s="20">
        <v>1</v>
      </c>
      <c r="B8" s="18"/>
      <c r="C8" s="81" t="str">
        <f>DATA!B10</f>
        <v>Affan Bagus Ramadhani</v>
      </c>
      <c r="D8" s="131"/>
      <c r="E8" s="40"/>
      <c r="F8" s="40"/>
      <c r="G8" s="40"/>
      <c r="H8" s="41"/>
      <c r="I8" s="20">
        <f>SUM(D8:H8)</f>
        <v>0</v>
      </c>
      <c r="J8" s="46">
        <f>I8</f>
        <v>0</v>
      </c>
      <c r="K8" s="21" t="str">
        <f>IF(J8&lt;$N$10,"tdk tuntas","tuntas")</f>
        <v>tdk tuntas</v>
      </c>
      <c r="L8" s="209" t="str">
        <f>IF(J8&lt;=39.9,"80",IF(J8&lt;=59.9,"81",IF(J8&lt;=69.9,"82",IF(J8&lt;=74.9,"83",IF(J8&lt;=78.9,"84",IF(J8&lt;=78.9,"85",IF(J8&gt;=78.9,J8," ")))))))</f>
        <v>80</v>
      </c>
      <c r="M8" s="12"/>
      <c r="N8" s="23"/>
      <c r="O8" s="13"/>
      <c r="Q8" s="67" t="str">
        <f>C8</f>
        <v>Affan Bagus Ramadhani</v>
      </c>
      <c r="R8" s="21" t="str">
        <f>IF(I8&lt;$N$10,"80","")</f>
        <v>80</v>
      </c>
      <c r="S8" s="12"/>
      <c r="T8" s="13"/>
    </row>
    <row r="9" spans="1:20" ht="12" customHeight="1" x14ac:dyDescent="0.25">
      <c r="A9" s="21">
        <v>2</v>
      </c>
      <c r="B9" s="19"/>
      <c r="C9" s="82" t="str">
        <f>DATA!B11</f>
        <v>Affansa Rayya Assalafi</v>
      </c>
      <c r="D9" s="248"/>
      <c r="E9" s="43"/>
      <c r="F9" s="43"/>
      <c r="G9" s="43"/>
      <c r="H9" s="44"/>
      <c r="I9" s="21">
        <f>SUM(D9:H9)</f>
        <v>0</v>
      </c>
      <c r="J9" s="45">
        <f t="shared" ref="J9:J34" si="0">I9</f>
        <v>0</v>
      </c>
      <c r="K9" s="21" t="str">
        <f t="shared" ref="K9:K34" si="1">IF(J9&lt;$N$10,"tdk tuntas","tuntas")</f>
        <v>tdk tuntas</v>
      </c>
      <c r="L9" s="210" t="str">
        <f t="shared" ref="L9:L39" si="2">IF(J9&lt;=39.9,"80",IF(J9&lt;=59.9,"81",IF(J9&lt;=69.9,"82",IF(J9&lt;=74.9,"83",IF(J9&lt;=78.9,"84",IF(J9&lt;=78.9,"85",IF(J9&gt;=78.9,J9," ")))))))</f>
        <v>80</v>
      </c>
      <c r="M9" s="14"/>
      <c r="N9" s="24"/>
      <c r="O9" s="15"/>
      <c r="Q9" s="68" t="str">
        <f t="shared" ref="Q9:Q38" si="3">C9</f>
        <v>Affansa Rayya Assalafi</v>
      </c>
      <c r="R9" s="21" t="str">
        <f>IF(I9&lt;$N$10,"81","")</f>
        <v>81</v>
      </c>
      <c r="S9" s="14" t="s">
        <v>29</v>
      </c>
      <c r="T9" s="15"/>
    </row>
    <row r="10" spans="1:20" ht="12" customHeight="1" thickBot="1" x14ac:dyDescent="0.35">
      <c r="A10" s="21">
        <v>3</v>
      </c>
      <c r="B10" s="19"/>
      <c r="C10" s="82" t="str">
        <f>DATA!B12</f>
        <v>Agel Fransiska</v>
      </c>
      <c r="D10" s="248"/>
      <c r="E10" s="43"/>
      <c r="F10" s="43"/>
      <c r="G10" s="43"/>
      <c r="H10" s="44"/>
      <c r="I10" s="21">
        <f t="shared" ref="I10:I38" si="4">SUM(D10:H10)</f>
        <v>0</v>
      </c>
      <c r="J10" s="45">
        <f t="shared" si="0"/>
        <v>0</v>
      </c>
      <c r="K10" s="21" t="str">
        <f t="shared" si="1"/>
        <v>tdk tuntas</v>
      </c>
      <c r="L10" s="210" t="str">
        <f t="shared" si="2"/>
        <v>80</v>
      </c>
      <c r="M10" s="70" t="s">
        <v>62</v>
      </c>
      <c r="N10" s="76">
        <f>DATA!F4</f>
        <v>80</v>
      </c>
      <c r="O10" s="15"/>
      <c r="Q10" s="68" t="str">
        <f t="shared" si="3"/>
        <v>Agel Fransiska</v>
      </c>
      <c r="R10" s="21" t="str">
        <f>IF(I10&lt;$N$10,"81","")</f>
        <v>81</v>
      </c>
      <c r="S10" s="26"/>
      <c r="T10" s="15"/>
    </row>
    <row r="11" spans="1:20" ht="12" customHeight="1" thickTop="1" thickBot="1" x14ac:dyDescent="0.3">
      <c r="A11" s="21">
        <v>4</v>
      </c>
      <c r="B11" s="19"/>
      <c r="C11" s="82" t="str">
        <f>DATA!B13</f>
        <v>Alfin Putra Firmansyah</v>
      </c>
      <c r="D11" s="248"/>
      <c r="E11" s="43"/>
      <c r="F11" s="43"/>
      <c r="G11" s="43"/>
      <c r="H11" s="44"/>
      <c r="I11" s="21">
        <f t="shared" si="4"/>
        <v>0</v>
      </c>
      <c r="J11" s="45">
        <f t="shared" si="0"/>
        <v>0</v>
      </c>
      <c r="K11" s="21" t="str">
        <f t="shared" si="1"/>
        <v>tdk tuntas</v>
      </c>
      <c r="L11" s="210" t="str">
        <f t="shared" si="2"/>
        <v>80</v>
      </c>
      <c r="M11" s="14"/>
      <c r="N11" s="24"/>
      <c r="O11" s="15"/>
      <c r="Q11" s="68" t="str">
        <f t="shared" si="3"/>
        <v>Alfin Putra Firmansyah</v>
      </c>
      <c r="R11" s="21" t="str">
        <f>IF(I11&lt;$N$10,"84","")</f>
        <v>84</v>
      </c>
      <c r="S11" s="62"/>
      <c r="T11" s="15" t="s">
        <v>35</v>
      </c>
    </row>
    <row r="12" spans="1:20" ht="12" customHeight="1" thickTop="1" thickBot="1" x14ac:dyDescent="0.3">
      <c r="A12" s="21">
        <v>5</v>
      </c>
      <c r="B12" s="19"/>
      <c r="C12" s="82" t="str">
        <f>DATA!B14</f>
        <v>Almira Sadia Qonitah</v>
      </c>
      <c r="D12" s="248"/>
      <c r="E12" s="43"/>
      <c r="F12" s="43"/>
      <c r="G12" s="43"/>
      <c r="H12" s="44"/>
      <c r="I12" s="21">
        <f t="shared" si="4"/>
        <v>0</v>
      </c>
      <c r="J12" s="45">
        <f t="shared" si="0"/>
        <v>0</v>
      </c>
      <c r="K12" s="21" t="str">
        <f t="shared" si="1"/>
        <v>tdk tuntas</v>
      </c>
      <c r="L12" s="210" t="str">
        <f t="shared" si="2"/>
        <v>80</v>
      </c>
      <c r="M12" s="14"/>
      <c r="N12" s="24"/>
      <c r="O12" s="15"/>
      <c r="Q12" s="68" t="str">
        <f t="shared" si="3"/>
        <v>Almira Sadia Qonitah</v>
      </c>
      <c r="R12" s="21" t="str">
        <f>IF(I12&lt;$N$10,"87","")</f>
        <v>87</v>
      </c>
      <c r="S12" s="158"/>
      <c r="T12" s="15" t="s">
        <v>38</v>
      </c>
    </row>
    <row r="13" spans="1:20" ht="12" customHeight="1" thickTop="1" thickBot="1" x14ac:dyDescent="0.3">
      <c r="A13" s="21">
        <v>6</v>
      </c>
      <c r="B13" s="19"/>
      <c r="C13" s="82" t="str">
        <f>DATA!B15</f>
        <v>Arif Perdana Putra</v>
      </c>
      <c r="D13" s="134"/>
      <c r="E13" s="43"/>
      <c r="F13" s="43"/>
      <c r="G13" s="43"/>
      <c r="H13" s="44"/>
      <c r="I13" s="21">
        <f t="shared" si="4"/>
        <v>0</v>
      </c>
      <c r="J13" s="45">
        <f t="shared" si="0"/>
        <v>0</v>
      </c>
      <c r="K13" s="21" t="str">
        <f t="shared" si="1"/>
        <v>tdk tuntas</v>
      </c>
      <c r="L13" s="210" t="str">
        <f t="shared" si="2"/>
        <v>80</v>
      </c>
      <c r="M13" s="14" t="s">
        <v>10</v>
      </c>
      <c r="N13" s="24"/>
      <c r="O13" s="15"/>
      <c r="Q13" s="68" t="str">
        <f t="shared" si="3"/>
        <v>Arif Perdana Putra</v>
      </c>
      <c r="R13" s="21" t="str">
        <f>IF(I13&lt;$N$10,"82","")</f>
        <v>82</v>
      </c>
      <c r="S13" s="155"/>
      <c r="T13" s="15" t="s">
        <v>39</v>
      </c>
    </row>
    <row r="14" spans="1:20" ht="12" customHeight="1" thickTop="1" thickBot="1" x14ac:dyDescent="0.35">
      <c r="A14" s="21">
        <v>7</v>
      </c>
      <c r="B14" s="19"/>
      <c r="C14" s="82" t="str">
        <f>DATA!B16</f>
        <v>Asifa Nariyati</v>
      </c>
      <c r="D14" s="248"/>
      <c r="E14" s="43"/>
      <c r="F14" s="43"/>
      <c r="G14" s="43"/>
      <c r="H14" s="44"/>
      <c r="I14" s="21">
        <f t="shared" si="4"/>
        <v>0</v>
      </c>
      <c r="J14" s="45">
        <f t="shared" si="0"/>
        <v>0</v>
      </c>
      <c r="K14" s="21" t="str">
        <f t="shared" si="1"/>
        <v>tdk tuntas</v>
      </c>
      <c r="L14" s="210" t="str">
        <f t="shared" si="2"/>
        <v>80</v>
      </c>
      <c r="M14" s="14"/>
      <c r="N14" s="24"/>
      <c r="O14" s="15"/>
      <c r="Q14" s="68" t="str">
        <f t="shared" si="3"/>
        <v>Asifa Nariyati</v>
      </c>
      <c r="R14" s="21" t="str">
        <f>IF(I14&lt;$N$10,"80","")</f>
        <v>80</v>
      </c>
      <c r="S14" s="71" t="s">
        <v>81</v>
      </c>
      <c r="T14" s="119" t="s">
        <v>36</v>
      </c>
    </row>
    <row r="15" spans="1:20" ht="12" customHeight="1" thickTop="1" x14ac:dyDescent="0.25">
      <c r="A15" s="21">
        <v>8</v>
      </c>
      <c r="B15" s="19"/>
      <c r="C15" s="82" t="str">
        <f>DATA!B17</f>
        <v>Calvin Mandala Putra</v>
      </c>
      <c r="D15" s="134"/>
      <c r="E15" s="43"/>
      <c r="F15" s="43"/>
      <c r="G15" s="43"/>
      <c r="H15" s="44"/>
      <c r="I15" s="21">
        <f t="shared" si="4"/>
        <v>0</v>
      </c>
      <c r="J15" s="45">
        <f t="shared" si="0"/>
        <v>0</v>
      </c>
      <c r="K15" s="21" t="str">
        <f t="shared" si="1"/>
        <v>tdk tuntas</v>
      </c>
      <c r="L15" s="210" t="str">
        <f t="shared" si="2"/>
        <v>80</v>
      </c>
      <c r="M15" s="77" t="s">
        <v>51</v>
      </c>
      <c r="N15" s="24"/>
      <c r="O15" s="15"/>
      <c r="Q15" s="68" t="str">
        <f t="shared" si="3"/>
        <v>Calvin Mandala Putra</v>
      </c>
      <c r="R15" s="21" t="str">
        <f>IF(I15&lt;$N$10,"84","")</f>
        <v>84</v>
      </c>
      <c r="S15" s="155"/>
      <c r="T15" s="119" t="s">
        <v>37</v>
      </c>
    </row>
    <row r="16" spans="1:20" ht="12" customHeight="1" x14ac:dyDescent="0.25">
      <c r="A16" s="21">
        <v>9</v>
      </c>
      <c r="B16" s="19"/>
      <c r="C16" s="82" t="str">
        <f>DATA!B18</f>
        <v>Decha Rifqoh Alma Dhini</v>
      </c>
      <c r="D16" s="134"/>
      <c r="E16" s="43"/>
      <c r="F16" s="43"/>
      <c r="G16" s="43"/>
      <c r="H16" s="44"/>
      <c r="I16" s="21">
        <f t="shared" si="4"/>
        <v>0</v>
      </c>
      <c r="J16" s="45">
        <f t="shared" si="0"/>
        <v>0</v>
      </c>
      <c r="K16" s="21" t="str">
        <f t="shared" si="1"/>
        <v>tdk tuntas</v>
      </c>
      <c r="L16" s="210" t="str">
        <f t="shared" si="2"/>
        <v>80</v>
      </c>
      <c r="N16" s="24"/>
      <c r="O16" s="15"/>
      <c r="Q16" s="68" t="str">
        <f t="shared" si="3"/>
        <v>Decha Rifqoh Alma Dhini</v>
      </c>
      <c r="R16" s="21" t="str">
        <f>IF(I16&lt;$N$10,"88","")</f>
        <v>88</v>
      </c>
      <c r="S16" s="14"/>
      <c r="T16" s="15"/>
    </row>
    <row r="17" spans="1:20" ht="12" customHeight="1" x14ac:dyDescent="0.25">
      <c r="A17" s="21">
        <v>10</v>
      </c>
      <c r="B17" s="19"/>
      <c r="C17" s="82" t="str">
        <f>DATA!B19</f>
        <v>Fathir Hibatullah Harahap</v>
      </c>
      <c r="D17" s="248"/>
      <c r="E17" s="43"/>
      <c r="F17" s="43"/>
      <c r="G17" s="43"/>
      <c r="H17" s="44"/>
      <c r="I17" s="21">
        <f t="shared" si="4"/>
        <v>0</v>
      </c>
      <c r="J17" s="45">
        <f t="shared" si="0"/>
        <v>0</v>
      </c>
      <c r="K17" s="21" t="str">
        <f>IF(J17&lt;$N$10,"tdk tuntas","tuntas")</f>
        <v>tdk tuntas</v>
      </c>
      <c r="L17" s="210" t="str">
        <f t="shared" si="2"/>
        <v>80</v>
      </c>
      <c r="M17" s="14"/>
      <c r="N17" s="24"/>
      <c r="O17" s="15"/>
      <c r="Q17" s="68" t="str">
        <f t="shared" si="3"/>
        <v>Fathir Hibatullah Harahap</v>
      </c>
      <c r="R17" s="21" t="str">
        <f t="shared" ref="R17:R22" si="5">IF(I17&lt;$N$10,"85","")</f>
        <v>85</v>
      </c>
      <c r="S17" s="14" t="s">
        <v>30</v>
      </c>
      <c r="T17" s="15"/>
    </row>
    <row r="18" spans="1:20" ht="12" customHeight="1" thickBot="1" x14ac:dyDescent="0.3">
      <c r="A18" s="21">
        <v>11</v>
      </c>
      <c r="B18" s="19"/>
      <c r="C18" s="82" t="str">
        <f>DATA!B20</f>
        <v>Gendhis Putri Ayreanti</v>
      </c>
      <c r="D18" s="248"/>
      <c r="E18" s="43"/>
      <c r="F18" s="43"/>
      <c r="G18" s="43"/>
      <c r="H18" s="44"/>
      <c r="I18" s="21">
        <f t="shared" si="4"/>
        <v>0</v>
      </c>
      <c r="J18" s="45">
        <f t="shared" si="0"/>
        <v>0</v>
      </c>
      <c r="K18" s="21" t="str">
        <f t="shared" si="1"/>
        <v>tdk tuntas</v>
      </c>
      <c r="L18" s="210" t="str">
        <f t="shared" si="2"/>
        <v>80</v>
      </c>
      <c r="M18" s="14"/>
      <c r="N18" s="24"/>
      <c r="O18" s="15"/>
      <c r="Q18" s="68" t="str">
        <f t="shared" si="3"/>
        <v>Gendhis Putri Ayreanti</v>
      </c>
      <c r="R18" s="21" t="str">
        <f t="shared" si="5"/>
        <v>85</v>
      </c>
      <c r="T18" s="15"/>
    </row>
    <row r="19" spans="1:20" ht="12" customHeight="1" thickTop="1" thickBot="1" x14ac:dyDescent="0.35">
      <c r="A19" s="21">
        <v>12</v>
      </c>
      <c r="B19" s="19"/>
      <c r="C19" s="82" t="str">
        <f>DATA!B21</f>
        <v>Habibi Lazuardi</v>
      </c>
      <c r="D19" s="248"/>
      <c r="E19" s="43"/>
      <c r="F19" s="43"/>
      <c r="G19" s="43"/>
      <c r="H19" s="44"/>
      <c r="I19" s="21">
        <f t="shared" si="4"/>
        <v>0</v>
      </c>
      <c r="J19" s="45">
        <f t="shared" si="0"/>
        <v>0</v>
      </c>
      <c r="K19" s="21" t="str">
        <f t="shared" si="1"/>
        <v>tdk tuntas</v>
      </c>
      <c r="L19" s="210" t="str">
        <f t="shared" si="2"/>
        <v>80</v>
      </c>
      <c r="M19" s="14" t="s">
        <v>11</v>
      </c>
      <c r="N19" s="58">
        <f>K46</f>
        <v>32</v>
      </c>
      <c r="O19" s="15"/>
      <c r="Q19" s="68" t="str">
        <f t="shared" si="3"/>
        <v>Habibi Lazuardi</v>
      </c>
      <c r="R19" s="21" t="str">
        <f t="shared" si="5"/>
        <v>85</v>
      </c>
      <c r="S19" s="158" t="s">
        <v>46</v>
      </c>
      <c r="T19" s="119" t="s">
        <v>31</v>
      </c>
    </row>
    <row r="20" spans="1:20" ht="12" customHeight="1" thickTop="1" thickBot="1" x14ac:dyDescent="0.35">
      <c r="A20" s="21">
        <v>13</v>
      </c>
      <c r="B20" s="19"/>
      <c r="C20" s="82" t="str">
        <f>DATA!B22</f>
        <v>Herina Sasha Rasati</v>
      </c>
      <c r="D20" s="248"/>
      <c r="E20" s="43"/>
      <c r="F20" s="43"/>
      <c r="G20" s="43"/>
      <c r="H20" s="44"/>
      <c r="I20" s="21">
        <f t="shared" si="4"/>
        <v>0</v>
      </c>
      <c r="J20" s="45">
        <f t="shared" si="0"/>
        <v>0</v>
      </c>
      <c r="K20" s="21" t="str">
        <f t="shared" si="1"/>
        <v>tdk tuntas</v>
      </c>
      <c r="L20" s="210" t="str">
        <f t="shared" si="2"/>
        <v>80</v>
      </c>
      <c r="M20" s="14" t="s">
        <v>12</v>
      </c>
      <c r="N20" s="58">
        <f>K44</f>
        <v>0</v>
      </c>
      <c r="O20" s="15"/>
      <c r="Q20" s="68" t="str">
        <f t="shared" si="3"/>
        <v>Herina Sasha Rasati</v>
      </c>
      <c r="R20" s="21" t="str">
        <f t="shared" si="5"/>
        <v>85</v>
      </c>
      <c r="S20" s="155"/>
      <c r="T20" s="119" t="s">
        <v>32</v>
      </c>
    </row>
    <row r="21" spans="1:20" ht="12" customHeight="1" thickTop="1" thickBot="1" x14ac:dyDescent="0.35">
      <c r="A21" s="21">
        <v>14</v>
      </c>
      <c r="B21" s="19"/>
      <c r="C21" s="82" t="str">
        <f>DATA!B23</f>
        <v>Ivan Adi Saputra</v>
      </c>
      <c r="D21" s="134"/>
      <c r="E21" s="43"/>
      <c r="F21" s="43"/>
      <c r="G21" s="43"/>
      <c r="H21" s="44"/>
      <c r="I21" s="21">
        <f t="shared" si="4"/>
        <v>0</v>
      </c>
      <c r="J21" s="45">
        <f t="shared" si="0"/>
        <v>0</v>
      </c>
      <c r="K21" s="21" t="str">
        <f t="shared" si="1"/>
        <v>tdk tuntas</v>
      </c>
      <c r="L21" s="210" t="str">
        <f t="shared" si="2"/>
        <v>80</v>
      </c>
      <c r="M21" s="14" t="s">
        <v>13</v>
      </c>
      <c r="N21" s="58">
        <f>N20/N19*100</f>
        <v>0</v>
      </c>
      <c r="O21" s="15" t="s">
        <v>4</v>
      </c>
      <c r="Q21" s="68" t="str">
        <f t="shared" si="3"/>
        <v>Ivan Adi Saputra</v>
      </c>
      <c r="R21" s="21" t="str">
        <f t="shared" si="5"/>
        <v>85</v>
      </c>
      <c r="S21" s="62"/>
      <c r="T21" s="15" t="s">
        <v>33</v>
      </c>
    </row>
    <row r="22" spans="1:20" ht="12" customHeight="1" thickTop="1" x14ac:dyDescent="0.25">
      <c r="A22" s="21">
        <v>15</v>
      </c>
      <c r="B22" s="19"/>
      <c r="C22" s="82" t="str">
        <f>DATA!B24</f>
        <v>Ivander Veda Ardyanta</v>
      </c>
      <c r="D22" s="134"/>
      <c r="E22" s="43"/>
      <c r="F22" s="43"/>
      <c r="G22" s="43"/>
      <c r="H22" s="44"/>
      <c r="I22" s="21">
        <f t="shared" si="4"/>
        <v>0</v>
      </c>
      <c r="J22" s="45">
        <f t="shared" si="0"/>
        <v>0</v>
      </c>
      <c r="K22" s="21" t="str">
        <f t="shared" si="1"/>
        <v>tdk tuntas</v>
      </c>
      <c r="L22" s="210" t="str">
        <f t="shared" si="2"/>
        <v>80</v>
      </c>
      <c r="M22" s="14"/>
      <c r="N22" s="24"/>
      <c r="O22" s="15"/>
      <c r="Q22" s="68" t="str">
        <f t="shared" si="3"/>
        <v>Ivander Veda Ardyanta</v>
      </c>
      <c r="R22" s="21" t="str">
        <f t="shared" si="5"/>
        <v>85</v>
      </c>
      <c r="S22" s="14"/>
      <c r="T22" s="15" t="s">
        <v>34</v>
      </c>
    </row>
    <row r="23" spans="1:20" ht="12" customHeight="1" x14ac:dyDescent="0.25">
      <c r="A23" s="21">
        <v>16</v>
      </c>
      <c r="B23" s="19"/>
      <c r="C23" s="82" t="str">
        <f>DATA!B25</f>
        <v>Keysa Lutfi Yana Putri</v>
      </c>
      <c r="D23" s="248"/>
      <c r="E23" s="43"/>
      <c r="F23" s="43"/>
      <c r="G23" s="43"/>
      <c r="H23" s="44"/>
      <c r="I23" s="21">
        <f t="shared" si="4"/>
        <v>0</v>
      </c>
      <c r="J23" s="45">
        <f t="shared" si="0"/>
        <v>0</v>
      </c>
      <c r="K23" s="21" t="str">
        <f t="shared" si="1"/>
        <v>tdk tuntas</v>
      </c>
      <c r="L23" s="210" t="str">
        <f t="shared" si="2"/>
        <v>80</v>
      </c>
      <c r="M23" s="14" t="s">
        <v>52</v>
      </c>
      <c r="N23" s="24"/>
      <c r="O23" s="15"/>
      <c r="Q23" s="68" t="str">
        <f t="shared" si="3"/>
        <v>Keysa Lutfi Yana Putri</v>
      </c>
      <c r="R23" s="21" t="str">
        <f>IF(I23&lt;$N$10,"84","")</f>
        <v>84</v>
      </c>
      <c r="S23" s="14"/>
      <c r="T23" s="15"/>
    </row>
    <row r="24" spans="1:20" ht="12" customHeight="1" x14ac:dyDescent="0.25">
      <c r="A24" s="21">
        <v>17</v>
      </c>
      <c r="B24" s="19"/>
      <c r="C24" s="82" t="str">
        <f>DATA!B26</f>
        <v>Khanaya Putri Emeyliana</v>
      </c>
      <c r="D24" s="134"/>
      <c r="E24" s="43"/>
      <c r="F24" s="43"/>
      <c r="G24" s="43"/>
      <c r="H24" s="44"/>
      <c r="I24" s="21">
        <f t="shared" si="4"/>
        <v>0</v>
      </c>
      <c r="J24" s="45">
        <f t="shared" si="0"/>
        <v>0</v>
      </c>
      <c r="K24" s="21" t="str">
        <f t="shared" si="1"/>
        <v>tdk tuntas</v>
      </c>
      <c r="L24" s="210" t="str">
        <f t="shared" si="2"/>
        <v>80</v>
      </c>
      <c r="N24" s="24"/>
      <c r="O24" s="15"/>
      <c r="Q24" s="68" t="str">
        <f t="shared" si="3"/>
        <v>Khanaya Putri Emeyliana</v>
      </c>
      <c r="R24" s="21" t="str">
        <f t="shared" ref="R24:R30" si="6">IF(I24&lt;$N$10,"82","")</f>
        <v>82</v>
      </c>
      <c r="S24" s="14"/>
      <c r="T24" s="63" t="s">
        <v>41</v>
      </c>
    </row>
    <row r="25" spans="1:20" ht="12" customHeight="1" x14ac:dyDescent="0.25">
      <c r="A25" s="21">
        <v>18</v>
      </c>
      <c r="B25" s="19"/>
      <c r="C25" s="82" t="str">
        <f>DATA!B27</f>
        <v>Khoirul Rodzikin</v>
      </c>
      <c r="D25" s="134"/>
      <c r="E25" s="43"/>
      <c r="F25" s="43"/>
      <c r="G25" s="43"/>
      <c r="H25" s="44"/>
      <c r="I25" s="21">
        <f t="shared" si="4"/>
        <v>0</v>
      </c>
      <c r="J25" s="45">
        <f t="shared" si="0"/>
        <v>0</v>
      </c>
      <c r="K25" s="21" t="str">
        <f t="shared" si="1"/>
        <v>tdk tuntas</v>
      </c>
      <c r="L25" s="210" t="str">
        <f t="shared" si="2"/>
        <v>80</v>
      </c>
      <c r="M25" s="14"/>
      <c r="N25" s="24"/>
      <c r="O25" s="15"/>
      <c r="Q25" s="68" t="str">
        <f t="shared" si="3"/>
        <v>Khoirul Rodzikin</v>
      </c>
      <c r="R25" s="21" t="str">
        <f t="shared" si="6"/>
        <v>82</v>
      </c>
      <c r="S25" s="14"/>
      <c r="T25" s="63"/>
    </row>
    <row r="26" spans="1:20" ht="12" customHeight="1" x14ac:dyDescent="0.25">
      <c r="A26" s="21">
        <v>19</v>
      </c>
      <c r="B26" s="19"/>
      <c r="C26" s="82" t="str">
        <f>DATA!B28</f>
        <v>Livia Mozavina</v>
      </c>
      <c r="D26" s="248"/>
      <c r="E26" s="43"/>
      <c r="F26" s="43"/>
      <c r="G26" s="43"/>
      <c r="H26" s="44"/>
      <c r="I26" s="21">
        <f t="shared" si="4"/>
        <v>0</v>
      </c>
      <c r="J26" s="45">
        <f t="shared" si="0"/>
        <v>0</v>
      </c>
      <c r="K26" s="21" t="str">
        <f t="shared" si="1"/>
        <v>tdk tuntas</v>
      </c>
      <c r="L26" s="210" t="str">
        <f t="shared" si="2"/>
        <v>80</v>
      </c>
      <c r="M26" s="14"/>
      <c r="N26" s="24"/>
      <c r="O26" s="15"/>
      <c r="Q26" s="68" t="str">
        <f t="shared" si="3"/>
        <v>Livia Mozavina</v>
      </c>
      <c r="R26" s="21" t="str">
        <f t="shared" si="6"/>
        <v>82</v>
      </c>
      <c r="S26" s="14"/>
      <c r="T26" s="63"/>
    </row>
    <row r="27" spans="1:20" ht="12" customHeight="1" x14ac:dyDescent="0.25">
      <c r="A27" s="21">
        <v>20</v>
      </c>
      <c r="B27" s="19"/>
      <c r="C27" s="82" t="str">
        <f>DATA!B29</f>
        <v>Milatul Ulya Azzahra</v>
      </c>
      <c r="D27" s="134"/>
      <c r="E27" s="43"/>
      <c r="F27" s="43"/>
      <c r="G27" s="43"/>
      <c r="H27" s="44"/>
      <c r="I27" s="21">
        <f t="shared" si="4"/>
        <v>0</v>
      </c>
      <c r="J27" s="45">
        <f t="shared" si="0"/>
        <v>0</v>
      </c>
      <c r="K27" s="21" t="str">
        <f t="shared" si="1"/>
        <v>tdk tuntas</v>
      </c>
      <c r="L27" s="210" t="str">
        <f t="shared" si="2"/>
        <v>80</v>
      </c>
      <c r="M27" s="14" t="s">
        <v>53</v>
      </c>
      <c r="N27" s="78">
        <f>I44</f>
        <v>0</v>
      </c>
      <c r="O27" s="15"/>
      <c r="Q27" s="68" t="str">
        <f t="shared" si="3"/>
        <v>Milatul Ulya Azzahra</v>
      </c>
      <c r="R27" s="21" t="str">
        <f t="shared" si="6"/>
        <v>82</v>
      </c>
      <c r="S27" s="14"/>
      <c r="T27" s="63"/>
    </row>
    <row r="28" spans="1:20" ht="12" customHeight="1" x14ac:dyDescent="0.25">
      <c r="A28" s="21">
        <v>21</v>
      </c>
      <c r="B28" s="19"/>
      <c r="C28" s="82" t="str">
        <f>DATA!B30</f>
        <v>Muhammad Arif Pratama</v>
      </c>
      <c r="D28" s="248"/>
      <c r="E28" s="43"/>
      <c r="F28" s="43"/>
      <c r="G28" s="43"/>
      <c r="H28" s="44"/>
      <c r="I28" s="21">
        <f t="shared" si="4"/>
        <v>0</v>
      </c>
      <c r="J28" s="45">
        <f t="shared" si="0"/>
        <v>0</v>
      </c>
      <c r="K28" s="21" t="str">
        <f t="shared" si="1"/>
        <v>tdk tuntas</v>
      </c>
      <c r="L28" s="210" t="str">
        <f t="shared" si="2"/>
        <v>80</v>
      </c>
      <c r="M28" s="14" t="s">
        <v>54</v>
      </c>
      <c r="N28" s="78">
        <f>I45</f>
        <v>3200</v>
      </c>
      <c r="O28" s="15"/>
      <c r="Q28" s="68" t="str">
        <f t="shared" si="3"/>
        <v>Muhammad Arif Pratama</v>
      </c>
      <c r="R28" s="21" t="str">
        <f t="shared" si="6"/>
        <v>82</v>
      </c>
      <c r="S28" s="14"/>
      <c r="T28" s="63" t="str">
        <f>DATA!B3</f>
        <v>KASMIN, S.Pd</v>
      </c>
    </row>
    <row r="29" spans="1:20" ht="12" customHeight="1" x14ac:dyDescent="0.25">
      <c r="A29" s="21">
        <v>22</v>
      </c>
      <c r="B29" s="19"/>
      <c r="C29" s="82" t="str">
        <f>DATA!B31</f>
        <v>Muhammad Fahri Khoirudin</v>
      </c>
      <c r="D29" s="248"/>
      <c r="E29" s="43"/>
      <c r="F29" s="43"/>
      <c r="G29" s="43"/>
      <c r="H29" s="44"/>
      <c r="I29" s="21">
        <f t="shared" si="4"/>
        <v>0</v>
      </c>
      <c r="J29" s="45">
        <f t="shared" si="0"/>
        <v>0</v>
      </c>
      <c r="K29" s="21" t="str">
        <f t="shared" si="1"/>
        <v>tdk tuntas</v>
      </c>
      <c r="L29" s="210" t="str">
        <f t="shared" si="2"/>
        <v>80</v>
      </c>
      <c r="M29" s="14" t="s">
        <v>13</v>
      </c>
      <c r="N29" s="84">
        <f>N27/N28*100</f>
        <v>0</v>
      </c>
      <c r="O29" s="79" t="s">
        <v>4</v>
      </c>
      <c r="Q29" s="68" t="str">
        <f t="shared" si="3"/>
        <v>Muhammad Fahri Khoirudin</v>
      </c>
      <c r="R29" s="21" t="str">
        <f t="shared" si="6"/>
        <v>82</v>
      </c>
      <c r="S29" s="14"/>
      <c r="T29" s="63" t="str">
        <f>DATA!B4</f>
        <v>NIP : 196609141990031007</v>
      </c>
    </row>
    <row r="30" spans="1:20" ht="12" customHeight="1" x14ac:dyDescent="0.25">
      <c r="A30" s="21">
        <v>23</v>
      </c>
      <c r="B30" s="19"/>
      <c r="C30" s="82" t="str">
        <f>DATA!B32</f>
        <v>Muhammad Rakha Razansyah</v>
      </c>
      <c r="D30" s="248"/>
      <c r="E30" s="43"/>
      <c r="F30" s="43"/>
      <c r="G30" s="43"/>
      <c r="H30" s="44"/>
      <c r="I30" s="21">
        <f t="shared" si="4"/>
        <v>0</v>
      </c>
      <c r="J30" s="45">
        <f t="shared" si="0"/>
        <v>0</v>
      </c>
      <c r="K30" s="21" t="str">
        <f t="shared" si="1"/>
        <v>tdk tuntas</v>
      </c>
      <c r="L30" s="210" t="str">
        <f t="shared" si="2"/>
        <v>80</v>
      </c>
      <c r="M30" s="14"/>
      <c r="N30" s="24"/>
      <c r="O30" s="15"/>
      <c r="Q30" s="68" t="str">
        <f t="shared" si="3"/>
        <v>Muhammad Rakha Razansyah</v>
      </c>
      <c r="R30" s="21" t="str">
        <f t="shared" si="6"/>
        <v>82</v>
      </c>
      <c r="S30" s="14"/>
      <c r="T30" s="15"/>
    </row>
    <row r="31" spans="1:20" ht="12" customHeight="1" x14ac:dyDescent="0.25">
      <c r="A31" s="21">
        <v>24</v>
      </c>
      <c r="B31" s="19"/>
      <c r="C31" s="82" t="str">
        <f>DATA!B33</f>
        <v>Mutiara Dewi Khusna</v>
      </c>
      <c r="D31" s="248"/>
      <c r="E31" s="43"/>
      <c r="F31" s="43"/>
      <c r="G31" s="43"/>
      <c r="H31" s="44"/>
      <c r="I31" s="21">
        <f t="shared" si="4"/>
        <v>0</v>
      </c>
      <c r="J31" s="45">
        <f>I31</f>
        <v>0</v>
      </c>
      <c r="K31" s="21" t="str">
        <f t="shared" si="1"/>
        <v>tdk tuntas</v>
      </c>
      <c r="L31" s="210" t="str">
        <f t="shared" si="2"/>
        <v>80</v>
      </c>
      <c r="M31" s="14"/>
      <c r="N31" s="24"/>
      <c r="O31" s="15"/>
      <c r="Q31" s="68" t="str">
        <f t="shared" si="3"/>
        <v>Mutiara Dewi Khusna</v>
      </c>
      <c r="R31" s="21" t="str">
        <f>IF(I31&lt;$N$10,"85","")</f>
        <v>85</v>
      </c>
      <c r="S31" s="14"/>
      <c r="T31" s="63"/>
    </row>
    <row r="32" spans="1:20" ht="12" customHeight="1" x14ac:dyDescent="0.25">
      <c r="A32" s="21">
        <v>25</v>
      </c>
      <c r="B32" s="19"/>
      <c r="C32" s="82" t="str">
        <f>DATA!B34</f>
        <v>Qeysya Nabila Maharani</v>
      </c>
      <c r="D32" s="248"/>
      <c r="E32" s="43"/>
      <c r="F32" s="43"/>
      <c r="G32" s="43"/>
      <c r="H32" s="44"/>
      <c r="I32" s="21">
        <f t="shared" si="4"/>
        <v>0</v>
      </c>
      <c r="J32" s="45">
        <f t="shared" si="0"/>
        <v>0</v>
      </c>
      <c r="K32" s="21" t="str">
        <f t="shared" si="1"/>
        <v>tdk tuntas</v>
      </c>
      <c r="L32" s="210" t="str">
        <f t="shared" si="2"/>
        <v>80</v>
      </c>
      <c r="M32" s="14" t="s">
        <v>14</v>
      </c>
      <c r="N32" s="24"/>
      <c r="O32" s="15"/>
      <c r="Q32" s="68" t="str">
        <f t="shared" si="3"/>
        <v>Qeysya Nabila Maharani</v>
      </c>
      <c r="R32" s="21" t="str">
        <f>IF(I32&lt;$N$10,"81","")</f>
        <v>81</v>
      </c>
      <c r="S32" s="14"/>
      <c r="T32" s="63" t="s">
        <v>42</v>
      </c>
    </row>
    <row r="33" spans="1:20" ht="12" customHeight="1" x14ac:dyDescent="0.25">
      <c r="A33" s="21">
        <v>26</v>
      </c>
      <c r="B33" s="19"/>
      <c r="C33" s="82" t="str">
        <f>DATA!B35</f>
        <v>Raihan Akbar Ramadhan</v>
      </c>
      <c r="D33" s="248"/>
      <c r="E33" s="43"/>
      <c r="F33" s="43"/>
      <c r="G33" s="43"/>
      <c r="H33" s="44"/>
      <c r="I33" s="21">
        <f t="shared" si="4"/>
        <v>0</v>
      </c>
      <c r="J33" s="45">
        <f t="shared" si="0"/>
        <v>0</v>
      </c>
      <c r="K33" s="21" t="str">
        <f t="shared" si="1"/>
        <v>tdk tuntas</v>
      </c>
      <c r="L33" s="210" t="str">
        <f t="shared" si="2"/>
        <v>80</v>
      </c>
      <c r="M33" s="14" t="s">
        <v>15</v>
      </c>
      <c r="N33" s="24"/>
      <c r="O33" s="15"/>
      <c r="Q33" s="68" t="str">
        <f t="shared" si="3"/>
        <v>Raihan Akbar Ramadhan</v>
      </c>
      <c r="R33" s="21" t="str">
        <f>IF(I33&lt;$N$10,"82","")</f>
        <v>82</v>
      </c>
      <c r="S33" s="14"/>
      <c r="T33" s="63"/>
    </row>
    <row r="34" spans="1:20" ht="12" customHeight="1" x14ac:dyDescent="0.3">
      <c r="A34" s="21">
        <v>27</v>
      </c>
      <c r="B34" s="19"/>
      <c r="C34" s="82" t="str">
        <f>DATA!B36</f>
        <v>Ramadhani</v>
      </c>
      <c r="D34" s="248"/>
      <c r="E34" s="43"/>
      <c r="F34" s="43"/>
      <c r="G34" s="43"/>
      <c r="H34" s="44"/>
      <c r="I34" s="21">
        <f t="shared" si="4"/>
        <v>0</v>
      </c>
      <c r="J34" s="45">
        <f t="shared" si="0"/>
        <v>0</v>
      </c>
      <c r="K34" s="21" t="str">
        <f t="shared" si="1"/>
        <v>tdk tuntas</v>
      </c>
      <c r="L34" s="210" t="str">
        <f t="shared" si="2"/>
        <v>80</v>
      </c>
      <c r="M34" s="155" t="s">
        <v>80</v>
      </c>
      <c r="N34" s="24"/>
      <c r="O34" s="15"/>
      <c r="Q34" s="68" t="str">
        <f t="shared" si="3"/>
        <v>Ramadhani</v>
      </c>
      <c r="R34" s="21" t="str">
        <f>IF(I34&lt;$N$10,"82","")</f>
        <v>82</v>
      </c>
      <c r="S34" s="14"/>
      <c r="T34" s="63"/>
    </row>
    <row r="35" spans="1:20" ht="12" customHeight="1" x14ac:dyDescent="0.25">
      <c r="A35" s="21">
        <v>28</v>
      </c>
      <c r="B35" s="19"/>
      <c r="C35" s="82" t="str">
        <f>DATA!B37</f>
        <v>Rangga Putra Raditya</v>
      </c>
      <c r="D35" s="134"/>
      <c r="E35" s="43"/>
      <c r="F35" s="43"/>
      <c r="G35" s="43"/>
      <c r="H35" s="44"/>
      <c r="I35" s="21">
        <f t="shared" si="4"/>
        <v>0</v>
      </c>
      <c r="J35" s="45">
        <f>I35</f>
        <v>0</v>
      </c>
      <c r="K35" s="21" t="str">
        <f>IF(J35&lt;$N$10,"tdk tuntas","tuntas")</f>
        <v>tdk tuntas</v>
      </c>
      <c r="L35" s="210" t="str">
        <f t="shared" si="2"/>
        <v>80</v>
      </c>
      <c r="M35" s="14"/>
      <c r="N35" s="24"/>
      <c r="O35" s="15"/>
      <c r="Q35" s="68" t="str">
        <f t="shared" si="3"/>
        <v>Rangga Putra Raditya</v>
      </c>
      <c r="R35" s="21" t="str">
        <f>IF(I35&lt;$N$10,"81","")</f>
        <v>81</v>
      </c>
      <c r="S35" s="14"/>
      <c r="T35" s="63"/>
    </row>
    <row r="36" spans="1:20" ht="12" customHeight="1" x14ac:dyDescent="0.25">
      <c r="A36" s="21">
        <v>29</v>
      </c>
      <c r="B36" s="19"/>
      <c r="C36" s="82" t="str">
        <f>DATA!B38</f>
        <v>Safa Nasila Anajwa</v>
      </c>
      <c r="D36" s="134"/>
      <c r="E36" s="43"/>
      <c r="F36" s="43"/>
      <c r="G36" s="43"/>
      <c r="H36" s="44"/>
      <c r="I36" s="21">
        <f t="shared" si="4"/>
        <v>0</v>
      </c>
      <c r="J36" s="45">
        <f>I36</f>
        <v>0</v>
      </c>
      <c r="K36" s="21" t="str">
        <f>IF(J36&lt;$N$10,"tdk tuntas","tuntas")</f>
        <v>tdk tuntas</v>
      </c>
      <c r="L36" s="210" t="str">
        <f t="shared" si="2"/>
        <v>80</v>
      </c>
      <c r="M36" s="14"/>
      <c r="N36" s="24"/>
      <c r="O36" s="15"/>
      <c r="Q36" s="68" t="str">
        <f t="shared" si="3"/>
        <v>Safa Nasila Anajwa</v>
      </c>
      <c r="R36" s="21" t="str">
        <f>IF(I36&lt;$N$10,"85","")</f>
        <v>85</v>
      </c>
      <c r="S36" s="14"/>
      <c r="T36" s="63"/>
    </row>
    <row r="37" spans="1:20" ht="12" customHeight="1" x14ac:dyDescent="0.25">
      <c r="A37" s="21">
        <v>30</v>
      </c>
      <c r="B37" s="19"/>
      <c r="C37" s="82" t="str">
        <f>DATA!B39</f>
        <v>Sila Ayu Kurnia</v>
      </c>
      <c r="D37" s="248"/>
      <c r="E37" s="43"/>
      <c r="F37" s="43"/>
      <c r="G37" s="43"/>
      <c r="H37" s="44"/>
      <c r="I37" s="21">
        <f t="shared" si="4"/>
        <v>0</v>
      </c>
      <c r="J37" s="45">
        <f>I37</f>
        <v>0</v>
      </c>
      <c r="K37" s="21" t="str">
        <f>IF(J37&lt;$N$10,"tdk tuntas","tuntas")</f>
        <v>tdk tuntas</v>
      </c>
      <c r="L37" s="210" t="str">
        <f t="shared" si="2"/>
        <v>80</v>
      </c>
      <c r="M37" s="14"/>
      <c r="N37" s="24"/>
      <c r="O37" s="15"/>
      <c r="Q37" s="68" t="str">
        <f t="shared" si="3"/>
        <v>Sila Ayu Kurnia</v>
      </c>
      <c r="R37" s="21" t="str">
        <f>IF(I37&lt;$N$10,"84","")</f>
        <v>84</v>
      </c>
      <c r="S37" s="14"/>
      <c r="T37" s="63" t="str">
        <f>DATA!D3</f>
        <v>Dra. BAROKAH GUNIARTI</v>
      </c>
    </row>
    <row r="38" spans="1:20" ht="12" customHeight="1" x14ac:dyDescent="0.25">
      <c r="A38" s="21">
        <v>31</v>
      </c>
      <c r="B38" s="19"/>
      <c r="C38" s="82" t="str">
        <f>DATA!B40</f>
        <v>Sindhi Nandha Lusia</v>
      </c>
      <c r="D38" s="134"/>
      <c r="E38" s="43"/>
      <c r="F38" s="43"/>
      <c r="G38" s="43"/>
      <c r="H38" s="44"/>
      <c r="I38" s="21">
        <f t="shared" si="4"/>
        <v>0</v>
      </c>
      <c r="J38" s="45">
        <f>I38</f>
        <v>0</v>
      </c>
      <c r="K38" s="21" t="str">
        <f>IF(J38&lt;$N$10,"tdk tuntas","tuntas")</f>
        <v>tdk tuntas</v>
      </c>
      <c r="L38" s="210" t="str">
        <f t="shared" si="2"/>
        <v>80</v>
      </c>
      <c r="M38" s="14" t="s">
        <v>56</v>
      </c>
      <c r="N38" s="24"/>
      <c r="O38" s="15"/>
      <c r="Q38" s="68" t="str">
        <f t="shared" si="3"/>
        <v>Sindhi Nandha Lusia</v>
      </c>
      <c r="R38" s="21" t="str">
        <f>IF(I38&lt;$N$10,"84","")</f>
        <v>84</v>
      </c>
      <c r="S38" s="14"/>
      <c r="T38" s="103" t="str">
        <f>DATA!D4</f>
        <v>NIP : 196901081996122004</v>
      </c>
    </row>
    <row r="39" spans="1:20" ht="12" customHeight="1" x14ac:dyDescent="0.25">
      <c r="A39" s="21">
        <v>32</v>
      </c>
      <c r="B39" s="19"/>
      <c r="C39" s="82" t="str">
        <f>DATA!B41</f>
        <v>Siti Alfiani</v>
      </c>
      <c r="D39" s="248"/>
      <c r="E39" s="43"/>
      <c r="F39" s="43"/>
      <c r="G39" s="43"/>
      <c r="H39" s="44"/>
      <c r="I39" s="21">
        <f>SUM(D39:H39)</f>
        <v>0</v>
      </c>
      <c r="J39" s="45">
        <f>I39</f>
        <v>0</v>
      </c>
      <c r="K39" s="21" t="str">
        <f>IF(J39&lt;$N$10,"tdk tuntas","tuntas")</f>
        <v>tdk tuntas</v>
      </c>
      <c r="L39" s="210" t="str">
        <f t="shared" si="2"/>
        <v>80</v>
      </c>
      <c r="M39" s="14"/>
      <c r="N39" s="24"/>
      <c r="O39" s="15"/>
      <c r="Q39" s="68"/>
      <c r="R39" s="21"/>
      <c r="S39" s="14"/>
      <c r="T39" s="15"/>
    </row>
    <row r="40" spans="1:20" ht="12" customHeight="1" x14ac:dyDescent="0.25">
      <c r="A40" s="21">
        <v>33</v>
      </c>
      <c r="B40" s="19"/>
      <c r="C40" s="82"/>
      <c r="D40" s="42" t="s">
        <v>63</v>
      </c>
      <c r="E40" s="43"/>
      <c r="F40" s="43"/>
      <c r="G40" s="43"/>
      <c r="H40" s="44"/>
      <c r="I40" s="21"/>
      <c r="J40" s="45"/>
      <c r="K40" s="21"/>
      <c r="L40" s="135"/>
      <c r="M40" s="14" t="s">
        <v>16</v>
      </c>
      <c r="N40" s="24"/>
      <c r="O40" s="15"/>
      <c r="Q40" s="68"/>
      <c r="R40" s="21"/>
      <c r="S40" s="14"/>
      <c r="T40" s="15"/>
    </row>
    <row r="41" spans="1:20" ht="12" customHeight="1" x14ac:dyDescent="0.25">
      <c r="A41" s="21">
        <v>34</v>
      </c>
      <c r="B41" s="19"/>
      <c r="C41" s="82"/>
      <c r="D41" s="42"/>
      <c r="E41" s="43"/>
      <c r="F41" s="43"/>
      <c r="G41" s="43"/>
      <c r="H41" s="44"/>
      <c r="I41" s="21"/>
      <c r="J41" s="45"/>
      <c r="K41" s="21"/>
      <c r="L41" s="135"/>
      <c r="M41" s="14" t="s">
        <v>59</v>
      </c>
      <c r="N41" s="24"/>
      <c r="O41" s="15"/>
      <c r="Q41" s="68"/>
      <c r="R41" s="21"/>
      <c r="S41" s="14"/>
      <c r="T41" s="15"/>
    </row>
    <row r="42" spans="1:20" ht="12" customHeight="1" x14ac:dyDescent="0.25">
      <c r="A42" s="140">
        <v>35</v>
      </c>
      <c r="B42" s="171"/>
      <c r="C42" s="163"/>
      <c r="D42" s="136" t="s">
        <v>63</v>
      </c>
      <c r="E42" s="137"/>
      <c r="F42" s="137"/>
      <c r="G42" s="137"/>
      <c r="H42" s="138"/>
      <c r="I42" s="140"/>
      <c r="J42" s="172"/>
      <c r="K42" s="140"/>
      <c r="L42" s="139"/>
      <c r="M42" s="14" t="s">
        <v>23</v>
      </c>
      <c r="N42" s="24"/>
      <c r="O42" s="15"/>
      <c r="Q42" s="68"/>
      <c r="R42" s="21"/>
      <c r="S42" s="16"/>
      <c r="T42" s="17"/>
    </row>
    <row r="43" spans="1:20" ht="12" customHeight="1" x14ac:dyDescent="0.25">
      <c r="A43" s="164" t="s">
        <v>64</v>
      </c>
      <c r="B43" s="165"/>
      <c r="C43" s="166"/>
      <c r="D43" s="150"/>
      <c r="E43" s="151"/>
      <c r="F43" s="151"/>
      <c r="G43" s="151"/>
      <c r="H43" s="152"/>
      <c r="I43" s="167">
        <f>AVERAGE(I8:I42)</f>
        <v>0</v>
      </c>
      <c r="J43" s="168"/>
      <c r="K43" s="169"/>
      <c r="L43" s="170"/>
      <c r="M43" s="14"/>
      <c r="N43" s="24"/>
      <c r="O43" s="15"/>
      <c r="Q43" s="60" t="s">
        <v>63</v>
      </c>
      <c r="R43" s="471" t="str">
        <f>C4</f>
        <v>9A</v>
      </c>
      <c r="S43" s="471"/>
      <c r="T43" s="61"/>
    </row>
    <row r="44" spans="1:20" ht="12" customHeight="1" x14ac:dyDescent="0.25">
      <c r="A44" s="14" t="s">
        <v>17</v>
      </c>
      <c r="B44" s="24"/>
      <c r="C44" s="15"/>
      <c r="D44" s="42">
        <f>SUM(D8:D42)</f>
        <v>0</v>
      </c>
      <c r="E44" s="43">
        <f>SUM(E8:E42)</f>
        <v>0</v>
      </c>
      <c r="F44" s="43">
        <f>SUM(F8:F42)</f>
        <v>0</v>
      </c>
      <c r="G44" s="43">
        <f>SUM(G8:G42)</f>
        <v>0</v>
      </c>
      <c r="H44" s="44">
        <f>SUM(H8:H42)</f>
        <v>0</v>
      </c>
      <c r="I44" s="80">
        <f>SUM(D44:H44)</f>
        <v>0</v>
      </c>
      <c r="J44" s="85" t="s">
        <v>49</v>
      </c>
      <c r="K44" s="48">
        <f>COUNTIF(K8:K42,J44)</f>
        <v>0</v>
      </c>
      <c r="L44" s="64"/>
      <c r="M44" s="14"/>
      <c r="N44" s="24"/>
      <c r="O44" s="15"/>
      <c r="Q44" s="30"/>
      <c r="R44" s="472"/>
      <c r="S44" s="472"/>
      <c r="T44" s="31"/>
    </row>
    <row r="45" spans="1:20" ht="12" customHeight="1" x14ac:dyDescent="0.25">
      <c r="A45" s="14" t="s">
        <v>18</v>
      </c>
      <c r="B45" s="24"/>
      <c r="C45" s="15"/>
      <c r="D45" s="42">
        <f>D6*K46</f>
        <v>640</v>
      </c>
      <c r="E45" s="42">
        <f>E6*K46</f>
        <v>640</v>
      </c>
      <c r="F45" s="42">
        <f>F6*K46</f>
        <v>640</v>
      </c>
      <c r="G45" s="42">
        <f>G6*K46</f>
        <v>640</v>
      </c>
      <c r="H45" s="42">
        <f>H6*K46</f>
        <v>640</v>
      </c>
      <c r="I45" s="80">
        <f>SUM(D45:H45)</f>
        <v>3200</v>
      </c>
      <c r="J45" s="86" t="s">
        <v>50</v>
      </c>
      <c r="K45" s="48">
        <f>COUNTIF(K8:K42,J45)</f>
        <v>32</v>
      </c>
      <c r="L45" s="64"/>
      <c r="M45" s="14"/>
      <c r="N45" s="100"/>
      <c r="O45" s="15"/>
      <c r="Q45" s="30"/>
      <c r="R45" s="472"/>
      <c r="S45" s="472"/>
      <c r="T45" s="31"/>
    </row>
    <row r="46" spans="1:20" ht="12" customHeight="1" x14ac:dyDescent="0.25">
      <c r="A46" s="26" t="s">
        <v>19</v>
      </c>
      <c r="B46" s="27"/>
      <c r="C46" s="28"/>
      <c r="D46" s="136">
        <f t="shared" ref="D46:I46" si="7">D44/D45*100</f>
        <v>0</v>
      </c>
      <c r="E46" s="136">
        <f t="shared" si="7"/>
        <v>0</v>
      </c>
      <c r="F46" s="136">
        <f t="shared" si="7"/>
        <v>0</v>
      </c>
      <c r="G46" s="136">
        <f t="shared" si="7"/>
        <v>0</v>
      </c>
      <c r="H46" s="136">
        <f t="shared" si="7"/>
        <v>0</v>
      </c>
      <c r="I46" s="50">
        <f t="shared" si="7"/>
        <v>0</v>
      </c>
      <c r="J46" s="75" t="s">
        <v>57</v>
      </c>
      <c r="K46" s="49">
        <f>SUM(K44:K45)</f>
        <v>32</v>
      </c>
      <c r="L46" s="66"/>
      <c r="M46" s="16"/>
      <c r="N46" s="25"/>
      <c r="O46" s="17"/>
      <c r="Q46" s="8"/>
      <c r="R46" s="473"/>
      <c r="S46" s="473"/>
      <c r="T46" s="9"/>
    </row>
    <row r="47" spans="1:20" ht="12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20" ht="12" customHeight="1" x14ac:dyDescent="0.25">
      <c r="A48" s="453" t="str">
        <f>'UH1'!A48</f>
        <v>ANALISA HASIL PH MATEMATIKA KLS IX  SMT GENAP</v>
      </c>
      <c r="B48" s="454"/>
      <c r="C48" s="454"/>
      <c r="D48" s="454"/>
      <c r="E48" s="454"/>
      <c r="F48" s="454"/>
      <c r="G48" s="454"/>
      <c r="H48" s="454"/>
      <c r="I48" s="454"/>
      <c r="J48" s="454"/>
      <c r="K48" s="454"/>
      <c r="L48" s="454"/>
      <c r="M48" s="454"/>
      <c r="N48" s="454"/>
      <c r="O48" s="455"/>
      <c r="Q48" s="456" t="s">
        <v>40</v>
      </c>
      <c r="R48" s="457"/>
      <c r="S48" s="457"/>
      <c r="T48" s="458"/>
    </row>
    <row r="49" spans="1:20" ht="12" customHeight="1" x14ac:dyDescent="0.25">
      <c r="A49" s="453" t="str">
        <f>A2</f>
        <v>SMP I LIMBANGAN  TH 2025/2026</v>
      </c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  <c r="O49" s="455"/>
      <c r="Q49" s="453" t="s">
        <v>61</v>
      </c>
      <c r="R49" s="454"/>
      <c r="S49" s="454"/>
      <c r="T49" s="455"/>
    </row>
    <row r="50" spans="1:20" ht="12" customHeight="1" x14ac:dyDescent="0.25"/>
    <row r="51" spans="1:20" ht="12" customHeight="1" x14ac:dyDescent="0.25">
      <c r="A51" s="99" t="s">
        <v>66</v>
      </c>
      <c r="C51" s="102" t="str">
        <f>DATA!D8</f>
        <v>9B</v>
      </c>
      <c r="D51" t="s">
        <v>21</v>
      </c>
      <c r="F51" s="87">
        <f>F4</f>
        <v>3</v>
      </c>
      <c r="I51" t="s">
        <v>20</v>
      </c>
      <c r="K51" s="72">
        <v>45966</v>
      </c>
      <c r="M51" s="1" t="s">
        <v>60</v>
      </c>
      <c r="N51" s="87">
        <f>N4</f>
        <v>3</v>
      </c>
      <c r="Q51" t="s">
        <v>28</v>
      </c>
      <c r="R51" s="470">
        <f>K51+7</f>
        <v>45973</v>
      </c>
      <c r="S51" s="470"/>
    </row>
    <row r="52" spans="1:20" ht="12" customHeight="1" x14ac:dyDescent="0.25">
      <c r="A52" s="2"/>
      <c r="B52" s="2"/>
      <c r="C52" s="3" t="s">
        <v>7</v>
      </c>
      <c r="D52" s="32">
        <v>1</v>
      </c>
      <c r="E52" s="33">
        <v>2</v>
      </c>
      <c r="F52" s="33">
        <v>3</v>
      </c>
      <c r="G52" s="33">
        <v>4</v>
      </c>
      <c r="H52" s="34">
        <v>5</v>
      </c>
      <c r="I52" s="35" t="s">
        <v>3</v>
      </c>
      <c r="J52" s="4" t="s">
        <v>4</v>
      </c>
      <c r="K52" s="53" t="s">
        <v>83</v>
      </c>
      <c r="L52" s="35" t="s">
        <v>43</v>
      </c>
      <c r="M52" s="459" t="s">
        <v>9</v>
      </c>
      <c r="N52" s="460"/>
      <c r="O52" s="461"/>
      <c r="Q52" s="2"/>
      <c r="R52" s="35" t="s">
        <v>24</v>
      </c>
      <c r="S52" s="60"/>
      <c r="T52" s="61"/>
    </row>
    <row r="53" spans="1:20" ht="12" customHeight="1" x14ac:dyDescent="0.25">
      <c r="A53" s="6" t="s">
        <v>0</v>
      </c>
      <c r="B53" s="6" t="s">
        <v>1</v>
      </c>
      <c r="C53" s="5" t="s">
        <v>8</v>
      </c>
      <c r="D53" s="55">
        <f>D6</f>
        <v>20</v>
      </c>
      <c r="E53" s="56">
        <f>E6</f>
        <v>20</v>
      </c>
      <c r="F53" s="56">
        <f>F6</f>
        <v>20</v>
      </c>
      <c r="G53" s="56">
        <f>G6</f>
        <v>20</v>
      </c>
      <c r="H53" s="105">
        <f>H6</f>
        <v>20</v>
      </c>
      <c r="I53" s="21">
        <f>SUM(D53:H53)</f>
        <v>100</v>
      </c>
      <c r="J53" s="6" t="s">
        <v>5</v>
      </c>
      <c r="K53" s="52" t="s">
        <v>22</v>
      </c>
      <c r="L53" s="11" t="s">
        <v>44</v>
      </c>
      <c r="M53" s="462"/>
      <c r="N53" s="463"/>
      <c r="O53" s="464"/>
      <c r="Q53" s="6" t="s">
        <v>2</v>
      </c>
      <c r="R53" s="11" t="s">
        <v>25</v>
      </c>
      <c r="S53" s="468" t="s">
        <v>27</v>
      </c>
      <c r="T53" s="469"/>
    </row>
    <row r="54" spans="1:20" ht="12" customHeight="1" x14ac:dyDescent="0.25">
      <c r="A54" s="6"/>
      <c r="B54" s="6"/>
      <c r="C54" s="51" t="s">
        <v>2</v>
      </c>
      <c r="D54" s="36"/>
      <c r="E54" s="37"/>
      <c r="F54" s="37"/>
      <c r="G54" s="37"/>
      <c r="H54" s="38"/>
      <c r="I54" s="11"/>
      <c r="J54" s="6" t="s">
        <v>6</v>
      </c>
      <c r="K54" s="54"/>
      <c r="L54" s="59" t="s">
        <v>45</v>
      </c>
      <c r="M54" s="465"/>
      <c r="N54" s="466"/>
      <c r="O54" s="467"/>
      <c r="Q54" s="7"/>
      <c r="R54" s="59" t="s">
        <v>26</v>
      </c>
      <c r="S54" s="8"/>
      <c r="T54" s="9"/>
    </row>
    <row r="55" spans="1:20" ht="12" customHeight="1" x14ac:dyDescent="0.25">
      <c r="A55" s="20">
        <v>1</v>
      </c>
      <c r="B55" s="18"/>
      <c r="C55" s="81" t="str">
        <f>DATA!D10</f>
        <v>Abid Lionel Abdillah</v>
      </c>
      <c r="D55" s="131"/>
      <c r="E55" s="40"/>
      <c r="F55" s="40"/>
      <c r="G55" s="40"/>
      <c r="H55" s="41"/>
      <c r="I55" s="20">
        <f>SUM(D55:H55)</f>
        <v>0</v>
      </c>
      <c r="J55" s="46">
        <f>I55</f>
        <v>0</v>
      </c>
      <c r="K55" s="21" t="str">
        <f>IF(J55&lt;$N$10,"tdk tuntas","tuntas")</f>
        <v>tdk tuntas</v>
      </c>
      <c r="L55" s="209" t="str">
        <f>IF(J55&lt;=39.9,"80",IF(J55&lt;=59.9,"81",IF(J55&lt;=69.9,"82",IF(J55&lt;=74.9,"83",IF(J55&lt;=78.9,"84",IF(J55&lt;=78.9,"85",IF(J55&gt;=78.9,J55," ")))))))</f>
        <v>80</v>
      </c>
      <c r="M55" s="12"/>
      <c r="N55" s="23"/>
      <c r="O55" s="13"/>
      <c r="Q55" s="67" t="str">
        <f>C55</f>
        <v>Abid Lionel Abdillah</v>
      </c>
      <c r="R55" s="21" t="str">
        <f>IF(I55&lt;$N$10,"80","")</f>
        <v>80</v>
      </c>
      <c r="S55" s="12"/>
      <c r="T55" s="13"/>
    </row>
    <row r="56" spans="1:20" ht="12" customHeight="1" x14ac:dyDescent="0.25">
      <c r="A56" s="21">
        <v>2</v>
      </c>
      <c r="B56" s="19"/>
      <c r="C56" s="82" t="str">
        <f>DATA!D11</f>
        <v>Aditria Bintang Mustofa</v>
      </c>
      <c r="D56" s="248"/>
      <c r="E56" s="43"/>
      <c r="F56" s="43"/>
      <c r="G56" s="43"/>
      <c r="H56" s="44"/>
      <c r="I56" s="21">
        <f>SUM(D56:H56)</f>
        <v>0</v>
      </c>
      <c r="J56" s="45">
        <f t="shared" ref="J56:J86" si="8">I56</f>
        <v>0</v>
      </c>
      <c r="K56" s="21" t="str">
        <f t="shared" ref="K56:K86" si="9">IF(J56&lt;$N$10,"tdk tuntas","tuntas")</f>
        <v>tdk tuntas</v>
      </c>
      <c r="L56" s="210" t="str">
        <f t="shared" ref="L56:L86" si="10">IF(J56&lt;=39.9,"80",IF(J56&lt;=59.9,"81",IF(J56&lt;=69.9,"82",IF(J56&lt;=74.9,"83",IF(J56&lt;=78.9,"84",IF(J56&lt;=78.9,"85",IF(J56&gt;=78.9,J56," ")))))))</f>
        <v>80</v>
      </c>
      <c r="M56" s="14"/>
      <c r="N56" s="24"/>
      <c r="O56" s="15"/>
      <c r="Q56" s="68" t="str">
        <f t="shared" ref="Q56:Q86" si="11">C56</f>
        <v>Aditria Bintang Mustofa</v>
      </c>
      <c r="R56" s="21" t="str">
        <f>IF(I56&lt;$N$10,"81","")</f>
        <v>81</v>
      </c>
      <c r="S56" s="14" t="s">
        <v>29</v>
      </c>
      <c r="T56" s="15"/>
    </row>
    <row r="57" spans="1:20" ht="12" customHeight="1" thickBot="1" x14ac:dyDescent="0.35">
      <c r="A57" s="21">
        <v>3</v>
      </c>
      <c r="B57" s="19"/>
      <c r="C57" s="82" t="str">
        <f>DATA!D12</f>
        <v>Agni Wulan Pramesti</v>
      </c>
      <c r="D57" s="248"/>
      <c r="E57" s="43"/>
      <c r="F57" s="43"/>
      <c r="G57" s="43"/>
      <c r="H57" s="44"/>
      <c r="I57" s="21">
        <f t="shared" ref="I57:I86" si="12">SUM(D57:H57)</f>
        <v>0</v>
      </c>
      <c r="J57" s="45">
        <f t="shared" si="8"/>
        <v>0</v>
      </c>
      <c r="K57" s="21" t="str">
        <f t="shared" si="9"/>
        <v>tdk tuntas</v>
      </c>
      <c r="L57" s="210" t="str">
        <f t="shared" si="10"/>
        <v>80</v>
      </c>
      <c r="M57" s="70" t="s">
        <v>62</v>
      </c>
      <c r="N57" s="76">
        <f>N10</f>
        <v>80</v>
      </c>
      <c r="O57" s="15"/>
      <c r="Q57" s="68" t="str">
        <f t="shared" si="11"/>
        <v>Agni Wulan Pramesti</v>
      </c>
      <c r="R57" s="21" t="str">
        <f>IF(I57&lt;$N$10,"81","")</f>
        <v>81</v>
      </c>
      <c r="S57" s="26"/>
      <c r="T57" s="15"/>
    </row>
    <row r="58" spans="1:20" ht="12" customHeight="1" thickTop="1" thickBot="1" x14ac:dyDescent="0.3">
      <c r="A58" s="21">
        <v>4</v>
      </c>
      <c r="B58" s="19"/>
      <c r="C58" s="133" t="str">
        <f>DATA!D13</f>
        <v>Ahmad Irfan Annadif</v>
      </c>
      <c r="D58" s="248"/>
      <c r="E58" s="43"/>
      <c r="F58" s="43"/>
      <c r="G58" s="43"/>
      <c r="H58" s="44"/>
      <c r="I58" s="21">
        <f>SUM(D58:H58)</f>
        <v>0</v>
      </c>
      <c r="J58" s="45">
        <f>I58</f>
        <v>0</v>
      </c>
      <c r="K58" s="21" t="str">
        <f>IF(J58&lt;$N$10,"tdk tuntas","tuntas")</f>
        <v>tdk tuntas</v>
      </c>
      <c r="L58" s="210" t="str">
        <f t="shared" si="10"/>
        <v>80</v>
      </c>
      <c r="M58" s="14"/>
      <c r="N58" s="24"/>
      <c r="O58" s="15"/>
      <c r="Q58" s="68"/>
      <c r="R58" s="21" t="str">
        <f>IF(I58&lt;$N$10,"84","")</f>
        <v>84</v>
      </c>
      <c r="S58" s="62"/>
      <c r="T58" s="15" t="s">
        <v>35</v>
      </c>
    </row>
    <row r="59" spans="1:20" ht="12" customHeight="1" thickTop="1" thickBot="1" x14ac:dyDescent="0.3">
      <c r="A59" s="21">
        <v>5</v>
      </c>
      <c r="B59" s="19"/>
      <c r="C59" s="82" t="str">
        <f>DATA!D14</f>
        <v>Alesha Najwa Adelia</v>
      </c>
      <c r="D59" s="248"/>
      <c r="E59" s="43"/>
      <c r="F59" s="43"/>
      <c r="G59" s="43"/>
      <c r="H59" s="44"/>
      <c r="I59" s="21">
        <f t="shared" si="12"/>
        <v>0</v>
      </c>
      <c r="J59" s="45">
        <f t="shared" si="8"/>
        <v>0</v>
      </c>
      <c r="K59" s="21" t="str">
        <f t="shared" si="9"/>
        <v>tdk tuntas</v>
      </c>
      <c r="L59" s="210" t="str">
        <f t="shared" si="10"/>
        <v>80</v>
      </c>
      <c r="M59" s="14"/>
      <c r="N59" s="24"/>
      <c r="O59" s="15"/>
      <c r="Q59" s="68" t="str">
        <f t="shared" si="11"/>
        <v>Alesha Najwa Adelia</v>
      </c>
      <c r="R59" s="21" t="str">
        <f>IF(I59&lt;$N$10,"87","")</f>
        <v>87</v>
      </c>
      <c r="S59" s="158"/>
      <c r="T59" s="15" t="s">
        <v>38</v>
      </c>
    </row>
    <row r="60" spans="1:20" ht="12" customHeight="1" thickTop="1" thickBot="1" x14ac:dyDescent="0.3">
      <c r="A60" s="21">
        <v>6</v>
      </c>
      <c r="B60" s="19"/>
      <c r="C60" s="82" t="str">
        <f>DATA!D15</f>
        <v>Ana Kharisma Wardani</v>
      </c>
      <c r="D60" s="134"/>
      <c r="E60" s="43"/>
      <c r="F60" s="43"/>
      <c r="G60" s="43"/>
      <c r="H60" s="44"/>
      <c r="I60" s="21">
        <f t="shared" si="12"/>
        <v>0</v>
      </c>
      <c r="J60" s="45">
        <f t="shared" si="8"/>
        <v>0</v>
      </c>
      <c r="K60" s="21" t="str">
        <f t="shared" si="9"/>
        <v>tdk tuntas</v>
      </c>
      <c r="L60" s="210" t="str">
        <f t="shared" si="10"/>
        <v>80</v>
      </c>
      <c r="M60" s="14" t="s">
        <v>10</v>
      </c>
      <c r="N60" s="24"/>
      <c r="O60" s="15"/>
      <c r="Q60" s="68" t="str">
        <f t="shared" si="11"/>
        <v>Ana Kharisma Wardani</v>
      </c>
      <c r="R60" s="21" t="str">
        <f>IF(I60&lt;$N$10,"82","")</f>
        <v>82</v>
      </c>
      <c r="S60" s="155"/>
      <c r="T60" s="15" t="s">
        <v>39</v>
      </c>
    </row>
    <row r="61" spans="1:20" ht="12" customHeight="1" thickTop="1" thickBot="1" x14ac:dyDescent="0.35">
      <c r="A61" s="21">
        <v>7</v>
      </c>
      <c r="B61" s="19"/>
      <c r="C61" s="82" t="str">
        <f>DATA!D16</f>
        <v>Angga Rizki Satriya Utama</v>
      </c>
      <c r="D61" s="248"/>
      <c r="E61" s="43"/>
      <c r="F61" s="43"/>
      <c r="G61" s="43"/>
      <c r="H61" s="44"/>
      <c r="I61" s="21">
        <f t="shared" si="12"/>
        <v>0</v>
      </c>
      <c r="J61" s="45">
        <f t="shared" si="8"/>
        <v>0</v>
      </c>
      <c r="K61" s="21" t="str">
        <f t="shared" si="9"/>
        <v>tdk tuntas</v>
      </c>
      <c r="L61" s="210" t="str">
        <f t="shared" si="10"/>
        <v>80</v>
      </c>
      <c r="M61" s="14"/>
      <c r="N61" s="24"/>
      <c r="O61" s="15"/>
      <c r="Q61" s="68" t="str">
        <f t="shared" si="11"/>
        <v>Angga Rizki Satriya Utama</v>
      </c>
      <c r="R61" s="21" t="str">
        <f>IF(I61&lt;$N$10,"80","")</f>
        <v>80</v>
      </c>
      <c r="S61" s="71" t="s">
        <v>81</v>
      </c>
      <c r="T61" s="119" t="s">
        <v>36</v>
      </c>
    </row>
    <row r="62" spans="1:20" ht="12" customHeight="1" thickTop="1" x14ac:dyDescent="0.25">
      <c r="A62" s="21">
        <v>8</v>
      </c>
      <c r="B62" s="19"/>
      <c r="C62" s="82" t="str">
        <f>DATA!D17</f>
        <v>Ardiyan Vebri Pratama</v>
      </c>
      <c r="D62" s="134"/>
      <c r="E62" s="43"/>
      <c r="F62" s="43"/>
      <c r="G62" s="43"/>
      <c r="H62" s="44"/>
      <c r="I62" s="21">
        <f t="shared" si="12"/>
        <v>0</v>
      </c>
      <c r="J62" s="45">
        <f t="shared" si="8"/>
        <v>0</v>
      </c>
      <c r="K62" s="21" t="str">
        <f t="shared" si="9"/>
        <v>tdk tuntas</v>
      </c>
      <c r="L62" s="210" t="str">
        <f t="shared" si="10"/>
        <v>80</v>
      </c>
      <c r="M62" s="77" t="s">
        <v>51</v>
      </c>
      <c r="N62" s="24"/>
      <c r="O62" s="15"/>
      <c r="Q62" s="68" t="str">
        <f t="shared" si="11"/>
        <v>Ardiyan Vebri Pratama</v>
      </c>
      <c r="R62" s="21" t="str">
        <f>IF(I62&lt;$N$10,"84","")</f>
        <v>84</v>
      </c>
      <c r="S62" s="155"/>
      <c r="T62" s="119" t="s">
        <v>37</v>
      </c>
    </row>
    <row r="63" spans="1:20" ht="12" customHeight="1" x14ac:dyDescent="0.25">
      <c r="A63" s="21">
        <v>9</v>
      </c>
      <c r="B63" s="19"/>
      <c r="C63" s="82" t="str">
        <f>DATA!D18</f>
        <v>Aurel Azza Adellia Putri</v>
      </c>
      <c r="D63" s="134"/>
      <c r="E63" s="43"/>
      <c r="F63" s="43"/>
      <c r="G63" s="43"/>
      <c r="H63" s="44"/>
      <c r="I63" s="21">
        <f t="shared" si="12"/>
        <v>0</v>
      </c>
      <c r="J63" s="45">
        <f t="shared" si="8"/>
        <v>0</v>
      </c>
      <c r="K63" s="21" t="str">
        <f t="shared" si="9"/>
        <v>tdk tuntas</v>
      </c>
      <c r="L63" s="210" t="str">
        <f t="shared" si="10"/>
        <v>80</v>
      </c>
      <c r="N63" s="24"/>
      <c r="O63" s="15"/>
      <c r="Q63" s="68" t="str">
        <f t="shared" si="11"/>
        <v>Aurel Azza Adellia Putri</v>
      </c>
      <c r="R63" s="21" t="str">
        <f>IF(I63&lt;$N$10,"88","")</f>
        <v>88</v>
      </c>
      <c r="S63" s="14"/>
      <c r="T63" s="15"/>
    </row>
    <row r="64" spans="1:20" ht="12" customHeight="1" x14ac:dyDescent="0.25">
      <c r="A64" s="21">
        <v>10</v>
      </c>
      <c r="B64" s="19"/>
      <c r="C64" s="82" t="str">
        <f>DATA!D19</f>
        <v>Darasti Keyshafa Azumi</v>
      </c>
      <c r="D64" s="248"/>
      <c r="E64" s="43"/>
      <c r="F64" s="43"/>
      <c r="G64" s="43"/>
      <c r="H64" s="44"/>
      <c r="I64" s="21">
        <f t="shared" si="12"/>
        <v>0</v>
      </c>
      <c r="J64" s="45">
        <f t="shared" si="8"/>
        <v>0</v>
      </c>
      <c r="K64" s="21" t="str">
        <f t="shared" si="9"/>
        <v>tdk tuntas</v>
      </c>
      <c r="L64" s="210" t="str">
        <f t="shared" si="10"/>
        <v>80</v>
      </c>
      <c r="M64" s="14"/>
      <c r="N64" s="24"/>
      <c r="O64" s="15"/>
      <c r="Q64" s="68" t="str">
        <f t="shared" si="11"/>
        <v>Darasti Keyshafa Azumi</v>
      </c>
      <c r="R64" s="21" t="str">
        <f t="shared" ref="R64:R69" si="13">IF(I64&lt;$N$10,"85","")</f>
        <v>85</v>
      </c>
      <c r="S64" s="14" t="s">
        <v>30</v>
      </c>
      <c r="T64" s="15"/>
    </row>
    <row r="65" spans="1:20" ht="12" customHeight="1" thickBot="1" x14ac:dyDescent="0.3">
      <c r="A65" s="21">
        <v>11</v>
      </c>
      <c r="B65" s="19"/>
      <c r="C65" s="82" t="str">
        <f>DATA!D20</f>
        <v>Dea Resti Lian Dana Sari</v>
      </c>
      <c r="D65" s="248"/>
      <c r="E65" s="43"/>
      <c r="F65" s="43"/>
      <c r="G65" s="43"/>
      <c r="H65" s="44"/>
      <c r="I65" s="21">
        <f t="shared" si="12"/>
        <v>0</v>
      </c>
      <c r="J65" s="45">
        <f t="shared" si="8"/>
        <v>0</v>
      </c>
      <c r="K65" s="21" t="str">
        <f t="shared" si="9"/>
        <v>tdk tuntas</v>
      </c>
      <c r="L65" s="210" t="str">
        <f t="shared" si="10"/>
        <v>80</v>
      </c>
      <c r="M65" s="14"/>
      <c r="N65" s="24"/>
      <c r="O65" s="15"/>
      <c r="Q65" s="68" t="str">
        <f t="shared" si="11"/>
        <v>Dea Resti Lian Dana Sari</v>
      </c>
      <c r="R65" s="21" t="str">
        <f t="shared" si="13"/>
        <v>85</v>
      </c>
      <c r="T65" s="15"/>
    </row>
    <row r="66" spans="1:20" ht="12" customHeight="1" thickTop="1" thickBot="1" x14ac:dyDescent="0.35">
      <c r="A66" s="21">
        <v>12</v>
      </c>
      <c r="B66" s="19"/>
      <c r="C66" s="82" t="str">
        <f>DATA!D21</f>
        <v>Desta Dwi Lestari</v>
      </c>
      <c r="D66" s="248"/>
      <c r="E66" s="43"/>
      <c r="F66" s="43"/>
      <c r="G66" s="43"/>
      <c r="H66" s="44"/>
      <c r="I66" s="21">
        <f t="shared" si="12"/>
        <v>0</v>
      </c>
      <c r="J66" s="45">
        <f t="shared" si="8"/>
        <v>0</v>
      </c>
      <c r="K66" s="21" t="str">
        <f t="shared" si="9"/>
        <v>tdk tuntas</v>
      </c>
      <c r="L66" s="210" t="str">
        <f t="shared" si="10"/>
        <v>80</v>
      </c>
      <c r="M66" s="14" t="s">
        <v>11</v>
      </c>
      <c r="N66" s="58">
        <f>K93</f>
        <v>32</v>
      </c>
      <c r="O66" s="15"/>
      <c r="Q66" s="68" t="str">
        <f t="shared" si="11"/>
        <v>Desta Dwi Lestari</v>
      </c>
      <c r="R66" s="21" t="str">
        <f t="shared" si="13"/>
        <v>85</v>
      </c>
      <c r="S66" s="158" t="s">
        <v>46</v>
      </c>
      <c r="T66" s="119" t="s">
        <v>31</v>
      </c>
    </row>
    <row r="67" spans="1:20" ht="12" customHeight="1" thickTop="1" thickBot="1" x14ac:dyDescent="0.35">
      <c r="A67" s="21">
        <v>13</v>
      </c>
      <c r="B67" s="19"/>
      <c r="C67" s="82" t="str">
        <f>DATA!D22</f>
        <v>Faaz Nizzar Ardiansyah</v>
      </c>
      <c r="D67" s="248"/>
      <c r="E67" s="43"/>
      <c r="F67" s="43"/>
      <c r="G67" s="43"/>
      <c r="H67" s="44"/>
      <c r="I67" s="21">
        <f t="shared" si="12"/>
        <v>0</v>
      </c>
      <c r="J67" s="45">
        <f t="shared" si="8"/>
        <v>0</v>
      </c>
      <c r="K67" s="21" t="str">
        <f t="shared" si="9"/>
        <v>tdk tuntas</v>
      </c>
      <c r="L67" s="210" t="str">
        <f t="shared" si="10"/>
        <v>80</v>
      </c>
      <c r="M67" s="14" t="s">
        <v>12</v>
      </c>
      <c r="N67" s="58">
        <f>K91</f>
        <v>0</v>
      </c>
      <c r="O67" s="15"/>
      <c r="Q67" s="68" t="str">
        <f t="shared" si="11"/>
        <v>Faaz Nizzar Ardiansyah</v>
      </c>
      <c r="R67" s="21" t="str">
        <f t="shared" si="13"/>
        <v>85</v>
      </c>
      <c r="S67" s="155"/>
      <c r="T67" s="119" t="s">
        <v>32</v>
      </c>
    </row>
    <row r="68" spans="1:20" ht="12" customHeight="1" thickTop="1" thickBot="1" x14ac:dyDescent="0.35">
      <c r="A68" s="21">
        <v>14</v>
      </c>
      <c r="B68" s="19"/>
      <c r="C68" s="82" t="str">
        <f>DATA!D23</f>
        <v>Hazel Javier Ozora</v>
      </c>
      <c r="D68" s="134"/>
      <c r="E68" s="43"/>
      <c r="F68" s="43"/>
      <c r="G68" s="43"/>
      <c r="H68" s="44"/>
      <c r="I68" s="21">
        <f t="shared" si="12"/>
        <v>0</v>
      </c>
      <c r="J68" s="45">
        <f t="shared" si="8"/>
        <v>0</v>
      </c>
      <c r="K68" s="21" t="str">
        <f t="shared" si="9"/>
        <v>tdk tuntas</v>
      </c>
      <c r="L68" s="210" t="str">
        <f t="shared" si="10"/>
        <v>80</v>
      </c>
      <c r="M68" s="14" t="s">
        <v>13</v>
      </c>
      <c r="N68" s="58">
        <f>N67/N66*100</f>
        <v>0</v>
      </c>
      <c r="O68" s="15" t="s">
        <v>4</v>
      </c>
      <c r="Q68" s="68" t="str">
        <f t="shared" si="11"/>
        <v>Hazel Javier Ozora</v>
      </c>
      <c r="R68" s="21" t="str">
        <f t="shared" si="13"/>
        <v>85</v>
      </c>
      <c r="S68" s="62"/>
      <c r="T68" s="15" t="s">
        <v>33</v>
      </c>
    </row>
    <row r="69" spans="1:20" ht="12" customHeight="1" thickTop="1" x14ac:dyDescent="0.25">
      <c r="A69" s="21">
        <v>15</v>
      </c>
      <c r="B69" s="19"/>
      <c r="C69" s="82" t="str">
        <f>DATA!D24</f>
        <v>Indika Dwi Laksono</v>
      </c>
      <c r="D69" s="134"/>
      <c r="E69" s="43"/>
      <c r="F69" s="43"/>
      <c r="G69" s="43"/>
      <c r="H69" s="44"/>
      <c r="I69" s="21">
        <f t="shared" si="12"/>
        <v>0</v>
      </c>
      <c r="J69" s="45">
        <f t="shared" si="8"/>
        <v>0</v>
      </c>
      <c r="K69" s="21" t="str">
        <f t="shared" si="9"/>
        <v>tdk tuntas</v>
      </c>
      <c r="L69" s="210" t="str">
        <f t="shared" si="10"/>
        <v>80</v>
      </c>
      <c r="M69" s="14"/>
      <c r="N69" s="24"/>
      <c r="O69" s="15"/>
      <c r="Q69" s="68" t="str">
        <f t="shared" si="11"/>
        <v>Indika Dwi Laksono</v>
      </c>
      <c r="R69" s="21" t="str">
        <f t="shared" si="13"/>
        <v>85</v>
      </c>
      <c r="S69" s="14"/>
      <c r="T69" s="15" t="s">
        <v>34</v>
      </c>
    </row>
    <row r="70" spans="1:20" ht="12" customHeight="1" x14ac:dyDescent="0.25">
      <c r="A70" s="21">
        <v>16</v>
      </c>
      <c r="B70" s="19"/>
      <c r="C70" s="82" t="str">
        <f>DATA!D25</f>
        <v>Indra Rahma Azzahra</v>
      </c>
      <c r="D70" s="248"/>
      <c r="E70" s="43"/>
      <c r="F70" s="43"/>
      <c r="G70" s="43"/>
      <c r="H70" s="44"/>
      <c r="I70" s="21">
        <f t="shared" si="12"/>
        <v>0</v>
      </c>
      <c r="J70" s="45">
        <f t="shared" si="8"/>
        <v>0</v>
      </c>
      <c r="K70" s="21" t="str">
        <f t="shared" si="9"/>
        <v>tdk tuntas</v>
      </c>
      <c r="L70" s="210" t="str">
        <f t="shared" si="10"/>
        <v>80</v>
      </c>
      <c r="M70" s="14" t="s">
        <v>52</v>
      </c>
      <c r="N70" s="24"/>
      <c r="O70" s="15"/>
      <c r="Q70" s="68" t="str">
        <f t="shared" si="11"/>
        <v>Indra Rahma Azzahra</v>
      </c>
      <c r="R70" s="21" t="str">
        <f>IF(I70&lt;$N$10,"84","")</f>
        <v>84</v>
      </c>
      <c r="S70" s="14"/>
      <c r="T70" s="15"/>
    </row>
    <row r="71" spans="1:20" ht="12" customHeight="1" x14ac:dyDescent="0.25">
      <c r="A71" s="21">
        <v>17</v>
      </c>
      <c r="B71" s="19"/>
      <c r="C71" s="82" t="str">
        <f>DATA!D26</f>
        <v>Lutfia Asri Wahyuni</v>
      </c>
      <c r="D71" s="134"/>
      <c r="E71" s="43"/>
      <c r="F71" s="43"/>
      <c r="G71" s="43"/>
      <c r="H71" s="44"/>
      <c r="I71" s="21">
        <f t="shared" si="12"/>
        <v>0</v>
      </c>
      <c r="J71" s="45">
        <f t="shared" si="8"/>
        <v>0</v>
      </c>
      <c r="K71" s="21" t="str">
        <f t="shared" si="9"/>
        <v>tdk tuntas</v>
      </c>
      <c r="L71" s="210" t="str">
        <f t="shared" si="10"/>
        <v>80</v>
      </c>
      <c r="N71" s="24"/>
      <c r="O71" s="15"/>
      <c r="Q71" s="68" t="str">
        <f t="shared" si="11"/>
        <v>Lutfia Asri Wahyuni</v>
      </c>
      <c r="R71" s="21" t="str">
        <f t="shared" ref="R71:R77" si="14">IF(I71&lt;$N$10,"82","")</f>
        <v>82</v>
      </c>
      <c r="S71" s="14"/>
      <c r="T71" s="63" t="s">
        <v>41</v>
      </c>
    </row>
    <row r="72" spans="1:20" ht="12" customHeight="1" x14ac:dyDescent="0.25">
      <c r="A72" s="21">
        <v>18</v>
      </c>
      <c r="B72" s="19"/>
      <c r="C72" s="82" t="str">
        <f>DATA!D27</f>
        <v>Muhamad Fadil Khoiri</v>
      </c>
      <c r="D72" s="134"/>
      <c r="E72" s="43"/>
      <c r="F72" s="43"/>
      <c r="G72" s="43"/>
      <c r="H72" s="44"/>
      <c r="I72" s="21">
        <f t="shared" si="12"/>
        <v>0</v>
      </c>
      <c r="J72" s="45">
        <f t="shared" si="8"/>
        <v>0</v>
      </c>
      <c r="K72" s="21" t="str">
        <f t="shared" si="9"/>
        <v>tdk tuntas</v>
      </c>
      <c r="L72" s="210" t="str">
        <f t="shared" si="10"/>
        <v>80</v>
      </c>
      <c r="M72" s="14"/>
      <c r="N72" s="24"/>
      <c r="O72" s="15"/>
      <c r="Q72" s="68" t="str">
        <f t="shared" si="11"/>
        <v>Muhamad Fadil Khoiri</v>
      </c>
      <c r="R72" s="21" t="str">
        <f t="shared" si="14"/>
        <v>82</v>
      </c>
      <c r="S72" s="14"/>
      <c r="T72" s="63"/>
    </row>
    <row r="73" spans="1:20" ht="12" customHeight="1" x14ac:dyDescent="0.25">
      <c r="A73" s="21">
        <v>19</v>
      </c>
      <c r="B73" s="19"/>
      <c r="C73" s="82" t="str">
        <f>DATA!D28</f>
        <v>Muhammad Aqil Mufid</v>
      </c>
      <c r="D73" s="248"/>
      <c r="E73" s="43"/>
      <c r="F73" s="43"/>
      <c r="G73" s="43"/>
      <c r="H73" s="44"/>
      <c r="I73" s="21">
        <f t="shared" si="12"/>
        <v>0</v>
      </c>
      <c r="J73" s="45">
        <f t="shared" si="8"/>
        <v>0</v>
      </c>
      <c r="K73" s="21" t="str">
        <f t="shared" si="9"/>
        <v>tdk tuntas</v>
      </c>
      <c r="L73" s="210" t="str">
        <f t="shared" si="10"/>
        <v>80</v>
      </c>
      <c r="M73" s="14"/>
      <c r="N73" s="24"/>
      <c r="O73" s="15"/>
      <c r="Q73" s="68" t="str">
        <f t="shared" si="11"/>
        <v>Muhammad Aqil Mufid</v>
      </c>
      <c r="R73" s="21" t="str">
        <f t="shared" si="14"/>
        <v>82</v>
      </c>
      <c r="S73" s="14"/>
      <c r="T73" s="63"/>
    </row>
    <row r="74" spans="1:20" ht="12" customHeight="1" x14ac:dyDescent="0.25">
      <c r="A74" s="21">
        <v>20</v>
      </c>
      <c r="B74" s="19"/>
      <c r="C74" s="82" t="str">
        <f>DATA!D29</f>
        <v>Muhammad Danish Alzydan</v>
      </c>
      <c r="D74" s="134"/>
      <c r="E74" s="43"/>
      <c r="F74" s="43"/>
      <c r="G74" s="43"/>
      <c r="H74" s="44"/>
      <c r="I74" s="21">
        <f t="shared" si="12"/>
        <v>0</v>
      </c>
      <c r="J74" s="45">
        <f t="shared" si="8"/>
        <v>0</v>
      </c>
      <c r="K74" s="21" t="str">
        <f t="shared" si="9"/>
        <v>tdk tuntas</v>
      </c>
      <c r="L74" s="210" t="str">
        <f t="shared" si="10"/>
        <v>80</v>
      </c>
      <c r="M74" s="14" t="s">
        <v>53</v>
      </c>
      <c r="N74" s="78">
        <f>I91</f>
        <v>0</v>
      </c>
      <c r="O74" s="15"/>
      <c r="Q74" s="68" t="str">
        <f t="shared" si="11"/>
        <v>Muhammad Danish Alzydan</v>
      </c>
      <c r="R74" s="21" t="str">
        <f t="shared" si="14"/>
        <v>82</v>
      </c>
      <c r="S74" s="14"/>
      <c r="T74" s="63"/>
    </row>
    <row r="75" spans="1:20" ht="12" customHeight="1" x14ac:dyDescent="0.25">
      <c r="A75" s="21">
        <v>21</v>
      </c>
      <c r="B75" s="19"/>
      <c r="C75" s="82" t="str">
        <f>DATA!D30</f>
        <v>Muhammad Nurul Huda</v>
      </c>
      <c r="D75" s="248"/>
      <c r="E75" s="43"/>
      <c r="F75" s="43"/>
      <c r="G75" s="43"/>
      <c r="H75" s="44"/>
      <c r="I75" s="21">
        <f t="shared" si="12"/>
        <v>0</v>
      </c>
      <c r="J75" s="45">
        <f t="shared" si="8"/>
        <v>0</v>
      </c>
      <c r="K75" s="21" t="str">
        <f t="shared" si="9"/>
        <v>tdk tuntas</v>
      </c>
      <c r="L75" s="210" t="str">
        <f t="shared" si="10"/>
        <v>80</v>
      </c>
      <c r="M75" s="14" t="s">
        <v>54</v>
      </c>
      <c r="N75" s="78">
        <f>I92</f>
        <v>3200</v>
      </c>
      <c r="O75" s="15"/>
      <c r="Q75" s="68" t="str">
        <f t="shared" si="11"/>
        <v>Muhammad Nurul Huda</v>
      </c>
      <c r="R75" s="21" t="str">
        <f t="shared" si="14"/>
        <v>82</v>
      </c>
      <c r="S75" s="14"/>
      <c r="T75" s="63" t="str">
        <f>T28</f>
        <v>KASMIN, S.Pd</v>
      </c>
    </row>
    <row r="76" spans="1:20" ht="12" customHeight="1" x14ac:dyDescent="0.25">
      <c r="A76" s="21">
        <v>22</v>
      </c>
      <c r="B76" s="19"/>
      <c r="C76" s="133" t="str">
        <f>DATA!D31</f>
        <v>Nada Aprillia Zulfa Fairuz</v>
      </c>
      <c r="D76" s="248"/>
      <c r="E76" s="43"/>
      <c r="F76" s="43"/>
      <c r="G76" s="43"/>
      <c r="H76" s="44"/>
      <c r="I76" s="21">
        <f>SUM(D76:H76)</f>
        <v>0</v>
      </c>
      <c r="J76" s="45">
        <f>I76</f>
        <v>0</v>
      </c>
      <c r="K76" s="21" t="str">
        <f>IF(J76&lt;$N$10,"tdk tuntas","tuntas")</f>
        <v>tdk tuntas</v>
      </c>
      <c r="L76" s="210" t="str">
        <f t="shared" si="10"/>
        <v>80</v>
      </c>
      <c r="M76" s="14" t="s">
        <v>13</v>
      </c>
      <c r="N76" s="84">
        <f>N74/N75*100</f>
        <v>0</v>
      </c>
      <c r="O76" s="79" t="s">
        <v>4</v>
      </c>
      <c r="Q76" s="68"/>
      <c r="R76" s="21" t="str">
        <f t="shared" si="14"/>
        <v>82</v>
      </c>
      <c r="S76" s="14"/>
      <c r="T76" s="63" t="str">
        <f>T29</f>
        <v>NIP : 196609141990031007</v>
      </c>
    </row>
    <row r="77" spans="1:20" ht="12" customHeight="1" x14ac:dyDescent="0.25">
      <c r="A77" s="21">
        <v>23</v>
      </c>
      <c r="B77" s="19"/>
      <c r="C77" s="82" t="str">
        <f>DATA!D32</f>
        <v>Nadaa Fadiyah Salsabila</v>
      </c>
      <c r="D77" s="248"/>
      <c r="E77" s="43"/>
      <c r="F77" s="43"/>
      <c r="G77" s="43"/>
      <c r="H77" s="44"/>
      <c r="I77" s="21">
        <f t="shared" si="12"/>
        <v>0</v>
      </c>
      <c r="J77" s="45">
        <f t="shared" si="8"/>
        <v>0</v>
      </c>
      <c r="K77" s="21" t="str">
        <f t="shared" si="9"/>
        <v>tdk tuntas</v>
      </c>
      <c r="L77" s="210" t="str">
        <f t="shared" si="10"/>
        <v>80</v>
      </c>
      <c r="M77" s="14"/>
      <c r="N77" s="24"/>
      <c r="O77" s="15"/>
      <c r="Q77" s="68" t="str">
        <f t="shared" si="11"/>
        <v>Nadaa Fadiyah Salsabila</v>
      </c>
      <c r="R77" s="21" t="str">
        <f t="shared" si="14"/>
        <v>82</v>
      </c>
      <c r="S77" s="14"/>
      <c r="T77" s="15"/>
    </row>
    <row r="78" spans="1:20" ht="12" customHeight="1" x14ac:dyDescent="0.25">
      <c r="A78" s="21">
        <v>24</v>
      </c>
      <c r="B78" s="19"/>
      <c r="C78" s="82" t="str">
        <f>DATA!D33</f>
        <v>Nayla Oriza Shatifa</v>
      </c>
      <c r="D78" s="248"/>
      <c r="E78" s="43"/>
      <c r="F78" s="43"/>
      <c r="G78" s="43"/>
      <c r="H78" s="44"/>
      <c r="I78" s="21">
        <f t="shared" si="12"/>
        <v>0</v>
      </c>
      <c r="J78" s="45">
        <f t="shared" si="8"/>
        <v>0</v>
      </c>
      <c r="K78" s="21" t="str">
        <f t="shared" si="9"/>
        <v>tdk tuntas</v>
      </c>
      <c r="L78" s="210" t="str">
        <f t="shared" si="10"/>
        <v>80</v>
      </c>
      <c r="M78" s="14"/>
      <c r="N78" s="24"/>
      <c r="O78" s="15"/>
      <c r="Q78" s="68" t="str">
        <f t="shared" si="11"/>
        <v>Nayla Oriza Shatifa</v>
      </c>
      <c r="R78" s="21" t="str">
        <f>IF(I78&lt;$N$10,"85","")</f>
        <v>85</v>
      </c>
      <c r="S78" s="14"/>
      <c r="T78" s="63"/>
    </row>
    <row r="79" spans="1:20" ht="12" customHeight="1" x14ac:dyDescent="0.25">
      <c r="A79" s="21">
        <v>25</v>
      </c>
      <c r="B79" s="19"/>
      <c r="C79" s="82" t="str">
        <f>DATA!D34</f>
        <v>Raditya Eka Putra Yudha</v>
      </c>
      <c r="D79" s="248"/>
      <c r="E79" s="43"/>
      <c r="F79" s="43"/>
      <c r="G79" s="43"/>
      <c r="H79" s="44"/>
      <c r="I79" s="21">
        <f t="shared" si="12"/>
        <v>0</v>
      </c>
      <c r="J79" s="45">
        <f t="shared" si="8"/>
        <v>0</v>
      </c>
      <c r="K79" s="21" t="str">
        <f t="shared" si="9"/>
        <v>tdk tuntas</v>
      </c>
      <c r="L79" s="210" t="str">
        <f t="shared" si="10"/>
        <v>80</v>
      </c>
      <c r="M79" s="14" t="s">
        <v>14</v>
      </c>
      <c r="N79" s="24"/>
      <c r="O79" s="15"/>
      <c r="Q79" s="68" t="str">
        <f t="shared" si="11"/>
        <v>Raditya Eka Putra Yudha</v>
      </c>
      <c r="R79" s="21" t="str">
        <f>IF(I79&lt;$N$10,"81","")</f>
        <v>81</v>
      </c>
      <c r="S79" s="14"/>
      <c r="T79" s="63" t="str">
        <f>T32</f>
        <v>Kepala Sekolah</v>
      </c>
    </row>
    <row r="80" spans="1:20" ht="12" customHeight="1" x14ac:dyDescent="0.25">
      <c r="A80" s="21">
        <v>26</v>
      </c>
      <c r="B80" s="19"/>
      <c r="C80" s="82" t="str">
        <f>DATA!D35</f>
        <v>Ragil Harlangga</v>
      </c>
      <c r="D80" s="248"/>
      <c r="E80" s="43"/>
      <c r="F80" s="43"/>
      <c r="G80" s="43"/>
      <c r="H80" s="44"/>
      <c r="I80" s="21">
        <f t="shared" si="12"/>
        <v>0</v>
      </c>
      <c r="J80" s="45">
        <f t="shared" si="8"/>
        <v>0</v>
      </c>
      <c r="K80" s="21" t="str">
        <f t="shared" si="9"/>
        <v>tdk tuntas</v>
      </c>
      <c r="L80" s="210" t="str">
        <f t="shared" si="10"/>
        <v>80</v>
      </c>
      <c r="M80" s="14" t="s">
        <v>15</v>
      </c>
      <c r="N80" s="24"/>
      <c r="O80" s="15"/>
      <c r="Q80" s="68" t="str">
        <f t="shared" si="11"/>
        <v>Ragil Harlangga</v>
      </c>
      <c r="R80" s="21" t="str">
        <f>IF(I80&lt;$N$10,"82","")</f>
        <v>82</v>
      </c>
      <c r="S80" s="14"/>
      <c r="T80" s="63"/>
    </row>
    <row r="81" spans="1:20" ht="12" customHeight="1" x14ac:dyDescent="0.3">
      <c r="A81" s="21">
        <v>27</v>
      </c>
      <c r="B81" s="19"/>
      <c r="C81" s="82" t="str">
        <f>DATA!D36</f>
        <v>Rasya Hidayatullah Putra Zatmiko</v>
      </c>
      <c r="D81" s="248"/>
      <c r="E81" s="43"/>
      <c r="F81" s="43"/>
      <c r="G81" s="43"/>
      <c r="H81" s="44"/>
      <c r="I81" s="21">
        <f t="shared" si="12"/>
        <v>0</v>
      </c>
      <c r="J81" s="45">
        <f t="shared" si="8"/>
        <v>0</v>
      </c>
      <c r="K81" s="21" t="str">
        <f t="shared" si="9"/>
        <v>tdk tuntas</v>
      </c>
      <c r="L81" s="210" t="str">
        <f t="shared" si="10"/>
        <v>80</v>
      </c>
      <c r="M81" s="155" t="s">
        <v>80</v>
      </c>
      <c r="N81" s="24"/>
      <c r="O81" s="15"/>
      <c r="Q81" s="68" t="str">
        <f t="shared" si="11"/>
        <v>Rasya Hidayatullah Putra Zatmiko</v>
      </c>
      <c r="R81" s="21" t="str">
        <f>IF(I81&lt;$N$10,"82","")</f>
        <v>82</v>
      </c>
      <c r="S81" s="14"/>
      <c r="T81" s="63"/>
    </row>
    <row r="82" spans="1:20" ht="12" customHeight="1" x14ac:dyDescent="0.25">
      <c r="A82" s="21">
        <v>28</v>
      </c>
      <c r="B82" s="19"/>
      <c r="C82" s="82" t="str">
        <f>DATA!D37</f>
        <v>Septiyana Trihapsari</v>
      </c>
      <c r="D82" s="134"/>
      <c r="E82" s="43"/>
      <c r="F82" s="43"/>
      <c r="G82" s="43"/>
      <c r="H82" s="44"/>
      <c r="I82" s="21">
        <f t="shared" si="12"/>
        <v>0</v>
      </c>
      <c r="J82" s="45">
        <f t="shared" si="8"/>
        <v>0</v>
      </c>
      <c r="K82" s="21" t="str">
        <f t="shared" si="9"/>
        <v>tdk tuntas</v>
      </c>
      <c r="L82" s="210" t="str">
        <f t="shared" si="10"/>
        <v>80</v>
      </c>
      <c r="M82" s="14"/>
      <c r="N82" s="24"/>
      <c r="O82" s="15"/>
      <c r="Q82" s="68" t="str">
        <f t="shared" si="11"/>
        <v>Septiyana Trihapsari</v>
      </c>
      <c r="R82" s="21" t="str">
        <f>IF(I82&lt;$N$10,"81","")</f>
        <v>81</v>
      </c>
      <c r="S82" s="14"/>
      <c r="T82" s="63"/>
    </row>
    <row r="83" spans="1:20" ht="12" customHeight="1" x14ac:dyDescent="0.25">
      <c r="A83" s="21">
        <v>29</v>
      </c>
      <c r="B83" s="19"/>
      <c r="C83" s="82" t="str">
        <f>DATA!D38</f>
        <v>Syarifa Fatma</v>
      </c>
      <c r="D83" s="134"/>
      <c r="E83" s="43"/>
      <c r="F83" s="43"/>
      <c r="G83" s="43"/>
      <c r="H83" s="44"/>
      <c r="I83" s="21">
        <f t="shared" si="12"/>
        <v>0</v>
      </c>
      <c r="J83" s="45">
        <f t="shared" si="8"/>
        <v>0</v>
      </c>
      <c r="K83" s="21" t="str">
        <f t="shared" si="9"/>
        <v>tdk tuntas</v>
      </c>
      <c r="L83" s="210" t="str">
        <f t="shared" si="10"/>
        <v>80</v>
      </c>
      <c r="M83" s="14"/>
      <c r="N83" s="24"/>
      <c r="O83" s="15"/>
      <c r="Q83" s="68" t="str">
        <f t="shared" si="11"/>
        <v>Syarifa Fatma</v>
      </c>
      <c r="R83" s="21" t="str">
        <f>IF(I83&lt;$N$10,"85","")</f>
        <v>85</v>
      </c>
      <c r="S83" s="14"/>
      <c r="T83" s="63"/>
    </row>
    <row r="84" spans="1:20" ht="12" customHeight="1" x14ac:dyDescent="0.25">
      <c r="A84" s="21">
        <v>30</v>
      </c>
      <c r="B84" s="19"/>
      <c r="C84" s="82" t="str">
        <f>DATA!D39</f>
        <v>Syauqi Lazuardi</v>
      </c>
      <c r="D84" s="248"/>
      <c r="E84" s="43"/>
      <c r="F84" s="43"/>
      <c r="G84" s="43"/>
      <c r="H84" s="44"/>
      <c r="I84" s="21">
        <f t="shared" si="12"/>
        <v>0</v>
      </c>
      <c r="J84" s="45">
        <f t="shared" si="8"/>
        <v>0</v>
      </c>
      <c r="K84" s="21" t="str">
        <f t="shared" si="9"/>
        <v>tdk tuntas</v>
      </c>
      <c r="L84" s="210" t="str">
        <f t="shared" si="10"/>
        <v>80</v>
      </c>
      <c r="M84" s="14"/>
      <c r="N84" s="24"/>
      <c r="O84" s="15"/>
      <c r="Q84" s="68" t="str">
        <f t="shared" si="11"/>
        <v>Syauqi Lazuardi</v>
      </c>
      <c r="R84" s="21" t="str">
        <f>IF(I84&lt;$N$10,"84","")</f>
        <v>84</v>
      </c>
      <c r="S84" s="14"/>
      <c r="T84" s="63" t="str">
        <f>T37</f>
        <v>Dra. BAROKAH GUNIARTI</v>
      </c>
    </row>
    <row r="85" spans="1:20" ht="12" customHeight="1" x14ac:dyDescent="0.25">
      <c r="A85" s="21">
        <v>31</v>
      </c>
      <c r="B85" s="19"/>
      <c r="C85" s="82" t="str">
        <f>DATA!D40</f>
        <v>Zakya Ninu Azzahra</v>
      </c>
      <c r="D85" s="134"/>
      <c r="E85" s="43"/>
      <c r="F85" s="43"/>
      <c r="G85" s="43"/>
      <c r="H85" s="44"/>
      <c r="I85" s="21">
        <f t="shared" si="12"/>
        <v>0</v>
      </c>
      <c r="J85" s="45">
        <f t="shared" si="8"/>
        <v>0</v>
      </c>
      <c r="K85" s="21" t="str">
        <f t="shared" si="9"/>
        <v>tdk tuntas</v>
      </c>
      <c r="L85" s="210" t="str">
        <f t="shared" si="10"/>
        <v>80</v>
      </c>
      <c r="M85" s="14" t="s">
        <v>56</v>
      </c>
      <c r="N85" s="24"/>
      <c r="O85" s="15"/>
      <c r="Q85" s="68" t="str">
        <f t="shared" si="11"/>
        <v>Zakya Ninu Azzahra</v>
      </c>
      <c r="R85" s="21" t="str">
        <f>IF(I85&lt;$N$10,"84","")</f>
        <v>84</v>
      </c>
      <c r="S85" s="14"/>
      <c r="T85" s="63" t="str">
        <f>T38</f>
        <v>NIP : 196901081996122004</v>
      </c>
    </row>
    <row r="86" spans="1:20" ht="12" customHeight="1" x14ac:dyDescent="0.25">
      <c r="A86" s="21">
        <v>32</v>
      </c>
      <c r="B86" s="19"/>
      <c r="C86" s="82" t="str">
        <f>DATA!D41</f>
        <v>Zivara Layly Amaratungga</v>
      </c>
      <c r="D86" s="248"/>
      <c r="E86" s="43"/>
      <c r="F86" s="43"/>
      <c r="G86" s="43"/>
      <c r="H86" s="44"/>
      <c r="I86" s="21">
        <f t="shared" si="12"/>
        <v>0</v>
      </c>
      <c r="J86" s="45">
        <f t="shared" si="8"/>
        <v>0</v>
      </c>
      <c r="K86" s="21" t="str">
        <f t="shared" si="9"/>
        <v>tdk tuntas</v>
      </c>
      <c r="L86" s="210" t="str">
        <f t="shared" si="10"/>
        <v>80</v>
      </c>
      <c r="M86" s="14"/>
      <c r="N86" s="24"/>
      <c r="O86" s="15"/>
      <c r="Q86" s="68" t="str">
        <f t="shared" si="11"/>
        <v>Zivara Layly Amaratungga</v>
      </c>
      <c r="R86" s="21"/>
      <c r="S86" s="14"/>
      <c r="T86" s="63"/>
    </row>
    <row r="87" spans="1:20" ht="12" customHeight="1" x14ac:dyDescent="0.25">
      <c r="A87" s="21">
        <v>33</v>
      </c>
      <c r="B87" s="19"/>
      <c r="C87" s="82"/>
      <c r="D87" s="42" t="s">
        <v>63</v>
      </c>
      <c r="E87" s="43"/>
      <c r="F87" s="43"/>
      <c r="G87" s="43"/>
      <c r="H87" s="44"/>
      <c r="I87" s="21"/>
      <c r="J87" s="45"/>
      <c r="K87" s="21"/>
      <c r="L87" s="135"/>
      <c r="M87" s="14" t="s">
        <v>16</v>
      </c>
      <c r="N87" s="24"/>
      <c r="O87" s="15"/>
      <c r="Q87" s="68"/>
      <c r="R87" s="21"/>
      <c r="S87" s="14"/>
      <c r="T87" s="63"/>
    </row>
    <row r="88" spans="1:20" ht="12" customHeight="1" x14ac:dyDescent="0.25">
      <c r="A88" s="21">
        <v>34</v>
      </c>
      <c r="B88" s="19"/>
      <c r="C88" s="82"/>
      <c r="D88" s="42"/>
      <c r="E88" s="43"/>
      <c r="F88" s="43"/>
      <c r="G88" s="43"/>
      <c r="H88" s="44"/>
      <c r="I88" s="21"/>
      <c r="J88" s="45"/>
      <c r="K88" s="21"/>
      <c r="L88" s="135"/>
      <c r="M88" s="14" t="s">
        <v>59</v>
      </c>
      <c r="N88" s="24"/>
      <c r="O88" s="15"/>
      <c r="Q88" s="68"/>
      <c r="R88" s="21"/>
      <c r="S88" s="14"/>
      <c r="T88" s="63"/>
    </row>
    <row r="89" spans="1:20" ht="12" customHeight="1" x14ac:dyDescent="0.25">
      <c r="A89" s="21">
        <v>35</v>
      </c>
      <c r="B89" s="22"/>
      <c r="C89" s="162"/>
      <c r="D89" s="136" t="s">
        <v>63</v>
      </c>
      <c r="E89" s="137"/>
      <c r="F89" s="137"/>
      <c r="G89" s="137"/>
      <c r="H89" s="138"/>
      <c r="I89" s="140"/>
      <c r="J89" s="45"/>
      <c r="K89" s="21"/>
      <c r="L89" s="139"/>
      <c r="M89" s="14" t="s">
        <v>23</v>
      </c>
      <c r="N89" s="24"/>
      <c r="O89" s="15"/>
      <c r="Q89" s="68"/>
      <c r="R89" s="21"/>
      <c r="S89" s="16"/>
      <c r="T89" s="63"/>
    </row>
    <row r="90" spans="1:20" ht="12" customHeight="1" x14ac:dyDescent="0.25">
      <c r="A90" s="101" t="s">
        <v>64</v>
      </c>
      <c r="B90" s="96"/>
      <c r="C90" s="97"/>
      <c r="D90" s="93"/>
      <c r="E90" s="94"/>
      <c r="F90" s="94"/>
      <c r="G90" s="94"/>
      <c r="H90" s="95"/>
      <c r="I90" s="98">
        <f>AVERAGE(I55:I89)</f>
        <v>0</v>
      </c>
      <c r="J90" s="74"/>
      <c r="K90" s="47"/>
      <c r="L90" s="65"/>
      <c r="M90" s="14"/>
      <c r="N90" s="24"/>
      <c r="O90" s="15"/>
      <c r="Q90" s="60"/>
      <c r="R90" s="471" t="str">
        <f>C51</f>
        <v>9B</v>
      </c>
      <c r="S90" s="471"/>
      <c r="T90" s="61"/>
    </row>
    <row r="91" spans="1:20" ht="12" customHeight="1" x14ac:dyDescent="0.25">
      <c r="A91" s="14" t="s">
        <v>17</v>
      </c>
      <c r="B91" s="24"/>
      <c r="C91" s="15"/>
      <c r="D91" s="197">
        <f>SUM(D55:D89)</f>
        <v>0</v>
      </c>
      <c r="E91" s="198">
        <f>SUM(E55:E89)</f>
        <v>0</v>
      </c>
      <c r="F91" s="198">
        <f>SUM(F55:F89)</f>
        <v>0</v>
      </c>
      <c r="G91" s="198">
        <f>SUM(G55:G89)</f>
        <v>0</v>
      </c>
      <c r="H91" s="199">
        <f>SUM(H55:H89)</f>
        <v>0</v>
      </c>
      <c r="I91" s="200">
        <f>SUM(D91:H91)</f>
        <v>0</v>
      </c>
      <c r="J91" s="201" t="s">
        <v>49</v>
      </c>
      <c r="K91" s="48">
        <f>COUNTIF(K55:K89,J91)</f>
        <v>0</v>
      </c>
      <c r="L91" s="64"/>
      <c r="M91" s="14"/>
      <c r="N91" s="24"/>
      <c r="O91" s="15"/>
      <c r="Q91" s="30"/>
      <c r="R91" s="472"/>
      <c r="S91" s="472"/>
      <c r="T91" s="31"/>
    </row>
    <row r="92" spans="1:20" ht="12" customHeight="1" x14ac:dyDescent="0.25">
      <c r="A92" s="14" t="s">
        <v>18</v>
      </c>
      <c r="B92" s="24"/>
      <c r="C92" s="15"/>
      <c r="D92" s="197">
        <f>D53*K93</f>
        <v>640</v>
      </c>
      <c r="E92" s="197">
        <f>E53*K93</f>
        <v>640</v>
      </c>
      <c r="F92" s="197">
        <f>F53*K93</f>
        <v>640</v>
      </c>
      <c r="G92" s="197">
        <f>G53*K93</f>
        <v>640</v>
      </c>
      <c r="H92" s="197">
        <f>H53*K93</f>
        <v>640</v>
      </c>
      <c r="I92" s="200">
        <f>SUM(D92:H92)</f>
        <v>3200</v>
      </c>
      <c r="J92" s="201" t="s">
        <v>50</v>
      </c>
      <c r="K92" s="48">
        <f>COUNTIF(K55:K89,J92)</f>
        <v>32</v>
      </c>
      <c r="L92" s="64"/>
      <c r="M92" s="14"/>
      <c r="N92" s="24"/>
      <c r="O92" s="15"/>
      <c r="Q92" s="30"/>
      <c r="R92" s="472"/>
      <c r="S92" s="472"/>
      <c r="T92" s="31"/>
    </row>
    <row r="93" spans="1:20" ht="12" customHeight="1" x14ac:dyDescent="0.25">
      <c r="A93" s="26" t="s">
        <v>19</v>
      </c>
      <c r="B93" s="27"/>
      <c r="C93" s="28"/>
      <c r="D93" s="202">
        <f t="shared" ref="D93:I93" si="15">D91/D92*100</f>
        <v>0</v>
      </c>
      <c r="E93" s="202">
        <f t="shared" si="15"/>
        <v>0</v>
      </c>
      <c r="F93" s="202">
        <f t="shared" si="15"/>
        <v>0</v>
      </c>
      <c r="G93" s="202">
        <f t="shared" si="15"/>
        <v>0</v>
      </c>
      <c r="H93" s="202">
        <f t="shared" si="15"/>
        <v>0</v>
      </c>
      <c r="I93" s="202">
        <f t="shared" si="15"/>
        <v>0</v>
      </c>
      <c r="J93" s="203" t="s">
        <v>57</v>
      </c>
      <c r="K93" s="49">
        <f>SUM(K91:K92)</f>
        <v>32</v>
      </c>
      <c r="L93" s="66"/>
      <c r="M93" s="16"/>
      <c r="N93" s="25"/>
      <c r="O93" s="17"/>
      <c r="Q93" s="8"/>
      <c r="R93" s="473"/>
      <c r="S93" s="473"/>
      <c r="T93" s="9"/>
    </row>
    <row r="94" spans="1:20" ht="12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20" ht="12" customHeight="1" x14ac:dyDescent="0.25">
      <c r="A95" s="453" t="str">
        <f>'UH1'!A95</f>
        <v>ANALISA HASIL PH MATEMATIKA KLS IX  SMT GENAP</v>
      </c>
      <c r="B95" s="454"/>
      <c r="C95" s="454"/>
      <c r="D95" s="454"/>
      <c r="E95" s="454"/>
      <c r="F95" s="454"/>
      <c r="G95" s="454"/>
      <c r="H95" s="454"/>
      <c r="I95" s="454"/>
      <c r="J95" s="454"/>
      <c r="K95" s="454"/>
      <c r="L95" s="454"/>
      <c r="M95" s="454"/>
      <c r="N95" s="454"/>
      <c r="O95" s="455"/>
      <c r="Q95" s="456" t="s">
        <v>63</v>
      </c>
      <c r="R95" s="457"/>
      <c r="S95" s="457"/>
      <c r="T95" s="458"/>
    </row>
    <row r="96" spans="1:20" ht="12" customHeight="1" x14ac:dyDescent="0.25">
      <c r="A96" s="453" t="str">
        <f>A49</f>
        <v>SMP I LIMBANGAN  TH 2025/2026</v>
      </c>
      <c r="B96" s="454"/>
      <c r="C96" s="454"/>
      <c r="D96" s="454"/>
      <c r="E96" s="454"/>
      <c r="F96" s="454"/>
      <c r="G96" s="454"/>
      <c r="H96" s="454"/>
      <c r="I96" s="454"/>
      <c r="J96" s="454"/>
      <c r="K96" s="454"/>
      <c r="L96" s="454"/>
      <c r="M96" s="454"/>
      <c r="N96" s="454"/>
      <c r="O96" s="455"/>
      <c r="Q96" s="453" t="s">
        <v>61</v>
      </c>
      <c r="R96" s="454"/>
      <c r="S96" s="454"/>
      <c r="T96" s="455"/>
    </row>
    <row r="97" spans="1:20" ht="12" customHeight="1" x14ac:dyDescent="0.25"/>
    <row r="98" spans="1:20" ht="12" customHeight="1" x14ac:dyDescent="0.25">
      <c r="A98" s="99" t="s">
        <v>66</v>
      </c>
      <c r="C98" s="102" t="str">
        <f>DATA!F8</f>
        <v>9C</v>
      </c>
      <c r="D98" t="s">
        <v>21</v>
      </c>
      <c r="F98" s="87">
        <f>F4</f>
        <v>3</v>
      </c>
      <c r="I98" t="s">
        <v>20</v>
      </c>
      <c r="K98" s="72">
        <v>45971</v>
      </c>
      <c r="M98" s="1" t="s">
        <v>60</v>
      </c>
      <c r="N98" s="87">
        <f>N4</f>
        <v>3</v>
      </c>
      <c r="Q98" t="s">
        <v>28</v>
      </c>
      <c r="R98" s="470">
        <f>K98+7</f>
        <v>45978</v>
      </c>
      <c r="S98" s="470"/>
    </row>
    <row r="99" spans="1:20" ht="12" customHeight="1" x14ac:dyDescent="0.25">
      <c r="A99" s="2"/>
      <c r="B99" s="2"/>
      <c r="C99" s="3" t="s">
        <v>7</v>
      </c>
      <c r="D99" s="32">
        <v>1</v>
      </c>
      <c r="E99" s="33">
        <v>2</v>
      </c>
      <c r="F99" s="33">
        <v>3</v>
      </c>
      <c r="G99" s="33">
        <v>4</v>
      </c>
      <c r="H99" s="34">
        <v>5</v>
      </c>
      <c r="I99" s="35" t="s">
        <v>3</v>
      </c>
      <c r="J99" s="4" t="s">
        <v>4</v>
      </c>
      <c r="K99" s="53" t="s">
        <v>83</v>
      </c>
      <c r="L99" s="35" t="s">
        <v>43</v>
      </c>
      <c r="M99" s="459" t="s">
        <v>9</v>
      </c>
      <c r="N99" s="460"/>
      <c r="O99" s="461"/>
      <c r="Q99" s="2"/>
      <c r="R99" s="35" t="s">
        <v>24</v>
      </c>
      <c r="S99" s="60"/>
      <c r="T99" s="61"/>
    </row>
    <row r="100" spans="1:20" ht="12" customHeight="1" x14ac:dyDescent="0.25">
      <c r="A100" s="6" t="s">
        <v>0</v>
      </c>
      <c r="B100" s="6" t="s">
        <v>1</v>
      </c>
      <c r="C100" s="5" t="s">
        <v>8</v>
      </c>
      <c r="D100" s="55">
        <f>D53</f>
        <v>20</v>
      </c>
      <c r="E100" s="56">
        <f>E53</f>
        <v>20</v>
      </c>
      <c r="F100" s="56">
        <f>F53</f>
        <v>20</v>
      </c>
      <c r="G100" s="56">
        <f>G53</f>
        <v>20</v>
      </c>
      <c r="H100" s="105">
        <f>H53</f>
        <v>20</v>
      </c>
      <c r="I100" s="21">
        <f>SUM(D100:H100)</f>
        <v>100</v>
      </c>
      <c r="J100" s="6" t="s">
        <v>5</v>
      </c>
      <c r="K100" s="52" t="s">
        <v>22</v>
      </c>
      <c r="L100" s="11" t="s">
        <v>44</v>
      </c>
      <c r="M100" s="462"/>
      <c r="N100" s="463"/>
      <c r="O100" s="464"/>
      <c r="Q100" s="6" t="s">
        <v>2</v>
      </c>
      <c r="R100" s="11" t="s">
        <v>25</v>
      </c>
      <c r="S100" s="468" t="s">
        <v>27</v>
      </c>
      <c r="T100" s="469"/>
    </row>
    <row r="101" spans="1:20" ht="12" customHeight="1" x14ac:dyDescent="0.25">
      <c r="A101" s="6"/>
      <c r="B101" s="6"/>
      <c r="C101" s="51" t="s">
        <v>2</v>
      </c>
      <c r="D101" s="36"/>
      <c r="E101" s="37"/>
      <c r="F101" s="37"/>
      <c r="G101" s="37"/>
      <c r="H101" s="38"/>
      <c r="I101" s="11"/>
      <c r="J101" s="6" t="s">
        <v>6</v>
      </c>
      <c r="K101" s="54"/>
      <c r="L101" s="59" t="s">
        <v>45</v>
      </c>
      <c r="M101" s="465"/>
      <c r="N101" s="466"/>
      <c r="O101" s="467"/>
      <c r="Q101" s="7"/>
      <c r="R101" s="59" t="s">
        <v>26</v>
      </c>
      <c r="S101" s="8"/>
      <c r="T101" s="9"/>
    </row>
    <row r="102" spans="1:20" ht="12" customHeight="1" x14ac:dyDescent="0.25">
      <c r="A102" s="20">
        <v>1</v>
      </c>
      <c r="B102" s="18"/>
      <c r="C102" s="81" t="str">
        <f>DATA!F10</f>
        <v>Ahmad Husain</v>
      </c>
      <c r="D102" s="131"/>
      <c r="E102" s="40"/>
      <c r="F102" s="40"/>
      <c r="G102" s="40"/>
      <c r="H102" s="41"/>
      <c r="I102" s="20">
        <f>SUM(D102:H102)</f>
        <v>0</v>
      </c>
      <c r="J102" s="415">
        <f>I102</f>
        <v>0</v>
      </c>
      <c r="K102" s="21" t="str">
        <f>IF(J102&lt;$N$10,"tdk tuntas","tuntas")</f>
        <v>tdk tuntas</v>
      </c>
      <c r="L102" s="209" t="str">
        <f>IF(J102&lt;=39.9,"80",IF(J102&lt;=59.9,"81",IF(J102&lt;=69.9,"82",IF(J102&lt;=74.9,"83",IF(J102&lt;=78.9,"84",IF(J102&lt;=78.9,"85",IF(J102&gt;=78.9,J102," ")))))))</f>
        <v>80</v>
      </c>
      <c r="M102" s="12"/>
      <c r="N102" s="23"/>
      <c r="O102" s="13"/>
      <c r="Q102" s="67" t="str">
        <f>C102</f>
        <v>Ahmad Husain</v>
      </c>
      <c r="R102" s="21" t="str">
        <f>IF(I102&lt;$N$10,"80","")</f>
        <v>80</v>
      </c>
      <c r="S102" s="12"/>
      <c r="T102" s="13"/>
    </row>
    <row r="103" spans="1:20" ht="12" customHeight="1" x14ac:dyDescent="0.25">
      <c r="A103" s="21">
        <v>2</v>
      </c>
      <c r="B103" s="19"/>
      <c r="C103" s="82" t="str">
        <f>DATA!F11</f>
        <v>Albeth Christian F.</v>
      </c>
      <c r="D103" s="248"/>
      <c r="E103" s="43"/>
      <c r="F103" s="43"/>
      <c r="G103" s="43"/>
      <c r="H103" s="44"/>
      <c r="I103" s="21">
        <f t="shared" ref="I103:I116" si="16">SUM(D103:H103)</f>
        <v>0</v>
      </c>
      <c r="J103" s="45">
        <f t="shared" ref="J103:J116" si="17">I103</f>
        <v>0</v>
      </c>
      <c r="K103" s="21" t="str">
        <f t="shared" ref="K103:K131" si="18">IF(J103&lt;$N$10,"tdk tuntas","tuntas")</f>
        <v>tdk tuntas</v>
      </c>
      <c r="L103" s="210" t="str">
        <f t="shared" ref="L103:L133" si="19">IF(J103&lt;=39.9,"80",IF(J103&lt;=59.9,"81",IF(J103&lt;=69.9,"82",IF(J103&lt;=74.9,"83",IF(J103&lt;=78.9,"84",IF(J103&lt;=78.9,"85",IF(J103&gt;=78.9,J103," ")))))))</f>
        <v>80</v>
      </c>
      <c r="M103" s="14"/>
      <c r="N103" s="24"/>
      <c r="O103" s="15"/>
      <c r="Q103" s="68" t="str">
        <f t="shared" ref="Q103:Q111" si="20">C104</f>
        <v>Alfino Kurniawan</v>
      </c>
      <c r="R103" s="21" t="str">
        <f>IF(I103&lt;$N$10,"81","")</f>
        <v>81</v>
      </c>
      <c r="S103" s="14" t="s">
        <v>29</v>
      </c>
      <c r="T103" s="15"/>
    </row>
    <row r="104" spans="1:20" ht="12" customHeight="1" thickBot="1" x14ac:dyDescent="0.35">
      <c r="A104" s="21">
        <v>3</v>
      </c>
      <c r="B104" s="19"/>
      <c r="C104" s="82" t="str">
        <f>DATA!F12</f>
        <v>Alfino Kurniawan</v>
      </c>
      <c r="D104" s="248"/>
      <c r="E104" s="43"/>
      <c r="F104" s="43"/>
      <c r="G104" s="43"/>
      <c r="H104" s="44"/>
      <c r="I104" s="21">
        <f t="shared" si="16"/>
        <v>0</v>
      </c>
      <c r="J104" s="45">
        <f t="shared" si="17"/>
        <v>0</v>
      </c>
      <c r="K104" s="21" t="str">
        <f t="shared" si="18"/>
        <v>tdk tuntas</v>
      </c>
      <c r="L104" s="210" t="str">
        <f t="shared" si="19"/>
        <v>80</v>
      </c>
      <c r="M104" s="70" t="s">
        <v>62</v>
      </c>
      <c r="N104" s="76">
        <f>N10</f>
        <v>80</v>
      </c>
      <c r="O104" s="15"/>
      <c r="Q104" s="68" t="str">
        <f t="shared" si="20"/>
        <v>Alif Jalu Adil</v>
      </c>
      <c r="R104" s="21" t="str">
        <f>IF(I104&lt;$N$10,"81","")</f>
        <v>81</v>
      </c>
      <c r="S104" s="26"/>
      <c r="T104" s="15"/>
    </row>
    <row r="105" spans="1:20" ht="12" customHeight="1" thickTop="1" thickBot="1" x14ac:dyDescent="0.3">
      <c r="A105" s="21">
        <v>4</v>
      </c>
      <c r="B105" s="19"/>
      <c r="C105" s="82" t="str">
        <f>DATA!F13</f>
        <v>Alif Jalu Adil</v>
      </c>
      <c r="D105" s="248"/>
      <c r="E105" s="43"/>
      <c r="F105" s="43"/>
      <c r="G105" s="43"/>
      <c r="H105" s="44"/>
      <c r="I105" s="21">
        <f t="shared" si="16"/>
        <v>0</v>
      </c>
      <c r="J105" s="45">
        <f t="shared" si="17"/>
        <v>0</v>
      </c>
      <c r="K105" s="21" t="str">
        <f t="shared" si="18"/>
        <v>tdk tuntas</v>
      </c>
      <c r="L105" s="210" t="str">
        <f t="shared" si="19"/>
        <v>80</v>
      </c>
      <c r="M105" s="14"/>
      <c r="N105" s="24"/>
      <c r="O105" s="15"/>
      <c r="Q105" s="68" t="str">
        <f t="shared" si="20"/>
        <v>Almira Tian Az Zahra</v>
      </c>
      <c r="R105" s="21" t="str">
        <f>IF(I105&lt;$N$10,"84","")</f>
        <v>84</v>
      </c>
      <c r="S105" s="62"/>
      <c r="T105" s="15" t="s">
        <v>35</v>
      </c>
    </row>
    <row r="106" spans="1:20" ht="12" customHeight="1" thickTop="1" thickBot="1" x14ac:dyDescent="0.3">
      <c r="A106" s="21">
        <v>5</v>
      </c>
      <c r="B106" s="19"/>
      <c r="C106" s="82" t="str">
        <f>DATA!F14</f>
        <v>Almira Tian Az Zahra</v>
      </c>
      <c r="D106" s="248"/>
      <c r="E106" s="43"/>
      <c r="F106" s="43"/>
      <c r="G106" s="43"/>
      <c r="H106" s="44"/>
      <c r="I106" s="21">
        <f t="shared" si="16"/>
        <v>0</v>
      </c>
      <c r="J106" s="45">
        <f t="shared" si="17"/>
        <v>0</v>
      </c>
      <c r="K106" s="21" t="str">
        <f t="shared" si="18"/>
        <v>tdk tuntas</v>
      </c>
      <c r="L106" s="210" t="str">
        <f t="shared" si="19"/>
        <v>80</v>
      </c>
      <c r="M106" s="14"/>
      <c r="N106" s="24"/>
      <c r="O106" s="15"/>
      <c r="Q106" s="68" t="str">
        <f t="shared" si="20"/>
        <v>Alvino Dafa Radhwa Aqilah</v>
      </c>
      <c r="R106" s="21" t="str">
        <f>IF(I106&lt;$N$10,"87","")</f>
        <v>87</v>
      </c>
      <c r="S106" s="158"/>
      <c r="T106" s="15" t="s">
        <v>38</v>
      </c>
    </row>
    <row r="107" spans="1:20" ht="12" customHeight="1" thickTop="1" thickBot="1" x14ac:dyDescent="0.3">
      <c r="A107" s="21">
        <v>6</v>
      </c>
      <c r="B107" s="19"/>
      <c r="C107" s="82" t="str">
        <f>DATA!F15</f>
        <v>Alvino Dafa Radhwa Aqilah</v>
      </c>
      <c r="D107" s="134"/>
      <c r="E107" s="43"/>
      <c r="F107" s="43"/>
      <c r="G107" s="43"/>
      <c r="H107" s="44"/>
      <c r="I107" s="21">
        <f t="shared" si="16"/>
        <v>0</v>
      </c>
      <c r="J107" s="45">
        <f t="shared" si="17"/>
        <v>0</v>
      </c>
      <c r="K107" s="21" t="str">
        <f t="shared" si="18"/>
        <v>tdk tuntas</v>
      </c>
      <c r="L107" s="210" t="str">
        <f t="shared" si="19"/>
        <v>80</v>
      </c>
      <c r="M107" s="14" t="s">
        <v>10</v>
      </c>
      <c r="N107" s="24"/>
      <c r="O107" s="15"/>
      <c r="Q107" s="68" t="str">
        <f t="shared" si="20"/>
        <v>Ananda Dhanis Syarifudien</v>
      </c>
      <c r="R107" s="21" t="str">
        <f>IF(I107&lt;$N$10,"82","")</f>
        <v>82</v>
      </c>
      <c r="S107" s="155"/>
      <c r="T107" s="15" t="s">
        <v>39</v>
      </c>
    </row>
    <row r="108" spans="1:20" ht="12" customHeight="1" thickTop="1" thickBot="1" x14ac:dyDescent="0.35">
      <c r="A108" s="21">
        <v>7</v>
      </c>
      <c r="B108" s="19"/>
      <c r="C108" s="82" t="str">
        <f>DATA!F16</f>
        <v>Ananda Dhanis Syarifudien</v>
      </c>
      <c r="D108" s="248"/>
      <c r="E108" s="43"/>
      <c r="F108" s="43"/>
      <c r="G108" s="43"/>
      <c r="H108" s="44"/>
      <c r="I108" s="21">
        <f t="shared" si="16"/>
        <v>0</v>
      </c>
      <c r="J108" s="45">
        <f t="shared" si="17"/>
        <v>0</v>
      </c>
      <c r="K108" s="21" t="str">
        <f t="shared" si="18"/>
        <v>tdk tuntas</v>
      </c>
      <c r="L108" s="210" t="str">
        <f t="shared" si="19"/>
        <v>80</v>
      </c>
      <c r="M108" s="14"/>
      <c r="N108" s="24"/>
      <c r="O108" s="15"/>
      <c r="Q108" s="68" t="str">
        <f t="shared" si="20"/>
        <v>Andra Putra Wahyu Baskara</v>
      </c>
      <c r="R108" s="21" t="str">
        <f>IF(I108&lt;$N$10,"80","")</f>
        <v>80</v>
      </c>
      <c r="S108" s="71" t="s">
        <v>81</v>
      </c>
      <c r="T108" s="119" t="s">
        <v>36</v>
      </c>
    </row>
    <row r="109" spans="1:20" ht="12" customHeight="1" thickTop="1" x14ac:dyDescent="0.25">
      <c r="A109" s="21">
        <v>8</v>
      </c>
      <c r="B109" s="19"/>
      <c r="C109" s="82" t="str">
        <f>DATA!F17</f>
        <v>Andra Putra Wahyu Baskara</v>
      </c>
      <c r="D109" s="134"/>
      <c r="E109" s="43"/>
      <c r="F109" s="43"/>
      <c r="G109" s="43"/>
      <c r="H109" s="44"/>
      <c r="I109" s="21">
        <f t="shared" si="16"/>
        <v>0</v>
      </c>
      <c r="J109" s="45">
        <f t="shared" si="17"/>
        <v>0</v>
      </c>
      <c r="K109" s="21" t="str">
        <f t="shared" si="18"/>
        <v>tdk tuntas</v>
      </c>
      <c r="L109" s="210" t="str">
        <f t="shared" si="19"/>
        <v>80</v>
      </c>
      <c r="M109" s="77" t="s">
        <v>51</v>
      </c>
      <c r="N109" s="24"/>
      <c r="O109" s="15"/>
      <c r="Q109" s="68" t="str">
        <f t="shared" si="20"/>
        <v>Ardhan Restu Pratama</v>
      </c>
      <c r="R109" s="21" t="str">
        <f>IF(I109&lt;$N$10,"84","")</f>
        <v>84</v>
      </c>
      <c r="S109" s="155"/>
      <c r="T109" s="119" t="s">
        <v>37</v>
      </c>
    </row>
    <row r="110" spans="1:20" ht="12" customHeight="1" x14ac:dyDescent="0.25">
      <c r="A110" s="21">
        <v>9</v>
      </c>
      <c r="B110" s="19"/>
      <c r="C110" s="82" t="str">
        <f>DATA!F18</f>
        <v>Ardhan Restu Pratama</v>
      </c>
      <c r="D110" s="134"/>
      <c r="E110" s="43"/>
      <c r="F110" s="43"/>
      <c r="G110" s="43"/>
      <c r="H110" s="44"/>
      <c r="I110" s="21">
        <f t="shared" si="16"/>
        <v>0</v>
      </c>
      <c r="J110" s="45">
        <f t="shared" si="17"/>
        <v>0</v>
      </c>
      <c r="K110" s="21" t="str">
        <f t="shared" si="18"/>
        <v>tdk tuntas</v>
      </c>
      <c r="L110" s="210" t="str">
        <f t="shared" si="19"/>
        <v>80</v>
      </c>
      <c r="N110" s="24"/>
      <c r="O110" s="15"/>
      <c r="Q110" s="68" t="str">
        <f t="shared" si="20"/>
        <v>Ardi Setyo Nugroho</v>
      </c>
      <c r="R110" s="21" t="str">
        <f>IF(I110&lt;$N$10,"88","")</f>
        <v>88</v>
      </c>
      <c r="S110" s="14"/>
      <c r="T110" s="15"/>
    </row>
    <row r="111" spans="1:20" ht="12" customHeight="1" x14ac:dyDescent="0.25">
      <c r="A111" s="21">
        <v>10</v>
      </c>
      <c r="B111" s="19"/>
      <c r="C111" s="82" t="str">
        <f>DATA!F19</f>
        <v>Ardi Setyo Nugroho</v>
      </c>
      <c r="D111" s="248"/>
      <c r="E111" s="43"/>
      <c r="F111" s="43"/>
      <c r="G111" s="43"/>
      <c r="H111" s="44"/>
      <c r="I111" s="21">
        <f t="shared" si="16"/>
        <v>0</v>
      </c>
      <c r="J111" s="45">
        <f t="shared" si="17"/>
        <v>0</v>
      </c>
      <c r="K111" s="21" t="str">
        <f t="shared" si="18"/>
        <v>tdk tuntas</v>
      </c>
      <c r="L111" s="210" t="str">
        <f t="shared" si="19"/>
        <v>80</v>
      </c>
      <c r="M111" s="14"/>
      <c r="N111" s="24"/>
      <c r="O111" s="15"/>
      <c r="Q111" s="68" t="str">
        <f t="shared" si="20"/>
        <v>Az Zahra Aulia Rahma</v>
      </c>
      <c r="R111" s="21" t="str">
        <f t="shared" ref="R111:R116" si="21">IF(I111&lt;$N$10,"85","")</f>
        <v>85</v>
      </c>
      <c r="S111" s="14" t="s">
        <v>30</v>
      </c>
      <c r="T111" s="15"/>
    </row>
    <row r="112" spans="1:20" ht="12" customHeight="1" thickBot="1" x14ac:dyDescent="0.3">
      <c r="A112" s="21">
        <v>11</v>
      </c>
      <c r="B112" s="19"/>
      <c r="C112" s="82" t="str">
        <f>DATA!F20</f>
        <v>Az Zahra Aulia Rahma</v>
      </c>
      <c r="D112" s="248"/>
      <c r="E112" s="43"/>
      <c r="F112" s="43"/>
      <c r="G112" s="43"/>
      <c r="H112" s="44"/>
      <c r="I112" s="21">
        <f t="shared" si="16"/>
        <v>0</v>
      </c>
      <c r="J112" s="45">
        <f t="shared" si="17"/>
        <v>0</v>
      </c>
      <c r="K112" s="21" t="str">
        <f t="shared" si="18"/>
        <v>tdk tuntas</v>
      </c>
      <c r="L112" s="210" t="str">
        <f t="shared" si="19"/>
        <v>80</v>
      </c>
      <c r="M112" s="14"/>
      <c r="N112" s="24"/>
      <c r="O112" s="15"/>
      <c r="Q112" s="68" t="str">
        <f>C103</f>
        <v>Albeth Christian F.</v>
      </c>
      <c r="R112" s="21" t="str">
        <f t="shared" si="21"/>
        <v>85</v>
      </c>
      <c r="T112" s="15"/>
    </row>
    <row r="113" spans="1:20" ht="12" customHeight="1" thickTop="1" thickBot="1" x14ac:dyDescent="0.35">
      <c r="A113" s="21">
        <v>12</v>
      </c>
      <c r="B113" s="19"/>
      <c r="C113" s="82" t="str">
        <f>DATA!F21</f>
        <v>Desti Dwi Wahyuni</v>
      </c>
      <c r="D113" s="248"/>
      <c r="E113" s="43"/>
      <c r="F113" s="43"/>
      <c r="G113" s="43"/>
      <c r="H113" s="44"/>
      <c r="I113" s="21">
        <f t="shared" si="16"/>
        <v>0</v>
      </c>
      <c r="J113" s="45">
        <f t="shared" si="17"/>
        <v>0</v>
      </c>
      <c r="K113" s="21" t="str">
        <f t="shared" si="18"/>
        <v>tdk tuntas</v>
      </c>
      <c r="L113" s="210" t="str">
        <f t="shared" si="19"/>
        <v>80</v>
      </c>
      <c r="M113" s="14" t="s">
        <v>11</v>
      </c>
      <c r="N113" s="58">
        <f>K140</f>
        <v>32</v>
      </c>
      <c r="O113" s="15"/>
      <c r="Q113" s="68" t="str">
        <f t="shared" ref="Q113:Q131" si="22">C113</f>
        <v>Desti Dwi Wahyuni</v>
      </c>
      <c r="R113" s="21" t="str">
        <f t="shared" si="21"/>
        <v>85</v>
      </c>
      <c r="S113" s="158" t="s">
        <v>46</v>
      </c>
      <c r="T113" s="119" t="s">
        <v>31</v>
      </c>
    </row>
    <row r="114" spans="1:20" ht="12" customHeight="1" thickTop="1" thickBot="1" x14ac:dyDescent="0.35">
      <c r="A114" s="21">
        <v>13</v>
      </c>
      <c r="B114" s="19"/>
      <c r="C114" s="82" t="str">
        <f>DATA!F22</f>
        <v>Dominikus Febri Andrean</v>
      </c>
      <c r="D114" s="248"/>
      <c r="E114" s="43"/>
      <c r="F114" s="43"/>
      <c r="G114" s="43"/>
      <c r="H114" s="44"/>
      <c r="I114" s="21">
        <f t="shared" si="16"/>
        <v>0</v>
      </c>
      <c r="J114" s="45">
        <f t="shared" si="17"/>
        <v>0</v>
      </c>
      <c r="K114" s="21" t="str">
        <f t="shared" si="18"/>
        <v>tdk tuntas</v>
      </c>
      <c r="L114" s="210" t="str">
        <f t="shared" si="19"/>
        <v>80</v>
      </c>
      <c r="M114" s="14" t="s">
        <v>12</v>
      </c>
      <c r="N114" s="58">
        <f>K138</f>
        <v>0</v>
      </c>
      <c r="O114" s="15"/>
      <c r="Q114" s="68" t="str">
        <f t="shared" si="22"/>
        <v>Dominikus Febri Andrean</v>
      </c>
      <c r="R114" s="21" t="str">
        <f t="shared" si="21"/>
        <v>85</v>
      </c>
      <c r="S114" s="155"/>
      <c r="T114" s="119" t="s">
        <v>32</v>
      </c>
    </row>
    <row r="115" spans="1:20" ht="12" customHeight="1" thickTop="1" thickBot="1" x14ac:dyDescent="0.35">
      <c r="A115" s="21">
        <v>14</v>
      </c>
      <c r="B115" s="19"/>
      <c r="C115" s="82" t="str">
        <f>DATA!F23</f>
        <v>Evan Lingga Kurnia Zaen</v>
      </c>
      <c r="D115" s="134"/>
      <c r="E115" s="43"/>
      <c r="F115" s="43"/>
      <c r="G115" s="43"/>
      <c r="H115" s="44"/>
      <c r="I115" s="21">
        <f t="shared" si="16"/>
        <v>0</v>
      </c>
      <c r="J115" s="45">
        <f t="shared" si="17"/>
        <v>0</v>
      </c>
      <c r="K115" s="21" t="str">
        <f t="shared" si="18"/>
        <v>tdk tuntas</v>
      </c>
      <c r="L115" s="210" t="str">
        <f t="shared" si="19"/>
        <v>80</v>
      </c>
      <c r="M115" s="14" t="s">
        <v>13</v>
      </c>
      <c r="N115" s="58">
        <f>N114/N113*100</f>
        <v>0</v>
      </c>
      <c r="O115" s="15" t="s">
        <v>4</v>
      </c>
      <c r="Q115" s="68" t="str">
        <f t="shared" si="22"/>
        <v>Evan Lingga Kurnia Zaen</v>
      </c>
      <c r="R115" s="21" t="str">
        <f t="shared" si="21"/>
        <v>85</v>
      </c>
      <c r="S115" s="62"/>
      <c r="T115" s="15" t="s">
        <v>33</v>
      </c>
    </row>
    <row r="116" spans="1:20" ht="12" customHeight="1" thickTop="1" x14ac:dyDescent="0.25">
      <c r="A116" s="21">
        <v>15</v>
      </c>
      <c r="B116" s="19"/>
      <c r="C116" s="82" t="str">
        <f>DATA!F24</f>
        <v>Fathan Syahrul Anan</v>
      </c>
      <c r="D116" s="134"/>
      <c r="E116" s="43"/>
      <c r="F116" s="43"/>
      <c r="G116" s="43"/>
      <c r="H116" s="44"/>
      <c r="I116" s="21">
        <f t="shared" si="16"/>
        <v>0</v>
      </c>
      <c r="J116" s="45">
        <f t="shared" si="17"/>
        <v>0</v>
      </c>
      <c r="K116" s="21" t="str">
        <f t="shared" si="18"/>
        <v>tdk tuntas</v>
      </c>
      <c r="L116" s="210" t="str">
        <f t="shared" si="19"/>
        <v>80</v>
      </c>
      <c r="M116" s="14"/>
      <c r="N116" s="24"/>
      <c r="O116" s="15"/>
      <c r="Q116" s="68" t="str">
        <f t="shared" si="22"/>
        <v>Fathan Syahrul Anan</v>
      </c>
      <c r="R116" s="21" t="str">
        <f t="shared" si="21"/>
        <v>85</v>
      </c>
      <c r="S116" s="14"/>
      <c r="T116" s="15" t="s">
        <v>34</v>
      </c>
    </row>
    <row r="117" spans="1:20" ht="12" customHeight="1" x14ac:dyDescent="0.25">
      <c r="A117" s="21">
        <v>16</v>
      </c>
      <c r="B117" s="19"/>
      <c r="C117" s="82" t="str">
        <f>DATA!F25</f>
        <v>Fina Uzlifatil Jannah</v>
      </c>
      <c r="D117" s="248"/>
      <c r="E117" s="43"/>
      <c r="F117" s="43"/>
      <c r="G117" s="43"/>
      <c r="H117" s="44"/>
      <c r="I117" s="21">
        <f t="shared" ref="I117:I133" si="23">SUM(D117:H117)</f>
        <v>0</v>
      </c>
      <c r="J117" s="45">
        <f t="shared" ref="J117:J131" si="24">I117</f>
        <v>0</v>
      </c>
      <c r="K117" s="21" t="str">
        <f t="shared" si="18"/>
        <v>tdk tuntas</v>
      </c>
      <c r="L117" s="210" t="str">
        <f t="shared" si="19"/>
        <v>80</v>
      </c>
      <c r="M117" s="14" t="s">
        <v>52</v>
      </c>
      <c r="N117" s="24"/>
      <c r="O117" s="15"/>
      <c r="Q117" s="68" t="str">
        <f t="shared" si="22"/>
        <v>Fina Uzlifatil Jannah</v>
      </c>
      <c r="R117" s="21" t="str">
        <f>IF(I117&lt;$N$10,"84","")</f>
        <v>84</v>
      </c>
      <c r="S117" s="14"/>
      <c r="T117" s="15"/>
    </row>
    <row r="118" spans="1:20" ht="12" customHeight="1" x14ac:dyDescent="0.25">
      <c r="A118" s="21">
        <v>17</v>
      </c>
      <c r="B118" s="19"/>
      <c r="C118" s="82" t="str">
        <f>DATA!F26</f>
        <v>Hafidz Nugeroho</v>
      </c>
      <c r="D118" s="134"/>
      <c r="E118" s="43"/>
      <c r="F118" s="43"/>
      <c r="G118" s="43"/>
      <c r="H118" s="44"/>
      <c r="I118" s="21">
        <f t="shared" si="23"/>
        <v>0</v>
      </c>
      <c r="J118" s="45">
        <f t="shared" si="24"/>
        <v>0</v>
      </c>
      <c r="K118" s="21" t="str">
        <f t="shared" si="18"/>
        <v>tdk tuntas</v>
      </c>
      <c r="L118" s="210" t="str">
        <f t="shared" si="19"/>
        <v>80</v>
      </c>
      <c r="N118" s="24"/>
      <c r="O118" s="15"/>
      <c r="Q118" s="68" t="str">
        <f t="shared" si="22"/>
        <v>Hafidz Nugeroho</v>
      </c>
      <c r="R118" s="21" t="str">
        <f t="shared" ref="R118:R124" si="25">IF(I118&lt;$N$10,"82","")</f>
        <v>82</v>
      </c>
      <c r="S118" s="14"/>
      <c r="T118" s="63" t="s">
        <v>41</v>
      </c>
    </row>
    <row r="119" spans="1:20" ht="12" customHeight="1" x14ac:dyDescent="0.25">
      <c r="A119" s="21">
        <v>18</v>
      </c>
      <c r="B119" s="19"/>
      <c r="C119" s="82" t="str">
        <f>DATA!F27</f>
        <v>Kevin Sahasika Abyan Abiyyi</v>
      </c>
      <c r="D119" s="134"/>
      <c r="E119" s="43"/>
      <c r="F119" s="43"/>
      <c r="G119" s="43"/>
      <c r="H119" s="44"/>
      <c r="I119" s="21">
        <f t="shared" si="23"/>
        <v>0</v>
      </c>
      <c r="J119" s="45">
        <f t="shared" si="24"/>
        <v>0</v>
      </c>
      <c r="K119" s="21" t="str">
        <f t="shared" si="18"/>
        <v>tdk tuntas</v>
      </c>
      <c r="L119" s="210" t="str">
        <f t="shared" si="19"/>
        <v>80</v>
      </c>
      <c r="M119" s="14"/>
      <c r="N119" s="24"/>
      <c r="O119" s="15"/>
      <c r="Q119" s="68" t="str">
        <f t="shared" si="22"/>
        <v>Kevin Sahasika Abyan Abiyyi</v>
      </c>
      <c r="R119" s="21" t="str">
        <f t="shared" si="25"/>
        <v>82</v>
      </c>
      <c r="S119" s="14"/>
      <c r="T119" s="63"/>
    </row>
    <row r="120" spans="1:20" ht="12" customHeight="1" x14ac:dyDescent="0.25">
      <c r="A120" s="21">
        <v>19</v>
      </c>
      <c r="B120" s="19"/>
      <c r="C120" s="82" t="str">
        <f>DATA!F28</f>
        <v>Laeni Shohibatul Maghfiroh</v>
      </c>
      <c r="D120" s="248"/>
      <c r="E120" s="43"/>
      <c r="F120" s="43"/>
      <c r="G120" s="43"/>
      <c r="H120" s="44"/>
      <c r="I120" s="21">
        <f t="shared" si="23"/>
        <v>0</v>
      </c>
      <c r="J120" s="45">
        <f t="shared" si="24"/>
        <v>0</v>
      </c>
      <c r="K120" s="21" t="str">
        <f t="shared" si="18"/>
        <v>tdk tuntas</v>
      </c>
      <c r="L120" s="210" t="str">
        <f t="shared" si="19"/>
        <v>80</v>
      </c>
      <c r="M120" s="14"/>
      <c r="N120" s="24"/>
      <c r="O120" s="15"/>
      <c r="Q120" s="68" t="str">
        <f t="shared" si="22"/>
        <v>Laeni Shohibatul Maghfiroh</v>
      </c>
      <c r="R120" s="21" t="str">
        <f t="shared" si="25"/>
        <v>82</v>
      </c>
      <c r="S120" s="14"/>
      <c r="T120" s="63"/>
    </row>
    <row r="121" spans="1:20" ht="12" customHeight="1" x14ac:dyDescent="0.25">
      <c r="A121" s="21">
        <v>20</v>
      </c>
      <c r="B121" s="19"/>
      <c r="C121" s="82" t="str">
        <f>DATA!F29</f>
        <v>Maelani Mulya Sari</v>
      </c>
      <c r="D121" s="134"/>
      <c r="E121" s="43"/>
      <c r="F121" s="43"/>
      <c r="G121" s="43"/>
      <c r="H121" s="44"/>
      <c r="I121" s="21">
        <f t="shared" si="23"/>
        <v>0</v>
      </c>
      <c r="J121" s="45">
        <f t="shared" si="24"/>
        <v>0</v>
      </c>
      <c r="K121" s="21" t="str">
        <f t="shared" si="18"/>
        <v>tdk tuntas</v>
      </c>
      <c r="L121" s="210" t="str">
        <f t="shared" si="19"/>
        <v>80</v>
      </c>
      <c r="M121" s="14" t="s">
        <v>53</v>
      </c>
      <c r="N121" s="78">
        <f>I138</f>
        <v>0</v>
      </c>
      <c r="O121" s="15"/>
      <c r="Q121" s="68" t="str">
        <f t="shared" si="22"/>
        <v>Maelani Mulya Sari</v>
      </c>
      <c r="R121" s="21" t="str">
        <f t="shared" si="25"/>
        <v>82</v>
      </c>
      <c r="S121" s="14"/>
      <c r="T121" s="63"/>
    </row>
    <row r="122" spans="1:20" ht="12" customHeight="1" x14ac:dyDescent="0.25">
      <c r="A122" s="21">
        <v>21</v>
      </c>
      <c r="B122" s="19"/>
      <c r="C122" s="82" t="str">
        <f>DATA!F30</f>
        <v>Mafasa Agung Dwi Putranti</v>
      </c>
      <c r="D122" s="248"/>
      <c r="E122" s="43"/>
      <c r="F122" s="43"/>
      <c r="G122" s="43"/>
      <c r="H122" s="44"/>
      <c r="I122" s="21">
        <f t="shared" si="23"/>
        <v>0</v>
      </c>
      <c r="J122" s="45">
        <f t="shared" si="24"/>
        <v>0</v>
      </c>
      <c r="K122" s="21" t="str">
        <f t="shared" si="18"/>
        <v>tdk tuntas</v>
      </c>
      <c r="L122" s="210" t="str">
        <f t="shared" si="19"/>
        <v>80</v>
      </c>
      <c r="M122" s="14" t="s">
        <v>54</v>
      </c>
      <c r="N122" s="78">
        <f>I139</f>
        <v>3200</v>
      </c>
      <c r="O122" s="15"/>
      <c r="Q122" s="68" t="str">
        <f t="shared" si="22"/>
        <v>Mafasa Agung Dwi Putranti</v>
      </c>
      <c r="R122" s="21" t="str">
        <f t="shared" si="25"/>
        <v>82</v>
      </c>
      <c r="S122" s="14"/>
      <c r="T122" s="63" t="str">
        <f>T75</f>
        <v>KASMIN, S.Pd</v>
      </c>
    </row>
    <row r="123" spans="1:20" ht="12" customHeight="1" x14ac:dyDescent="0.25">
      <c r="A123" s="21">
        <v>22</v>
      </c>
      <c r="B123" s="19"/>
      <c r="C123" s="82" t="str">
        <f>DATA!F31</f>
        <v>Marwa Dwi Hafsari</v>
      </c>
      <c r="D123" s="248"/>
      <c r="E123" s="43"/>
      <c r="F123" s="43"/>
      <c r="G123" s="43"/>
      <c r="H123" s="44"/>
      <c r="I123" s="21">
        <f t="shared" si="23"/>
        <v>0</v>
      </c>
      <c r="J123" s="45">
        <f t="shared" si="24"/>
        <v>0</v>
      </c>
      <c r="K123" s="21" t="str">
        <f t="shared" si="18"/>
        <v>tdk tuntas</v>
      </c>
      <c r="L123" s="210" t="str">
        <f t="shared" si="19"/>
        <v>80</v>
      </c>
      <c r="M123" s="14" t="s">
        <v>13</v>
      </c>
      <c r="N123" s="84">
        <f>N121/N122*100</f>
        <v>0</v>
      </c>
      <c r="O123" s="79" t="s">
        <v>4</v>
      </c>
      <c r="Q123" s="68" t="str">
        <f t="shared" si="22"/>
        <v>Marwa Dwi Hafsari</v>
      </c>
      <c r="R123" s="21" t="str">
        <f t="shared" si="25"/>
        <v>82</v>
      </c>
      <c r="S123" s="14"/>
      <c r="T123" s="63" t="str">
        <f>T76</f>
        <v>NIP : 196609141990031007</v>
      </c>
    </row>
    <row r="124" spans="1:20" ht="12" customHeight="1" x14ac:dyDescent="0.25">
      <c r="A124" s="21">
        <v>23</v>
      </c>
      <c r="B124" s="19"/>
      <c r="C124" s="82" t="str">
        <f>DATA!F32</f>
        <v>Natasya Berly Intania</v>
      </c>
      <c r="D124" s="248"/>
      <c r="E124" s="43"/>
      <c r="F124" s="43"/>
      <c r="G124" s="43"/>
      <c r="H124" s="44"/>
      <c r="I124" s="21">
        <f t="shared" si="23"/>
        <v>0</v>
      </c>
      <c r="J124" s="45">
        <f t="shared" si="24"/>
        <v>0</v>
      </c>
      <c r="K124" s="21" t="str">
        <f t="shared" si="18"/>
        <v>tdk tuntas</v>
      </c>
      <c r="L124" s="210" t="str">
        <f t="shared" si="19"/>
        <v>80</v>
      </c>
      <c r="M124" s="14"/>
      <c r="N124" s="24"/>
      <c r="O124" s="15"/>
      <c r="Q124" s="68" t="str">
        <f t="shared" si="22"/>
        <v>Natasya Berly Intania</v>
      </c>
      <c r="R124" s="21" t="str">
        <f t="shared" si="25"/>
        <v>82</v>
      </c>
      <c r="S124" s="14"/>
      <c r="T124" s="15"/>
    </row>
    <row r="125" spans="1:20" ht="12" customHeight="1" x14ac:dyDescent="0.25">
      <c r="A125" s="21">
        <v>24</v>
      </c>
      <c r="B125" s="19"/>
      <c r="C125" s="82" t="str">
        <f>DATA!F33</f>
        <v>Natasya Gisella Anindya Putri</v>
      </c>
      <c r="D125" s="248"/>
      <c r="E125" s="43"/>
      <c r="F125" s="43"/>
      <c r="G125" s="43"/>
      <c r="H125" s="44"/>
      <c r="I125" s="21">
        <f t="shared" si="23"/>
        <v>0</v>
      </c>
      <c r="J125" s="45">
        <f t="shared" si="24"/>
        <v>0</v>
      </c>
      <c r="K125" s="21" t="str">
        <f t="shared" si="18"/>
        <v>tdk tuntas</v>
      </c>
      <c r="L125" s="210" t="str">
        <f t="shared" si="19"/>
        <v>80</v>
      </c>
      <c r="M125" s="14"/>
      <c r="N125" s="24"/>
      <c r="O125" s="15"/>
      <c r="Q125" s="68" t="str">
        <f t="shared" si="22"/>
        <v>Natasya Gisella Anindya Putri</v>
      </c>
      <c r="R125" s="21" t="str">
        <f>IF(I125&lt;$N$10,"85","")</f>
        <v>85</v>
      </c>
      <c r="S125" s="14"/>
      <c r="T125" s="63"/>
    </row>
    <row r="126" spans="1:20" ht="12" customHeight="1" x14ac:dyDescent="0.25">
      <c r="A126" s="21">
        <v>25</v>
      </c>
      <c r="B126" s="19"/>
      <c r="C126" s="82" t="str">
        <f>DATA!F34</f>
        <v>Prasetyo Nevan Al Fath</v>
      </c>
      <c r="D126" s="248"/>
      <c r="E126" s="43"/>
      <c r="F126" s="43"/>
      <c r="G126" s="43"/>
      <c r="H126" s="44"/>
      <c r="I126" s="21">
        <f t="shared" si="23"/>
        <v>0</v>
      </c>
      <c r="J126" s="45">
        <f t="shared" si="24"/>
        <v>0</v>
      </c>
      <c r="K126" s="21" t="str">
        <f t="shared" si="18"/>
        <v>tdk tuntas</v>
      </c>
      <c r="L126" s="210" t="str">
        <f t="shared" si="19"/>
        <v>80</v>
      </c>
      <c r="M126" s="14" t="s">
        <v>14</v>
      </c>
      <c r="N126" s="24"/>
      <c r="O126" s="15"/>
      <c r="Q126" s="68" t="str">
        <f t="shared" si="22"/>
        <v>Prasetyo Nevan Al Fath</v>
      </c>
      <c r="R126" s="21" t="str">
        <f>IF(I126&lt;$N$10,"81","")</f>
        <v>81</v>
      </c>
      <c r="S126" s="14"/>
      <c r="T126" s="63" t="str">
        <f>T79</f>
        <v>Kepala Sekolah</v>
      </c>
    </row>
    <row r="127" spans="1:20" ht="12" customHeight="1" x14ac:dyDescent="0.25">
      <c r="A127" s="21">
        <v>26</v>
      </c>
      <c r="B127" s="19"/>
      <c r="C127" s="82" t="str">
        <f>DATA!F35</f>
        <v>Putri Cikara Dewi</v>
      </c>
      <c r="D127" s="248"/>
      <c r="E127" s="43"/>
      <c r="F127" s="43"/>
      <c r="G127" s="43"/>
      <c r="H127" s="44"/>
      <c r="I127" s="21">
        <f t="shared" si="23"/>
        <v>0</v>
      </c>
      <c r="J127" s="45">
        <f>I127</f>
        <v>0</v>
      </c>
      <c r="K127" s="21" t="str">
        <f t="shared" si="18"/>
        <v>tdk tuntas</v>
      </c>
      <c r="L127" s="210" t="str">
        <f t="shared" si="19"/>
        <v>80</v>
      </c>
      <c r="M127" s="14" t="s">
        <v>15</v>
      </c>
      <c r="N127" s="24"/>
      <c r="O127" s="15"/>
      <c r="Q127" s="68" t="str">
        <f t="shared" si="22"/>
        <v>Putri Cikara Dewi</v>
      </c>
      <c r="R127" s="21" t="str">
        <f>IF(I127&lt;$N$10,"82","")</f>
        <v>82</v>
      </c>
      <c r="S127" s="14"/>
      <c r="T127" s="63"/>
    </row>
    <row r="128" spans="1:20" ht="12" customHeight="1" x14ac:dyDescent="0.3">
      <c r="A128" s="21">
        <v>27</v>
      </c>
      <c r="B128" s="19"/>
      <c r="C128" s="82" t="str">
        <f>DATA!F36</f>
        <v>Radenta Ardina Putra</v>
      </c>
      <c r="D128" s="248"/>
      <c r="E128" s="43"/>
      <c r="F128" s="43"/>
      <c r="G128" s="43"/>
      <c r="H128" s="44"/>
      <c r="I128" s="21">
        <f t="shared" si="23"/>
        <v>0</v>
      </c>
      <c r="J128" s="45">
        <f t="shared" si="24"/>
        <v>0</v>
      </c>
      <c r="K128" s="21" t="str">
        <f t="shared" si="18"/>
        <v>tdk tuntas</v>
      </c>
      <c r="L128" s="210" t="str">
        <f t="shared" si="19"/>
        <v>80</v>
      </c>
      <c r="M128" s="155" t="s">
        <v>80</v>
      </c>
      <c r="N128" s="24"/>
      <c r="O128" s="15"/>
      <c r="Q128" s="68" t="str">
        <f t="shared" si="22"/>
        <v>Radenta Ardina Putra</v>
      </c>
      <c r="R128" s="21" t="str">
        <f>IF(I128&lt;$N$10,"82","")</f>
        <v>82</v>
      </c>
      <c r="S128" s="14"/>
      <c r="T128" s="63"/>
    </row>
    <row r="129" spans="1:20" ht="12" customHeight="1" x14ac:dyDescent="0.25">
      <c r="A129" s="21">
        <v>28</v>
      </c>
      <c r="B129" s="19"/>
      <c r="C129" s="82" t="str">
        <f>DATA!F37</f>
        <v>Raditya Eka Yudhistira</v>
      </c>
      <c r="D129" s="134"/>
      <c r="E129" s="43"/>
      <c r="F129" s="43"/>
      <c r="G129" s="43"/>
      <c r="H129" s="44"/>
      <c r="I129" s="21">
        <f t="shared" si="23"/>
        <v>0</v>
      </c>
      <c r="J129" s="45">
        <f t="shared" si="24"/>
        <v>0</v>
      </c>
      <c r="K129" s="21" t="str">
        <f t="shared" si="18"/>
        <v>tdk tuntas</v>
      </c>
      <c r="L129" s="210" t="str">
        <f t="shared" si="19"/>
        <v>80</v>
      </c>
      <c r="M129" s="14"/>
      <c r="N129" s="24"/>
      <c r="O129" s="15"/>
      <c r="Q129" s="68" t="str">
        <f t="shared" si="22"/>
        <v>Raditya Eka Yudhistira</v>
      </c>
      <c r="R129" s="21" t="str">
        <f>IF(I129&lt;$N$10,"81","")</f>
        <v>81</v>
      </c>
      <c r="S129" s="14"/>
      <c r="T129" s="63"/>
    </row>
    <row r="130" spans="1:20" ht="12" customHeight="1" x14ac:dyDescent="0.25">
      <c r="A130" s="21">
        <v>29</v>
      </c>
      <c r="B130" s="19"/>
      <c r="C130" s="82" t="str">
        <f>DATA!F38</f>
        <v>Rere Etrischa Zenobia</v>
      </c>
      <c r="D130" s="134"/>
      <c r="E130" s="43"/>
      <c r="F130" s="43"/>
      <c r="G130" s="43"/>
      <c r="H130" s="44"/>
      <c r="I130" s="21">
        <f t="shared" si="23"/>
        <v>0</v>
      </c>
      <c r="J130" s="45">
        <f t="shared" si="24"/>
        <v>0</v>
      </c>
      <c r="K130" s="21" t="str">
        <f t="shared" si="18"/>
        <v>tdk tuntas</v>
      </c>
      <c r="L130" s="210" t="str">
        <f t="shared" si="19"/>
        <v>80</v>
      </c>
      <c r="M130" s="14"/>
      <c r="N130" s="24"/>
      <c r="O130" s="15"/>
      <c r="Q130" s="68" t="str">
        <f t="shared" si="22"/>
        <v>Rere Etrischa Zenobia</v>
      </c>
      <c r="R130" s="21" t="str">
        <f>IF(I130&lt;$N$10,"85","")</f>
        <v>85</v>
      </c>
      <c r="S130" s="14"/>
      <c r="T130" s="63"/>
    </row>
    <row r="131" spans="1:20" ht="12" customHeight="1" x14ac:dyDescent="0.25">
      <c r="A131" s="21">
        <v>30</v>
      </c>
      <c r="B131" s="19"/>
      <c r="C131" s="82" t="str">
        <f>DATA!F39</f>
        <v>Roxy Lantip Afpriba</v>
      </c>
      <c r="D131" s="248"/>
      <c r="E131" s="43"/>
      <c r="F131" s="43"/>
      <c r="G131" s="43"/>
      <c r="H131" s="44"/>
      <c r="I131" s="21">
        <f t="shared" si="23"/>
        <v>0</v>
      </c>
      <c r="J131" s="45">
        <f t="shared" si="24"/>
        <v>0</v>
      </c>
      <c r="K131" s="21" t="str">
        <f t="shared" si="18"/>
        <v>tdk tuntas</v>
      </c>
      <c r="L131" s="210" t="str">
        <f t="shared" si="19"/>
        <v>80</v>
      </c>
      <c r="M131" s="14"/>
      <c r="N131" s="24"/>
      <c r="O131" s="15"/>
      <c r="Q131" s="68" t="str">
        <f t="shared" si="22"/>
        <v>Roxy Lantip Afpriba</v>
      </c>
      <c r="R131" s="21" t="str">
        <f>IF(I131&lt;$N$10,"84","")</f>
        <v>84</v>
      </c>
      <c r="S131" s="14"/>
      <c r="T131" s="63" t="str">
        <f>T84</f>
        <v>Dra. BAROKAH GUNIARTI</v>
      </c>
    </row>
    <row r="132" spans="1:20" ht="12" customHeight="1" x14ac:dyDescent="0.25">
      <c r="A132" s="21">
        <v>31</v>
      </c>
      <c r="B132" s="19"/>
      <c r="C132" s="82" t="str">
        <f>DATA!F40</f>
        <v>Syifa Maulida Zahra</v>
      </c>
      <c r="D132" s="134"/>
      <c r="E132" s="43"/>
      <c r="F132" s="43"/>
      <c r="G132" s="43"/>
      <c r="H132" s="44"/>
      <c r="I132" s="21">
        <f t="shared" si="23"/>
        <v>0</v>
      </c>
      <c r="J132" s="45">
        <f>I132</f>
        <v>0</v>
      </c>
      <c r="K132" s="21" t="str">
        <f>IF(J132&lt;$N$10,"tdk tuntas","tuntas")</f>
        <v>tdk tuntas</v>
      </c>
      <c r="L132" s="210" t="str">
        <f t="shared" si="19"/>
        <v>80</v>
      </c>
      <c r="M132" s="14" t="s">
        <v>56</v>
      </c>
      <c r="N132" s="24"/>
      <c r="O132" s="15"/>
      <c r="Q132" s="68" t="str">
        <f>C132</f>
        <v>Syifa Maulida Zahra</v>
      </c>
      <c r="R132" s="21" t="str">
        <f>IF(I132&lt;$N$10,"84","")</f>
        <v>84</v>
      </c>
      <c r="S132" s="14"/>
      <c r="T132" s="63" t="str">
        <f>T85</f>
        <v>NIP : 196901081996122004</v>
      </c>
    </row>
    <row r="133" spans="1:20" ht="12" customHeight="1" x14ac:dyDescent="0.25">
      <c r="A133" s="21">
        <v>32</v>
      </c>
      <c r="B133" s="19"/>
      <c r="C133" s="82" t="str">
        <f>DATA!F41</f>
        <v>Virna Meisya Amelia</v>
      </c>
      <c r="D133" s="248"/>
      <c r="E133" s="43"/>
      <c r="F133" s="43"/>
      <c r="G133" s="43"/>
      <c r="H133" s="44"/>
      <c r="I133" s="21">
        <f t="shared" si="23"/>
        <v>0</v>
      </c>
      <c r="J133" s="45">
        <f>I133</f>
        <v>0</v>
      </c>
      <c r="K133" s="21" t="str">
        <f>IF(J133&lt;$N$10,"tdk tuntas","tuntas")</f>
        <v>tdk tuntas</v>
      </c>
      <c r="L133" s="210" t="str">
        <f t="shared" si="19"/>
        <v>80</v>
      </c>
      <c r="M133" s="14"/>
      <c r="N133" s="24"/>
      <c r="O133" s="15"/>
      <c r="Q133" s="68" t="str">
        <f>C133</f>
        <v>Virna Meisya Amelia</v>
      </c>
      <c r="R133" s="21"/>
      <c r="S133" s="14"/>
      <c r="T133" s="15"/>
    </row>
    <row r="134" spans="1:20" ht="12" customHeight="1" x14ac:dyDescent="0.25">
      <c r="A134" s="21">
        <v>33</v>
      </c>
      <c r="B134" s="19"/>
      <c r="C134" s="82"/>
      <c r="D134" s="42" t="s">
        <v>63</v>
      </c>
      <c r="E134" s="43"/>
      <c r="F134" s="43"/>
      <c r="G134" s="43"/>
      <c r="H134" s="44"/>
      <c r="I134" s="21"/>
      <c r="J134" s="45"/>
      <c r="K134" s="21"/>
      <c r="L134" s="135"/>
      <c r="M134" s="14" t="s">
        <v>16</v>
      </c>
      <c r="N134" s="24"/>
      <c r="O134" s="15"/>
      <c r="Q134" s="68"/>
      <c r="R134" s="21"/>
      <c r="S134" s="14"/>
      <c r="T134" s="15"/>
    </row>
    <row r="135" spans="1:20" ht="12" customHeight="1" x14ac:dyDescent="0.25">
      <c r="A135" s="21">
        <v>34</v>
      </c>
      <c r="B135" s="19"/>
      <c r="C135" s="82"/>
      <c r="D135" s="42"/>
      <c r="E135" s="43"/>
      <c r="F135" s="43"/>
      <c r="G135" s="43"/>
      <c r="H135" s="44"/>
      <c r="I135" s="21"/>
      <c r="J135" s="45"/>
      <c r="K135" s="21"/>
      <c r="L135" s="135"/>
      <c r="M135" s="14" t="s">
        <v>59</v>
      </c>
      <c r="N135" s="24"/>
      <c r="O135" s="15"/>
      <c r="Q135" s="68"/>
      <c r="R135" s="21"/>
      <c r="S135" s="14"/>
      <c r="T135" s="15"/>
    </row>
    <row r="136" spans="1:20" ht="12" customHeight="1" x14ac:dyDescent="0.25">
      <c r="A136" s="21">
        <v>35</v>
      </c>
      <c r="B136" s="22"/>
      <c r="C136" s="162"/>
      <c r="D136" s="136" t="s">
        <v>63</v>
      </c>
      <c r="E136" s="137"/>
      <c r="F136" s="137"/>
      <c r="G136" s="137"/>
      <c r="H136" s="138"/>
      <c r="I136" s="140"/>
      <c r="J136" s="45"/>
      <c r="K136" s="21"/>
      <c r="L136" s="139"/>
      <c r="M136" s="14" t="s">
        <v>23</v>
      </c>
      <c r="N136" s="24"/>
      <c r="O136" s="15"/>
      <c r="Q136" s="68"/>
      <c r="R136" s="21"/>
      <c r="S136" s="16"/>
      <c r="T136" s="17"/>
    </row>
    <row r="137" spans="1:20" ht="12" customHeight="1" x14ac:dyDescent="0.25">
      <c r="A137" s="101" t="s">
        <v>64</v>
      </c>
      <c r="B137" s="96"/>
      <c r="C137" s="97"/>
      <c r="D137" s="204"/>
      <c r="E137" s="205"/>
      <c r="F137" s="205"/>
      <c r="G137" s="205"/>
      <c r="H137" s="206"/>
      <c r="I137" s="207">
        <f>AVERAGE(I102:I136)</f>
        <v>0</v>
      </c>
      <c r="J137" s="208"/>
      <c r="K137" s="47"/>
      <c r="L137" s="65"/>
      <c r="M137" s="14"/>
      <c r="N137" s="24"/>
      <c r="O137" s="15"/>
      <c r="Q137" s="60"/>
      <c r="R137" s="471" t="str">
        <f>C98</f>
        <v>9C</v>
      </c>
      <c r="S137" s="471"/>
      <c r="T137" s="61"/>
    </row>
    <row r="138" spans="1:20" ht="12" customHeight="1" x14ac:dyDescent="0.25">
      <c r="A138" s="14" t="s">
        <v>17</v>
      </c>
      <c r="B138" s="24"/>
      <c r="C138" s="15"/>
      <c r="D138" s="197">
        <f>SUM(D102:D136)</f>
        <v>0</v>
      </c>
      <c r="E138" s="198">
        <f>SUM(E102:E136)</f>
        <v>0</v>
      </c>
      <c r="F138" s="198">
        <f>SUM(F102:F136)</f>
        <v>0</v>
      </c>
      <c r="G138" s="198">
        <f>SUM(G102:G136)</f>
        <v>0</v>
      </c>
      <c r="H138" s="199">
        <f>SUM(H102:H136)</f>
        <v>0</v>
      </c>
      <c r="I138" s="200">
        <f>SUM(D138:H138)</f>
        <v>0</v>
      </c>
      <c r="J138" s="201" t="s">
        <v>49</v>
      </c>
      <c r="K138" s="48">
        <f>COUNTIF(K102:K136,J138)</f>
        <v>0</v>
      </c>
      <c r="L138" s="64"/>
      <c r="M138" s="14"/>
      <c r="N138" s="24"/>
      <c r="O138" s="15"/>
      <c r="Q138" s="30"/>
      <c r="R138" s="472"/>
      <c r="S138" s="472"/>
      <c r="T138" s="31"/>
    </row>
    <row r="139" spans="1:20" ht="12" customHeight="1" x14ac:dyDescent="0.25">
      <c r="A139" s="14" t="s">
        <v>18</v>
      </c>
      <c r="B139" s="24"/>
      <c r="C139" s="15"/>
      <c r="D139" s="197">
        <f>D100*K140</f>
        <v>640</v>
      </c>
      <c r="E139" s="197">
        <f>E100*K140</f>
        <v>640</v>
      </c>
      <c r="F139" s="197">
        <f>F100*K140</f>
        <v>640</v>
      </c>
      <c r="G139" s="197">
        <f>G100*K140</f>
        <v>640</v>
      </c>
      <c r="H139" s="197">
        <f>H100*K140</f>
        <v>640</v>
      </c>
      <c r="I139" s="200">
        <f>SUM(D139:H139)</f>
        <v>3200</v>
      </c>
      <c r="J139" s="201" t="s">
        <v>50</v>
      </c>
      <c r="K139" s="48">
        <f>COUNTIF(K102:K136,J139)</f>
        <v>32</v>
      </c>
      <c r="L139" s="64"/>
      <c r="M139" s="14"/>
      <c r="N139" s="24"/>
      <c r="O139" s="15"/>
      <c r="Q139" s="30"/>
      <c r="R139" s="472"/>
      <c r="S139" s="472"/>
      <c r="T139" s="31"/>
    </row>
    <row r="140" spans="1:20" ht="12" customHeight="1" x14ac:dyDescent="0.25">
      <c r="A140" s="26" t="s">
        <v>19</v>
      </c>
      <c r="B140" s="27"/>
      <c r="C140" s="28"/>
      <c r="D140" s="202">
        <f t="shared" ref="D140:I140" si="26">D138/D139*100</f>
        <v>0</v>
      </c>
      <c r="E140" s="202">
        <f t="shared" si="26"/>
        <v>0</v>
      </c>
      <c r="F140" s="202">
        <f t="shared" si="26"/>
        <v>0</v>
      </c>
      <c r="G140" s="202">
        <f t="shared" si="26"/>
        <v>0</v>
      </c>
      <c r="H140" s="202">
        <f t="shared" si="26"/>
        <v>0</v>
      </c>
      <c r="I140" s="202">
        <f t="shared" si="26"/>
        <v>0</v>
      </c>
      <c r="J140" s="203" t="s">
        <v>57</v>
      </c>
      <c r="K140" s="49">
        <f>SUM(K138:K139)</f>
        <v>32</v>
      </c>
      <c r="L140" s="66"/>
      <c r="M140" s="16"/>
      <c r="N140" s="25"/>
      <c r="O140" s="17"/>
      <c r="Q140" s="8"/>
      <c r="R140" s="473"/>
      <c r="S140" s="473"/>
      <c r="T140" s="9"/>
    </row>
    <row r="141" spans="1:20" ht="12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20" ht="12" customHeight="1" x14ac:dyDescent="0.25">
      <c r="A142" s="453" t="str">
        <f>'UH1'!A142</f>
        <v>ANALISA HASIL PH MATEMATIKA KLS IX  SMT GENAP</v>
      </c>
      <c r="B142" s="454"/>
      <c r="C142" s="454"/>
      <c r="D142" s="454"/>
      <c r="E142" s="454"/>
      <c r="F142" s="454"/>
      <c r="G142" s="454"/>
      <c r="H142" s="454"/>
      <c r="I142" s="454"/>
      <c r="J142" s="454"/>
      <c r="K142" s="454"/>
      <c r="L142" s="454"/>
      <c r="M142" s="454"/>
      <c r="N142" s="454"/>
      <c r="O142" s="455"/>
      <c r="Q142" s="456" t="s">
        <v>40</v>
      </c>
      <c r="R142" s="457"/>
      <c r="S142" s="457"/>
      <c r="T142" s="458"/>
    </row>
    <row r="143" spans="1:20" ht="12" customHeight="1" x14ac:dyDescent="0.25">
      <c r="A143" s="453" t="str">
        <f>A96</f>
        <v>SMP I LIMBANGAN  TH 2025/2026</v>
      </c>
      <c r="B143" s="454"/>
      <c r="C143" s="454"/>
      <c r="D143" s="454"/>
      <c r="E143" s="454"/>
      <c r="F143" s="454"/>
      <c r="G143" s="454"/>
      <c r="H143" s="454"/>
      <c r="I143" s="454"/>
      <c r="J143" s="454"/>
      <c r="K143" s="454"/>
      <c r="L143" s="454"/>
      <c r="M143" s="454"/>
      <c r="N143" s="454"/>
      <c r="O143" s="455"/>
      <c r="Q143" s="453" t="s">
        <v>61</v>
      </c>
      <c r="R143" s="454"/>
      <c r="S143" s="454"/>
      <c r="T143" s="455"/>
    </row>
    <row r="144" spans="1:20" ht="12" customHeight="1" x14ac:dyDescent="0.25"/>
    <row r="145" spans="1:20" ht="12" customHeight="1" x14ac:dyDescent="0.25">
      <c r="A145" s="99" t="s">
        <v>66</v>
      </c>
      <c r="C145" s="102" t="str">
        <f>DATA!H8</f>
        <v>9D</v>
      </c>
      <c r="D145" t="s">
        <v>21</v>
      </c>
      <c r="F145" s="87">
        <f>F4</f>
        <v>3</v>
      </c>
      <c r="I145" t="s">
        <v>20</v>
      </c>
      <c r="K145" s="72">
        <v>45968</v>
      </c>
      <c r="M145" s="1" t="s">
        <v>60</v>
      </c>
      <c r="N145" s="87">
        <f>N4</f>
        <v>3</v>
      </c>
      <c r="Q145" t="s">
        <v>28</v>
      </c>
      <c r="R145" s="470">
        <f>K145+7</f>
        <v>45975</v>
      </c>
      <c r="S145" s="470"/>
    </row>
    <row r="146" spans="1:20" ht="12" customHeight="1" x14ac:dyDescent="0.25">
      <c r="A146" s="2"/>
      <c r="B146" s="2"/>
      <c r="C146" s="3" t="s">
        <v>7</v>
      </c>
      <c r="D146" s="32">
        <v>1</v>
      </c>
      <c r="E146" s="33">
        <v>2</v>
      </c>
      <c r="F146" s="33">
        <v>3</v>
      </c>
      <c r="G146" s="33">
        <v>4</v>
      </c>
      <c r="H146" s="34">
        <v>5</v>
      </c>
      <c r="I146" s="35" t="s">
        <v>3</v>
      </c>
      <c r="J146" s="4" t="s">
        <v>4</v>
      </c>
      <c r="K146" s="53" t="s">
        <v>83</v>
      </c>
      <c r="L146" s="35" t="s">
        <v>43</v>
      </c>
      <c r="M146" s="459" t="s">
        <v>9</v>
      </c>
      <c r="N146" s="460"/>
      <c r="O146" s="461"/>
      <c r="Q146" s="2"/>
      <c r="R146" s="35" t="s">
        <v>24</v>
      </c>
      <c r="S146" s="60"/>
      <c r="T146" s="61"/>
    </row>
    <row r="147" spans="1:20" ht="12" customHeight="1" x14ac:dyDescent="0.25">
      <c r="A147" s="6" t="s">
        <v>0</v>
      </c>
      <c r="B147" s="6" t="s">
        <v>1</v>
      </c>
      <c r="C147" s="5" t="s">
        <v>8</v>
      </c>
      <c r="D147" s="55">
        <f>D100</f>
        <v>20</v>
      </c>
      <c r="E147" s="56">
        <f>E100</f>
        <v>20</v>
      </c>
      <c r="F147" s="56">
        <f>F100</f>
        <v>20</v>
      </c>
      <c r="G147" s="56">
        <f>G100</f>
        <v>20</v>
      </c>
      <c r="H147" s="105">
        <f>H100</f>
        <v>20</v>
      </c>
      <c r="I147" s="21">
        <f>SUM(D147:H147)</f>
        <v>100</v>
      </c>
      <c r="J147" s="6" t="s">
        <v>5</v>
      </c>
      <c r="K147" s="52" t="s">
        <v>22</v>
      </c>
      <c r="L147" s="11" t="s">
        <v>44</v>
      </c>
      <c r="M147" s="462"/>
      <c r="N147" s="463"/>
      <c r="O147" s="464"/>
      <c r="Q147" s="6" t="s">
        <v>2</v>
      </c>
      <c r="R147" s="11" t="s">
        <v>25</v>
      </c>
      <c r="S147" s="468" t="s">
        <v>27</v>
      </c>
      <c r="T147" s="469"/>
    </row>
    <row r="148" spans="1:20" ht="12" customHeight="1" x14ac:dyDescent="0.25">
      <c r="A148" s="6"/>
      <c r="B148" s="6"/>
      <c r="C148" s="51" t="s">
        <v>2</v>
      </c>
      <c r="D148" s="36"/>
      <c r="E148" s="37"/>
      <c r="F148" s="37"/>
      <c r="G148" s="37"/>
      <c r="H148" s="38"/>
      <c r="I148" s="11"/>
      <c r="J148" s="6" t="s">
        <v>6</v>
      </c>
      <c r="K148" s="54"/>
      <c r="L148" s="59" t="s">
        <v>45</v>
      </c>
      <c r="M148" s="465"/>
      <c r="N148" s="466"/>
      <c r="O148" s="467"/>
      <c r="Q148" s="7"/>
      <c r="R148" s="59" t="s">
        <v>26</v>
      </c>
      <c r="S148" s="8"/>
      <c r="T148" s="9"/>
    </row>
    <row r="149" spans="1:20" ht="12" customHeight="1" x14ac:dyDescent="0.25">
      <c r="A149" s="20">
        <v>1</v>
      </c>
      <c r="B149" s="18"/>
      <c r="C149" s="81" t="str">
        <f>DATA!H10</f>
        <v>Aditya Wahyu Putra Septiadi</v>
      </c>
      <c r="D149" s="131"/>
      <c r="E149" s="40"/>
      <c r="F149" s="40"/>
      <c r="G149" s="40"/>
      <c r="H149" s="41"/>
      <c r="I149" s="20">
        <f>SUM(D149:H149)</f>
        <v>0</v>
      </c>
      <c r="J149" s="46">
        <f>I149</f>
        <v>0</v>
      </c>
      <c r="K149" s="21" t="str">
        <f>IF(J149&lt;$N$10,"tdk tuntas","tuntas")</f>
        <v>tdk tuntas</v>
      </c>
      <c r="L149" s="209" t="str">
        <f>IF(J149&lt;=39.9,"80",IF(J149&lt;=59.9,"81",IF(J149&lt;=69.9,"82",IF(J149&lt;=74.9,"83",IF(J149&lt;=78.9,"84",IF(J149&lt;=78.9,"85",IF(J149&gt;=78.9,J149," ")))))))</f>
        <v>80</v>
      </c>
      <c r="M149" s="12"/>
      <c r="N149" s="23"/>
      <c r="O149" s="13"/>
      <c r="Q149" s="67" t="str">
        <f>C149</f>
        <v>Aditya Wahyu Putra Septiadi</v>
      </c>
      <c r="R149" s="21" t="str">
        <f>IF(I149&lt;$N$10,"80","")</f>
        <v>80</v>
      </c>
      <c r="S149" s="12"/>
      <c r="T149" s="13"/>
    </row>
    <row r="150" spans="1:20" ht="12" customHeight="1" x14ac:dyDescent="0.25">
      <c r="A150" s="21">
        <v>2</v>
      </c>
      <c r="B150" s="19"/>
      <c r="C150" s="82" t="str">
        <f>DATA!H11</f>
        <v>Al Fuzu Daya Satria</v>
      </c>
      <c r="D150" s="248"/>
      <c r="E150" s="43"/>
      <c r="F150" s="43"/>
      <c r="G150" s="43"/>
      <c r="H150" s="44"/>
      <c r="I150" s="21">
        <f>SUM(D150:H150)</f>
        <v>0</v>
      </c>
      <c r="J150" s="45">
        <f t="shared" ref="J150:J178" si="27">I150</f>
        <v>0</v>
      </c>
      <c r="K150" s="21" t="str">
        <f t="shared" ref="K150:K178" si="28">IF(J150&lt;$N$10,"tdk tuntas","tuntas")</f>
        <v>tdk tuntas</v>
      </c>
      <c r="L150" s="210" t="str">
        <f t="shared" ref="L150:L179" si="29">IF(J150&lt;=39.9,"80",IF(J150&lt;=59.9,"81",IF(J150&lt;=69.9,"82",IF(J150&lt;=74.9,"83",IF(J150&lt;=78.9,"84",IF(J150&lt;=78.9,"85",IF(J150&gt;=78.9,J150," ")))))))</f>
        <v>80</v>
      </c>
      <c r="M150" s="14"/>
      <c r="N150" s="24"/>
      <c r="O150" s="15"/>
      <c r="Q150" s="68" t="str">
        <f t="shared" ref="Q150:Q179" si="30">C150</f>
        <v>Al Fuzu Daya Satria</v>
      </c>
      <c r="R150" s="21" t="str">
        <f>IF(I150&lt;$N$10,"81","")</f>
        <v>81</v>
      </c>
      <c r="S150" s="14" t="s">
        <v>29</v>
      </c>
      <c r="T150" s="15"/>
    </row>
    <row r="151" spans="1:20" ht="12" customHeight="1" thickBot="1" x14ac:dyDescent="0.35">
      <c r="A151" s="21">
        <v>3</v>
      </c>
      <c r="B151" s="19"/>
      <c r="C151" s="82" t="str">
        <f>DATA!H12</f>
        <v>Amanda Kirana Maharani</v>
      </c>
      <c r="D151" s="248"/>
      <c r="E151" s="43"/>
      <c r="F151" s="43"/>
      <c r="G151" s="43"/>
      <c r="H151" s="44"/>
      <c r="I151" s="21">
        <f t="shared" ref="I151:I178" si="31">SUM(D151:H151)</f>
        <v>0</v>
      </c>
      <c r="J151" s="45">
        <f t="shared" si="27"/>
        <v>0</v>
      </c>
      <c r="K151" s="21" t="str">
        <f t="shared" si="28"/>
        <v>tdk tuntas</v>
      </c>
      <c r="L151" s="210" t="str">
        <f t="shared" si="29"/>
        <v>80</v>
      </c>
      <c r="M151" s="70" t="s">
        <v>62</v>
      </c>
      <c r="N151" s="76">
        <f>N10</f>
        <v>80</v>
      </c>
      <c r="O151" s="15"/>
      <c r="Q151" s="68" t="str">
        <f t="shared" si="30"/>
        <v>Amanda Kirana Maharani</v>
      </c>
      <c r="R151" s="21" t="str">
        <f>IF(I151&lt;$N$10,"81","")</f>
        <v>81</v>
      </c>
      <c r="S151" s="26"/>
      <c r="T151" s="15"/>
    </row>
    <row r="152" spans="1:20" ht="12" customHeight="1" thickTop="1" thickBot="1" x14ac:dyDescent="0.3">
      <c r="A152" s="21">
        <v>4</v>
      </c>
      <c r="B152" s="19"/>
      <c r="C152" s="82" t="str">
        <f>DATA!H13</f>
        <v>Andra Prima Reza</v>
      </c>
      <c r="D152" s="248"/>
      <c r="E152" s="43"/>
      <c r="F152" s="43"/>
      <c r="G152" s="43"/>
      <c r="H152" s="44"/>
      <c r="I152" s="21">
        <f t="shared" si="31"/>
        <v>0</v>
      </c>
      <c r="J152" s="45">
        <f t="shared" si="27"/>
        <v>0</v>
      </c>
      <c r="K152" s="21" t="str">
        <f t="shared" si="28"/>
        <v>tdk tuntas</v>
      </c>
      <c r="L152" s="210" t="str">
        <f t="shared" si="29"/>
        <v>80</v>
      </c>
      <c r="M152" s="14"/>
      <c r="N152" s="24"/>
      <c r="O152" s="15"/>
      <c r="Q152" s="68" t="str">
        <f t="shared" si="30"/>
        <v>Andra Prima Reza</v>
      </c>
      <c r="R152" s="21" t="str">
        <f>IF(I152&lt;$N$10,"84","")</f>
        <v>84</v>
      </c>
      <c r="S152" s="62"/>
      <c r="T152" s="15" t="s">
        <v>35</v>
      </c>
    </row>
    <row r="153" spans="1:20" ht="12" customHeight="1" thickTop="1" thickBot="1" x14ac:dyDescent="0.3">
      <c r="A153" s="21">
        <v>5</v>
      </c>
      <c r="B153" s="19"/>
      <c r="C153" s="82" t="str">
        <f>DATA!H14</f>
        <v>Ayu Safitri Intan Zahwa</v>
      </c>
      <c r="D153" s="248"/>
      <c r="E153" s="43"/>
      <c r="F153" s="43"/>
      <c r="G153" s="43"/>
      <c r="H153" s="44"/>
      <c r="I153" s="21">
        <f t="shared" si="31"/>
        <v>0</v>
      </c>
      <c r="J153" s="45">
        <f t="shared" si="27"/>
        <v>0</v>
      </c>
      <c r="K153" s="21" t="str">
        <f t="shared" si="28"/>
        <v>tdk tuntas</v>
      </c>
      <c r="L153" s="210" t="str">
        <f t="shared" si="29"/>
        <v>80</v>
      </c>
      <c r="M153" s="14"/>
      <c r="N153" s="24"/>
      <c r="O153" s="15"/>
      <c r="Q153" s="68" t="str">
        <f t="shared" si="30"/>
        <v>Ayu Safitri Intan Zahwa</v>
      </c>
      <c r="R153" s="21" t="str">
        <f>IF(I153&lt;$N$10,"87","")</f>
        <v>87</v>
      </c>
      <c r="S153" s="158"/>
      <c r="T153" s="15" t="s">
        <v>38</v>
      </c>
    </row>
    <row r="154" spans="1:20" ht="12" customHeight="1" thickTop="1" thickBot="1" x14ac:dyDescent="0.3">
      <c r="A154" s="21">
        <v>6</v>
      </c>
      <c r="B154" s="19"/>
      <c r="C154" s="82" t="str">
        <f>DATA!H15</f>
        <v>Azzahra Quinnsha Setyana</v>
      </c>
      <c r="D154" s="134"/>
      <c r="E154" s="43"/>
      <c r="F154" s="43"/>
      <c r="G154" s="43"/>
      <c r="H154" s="44"/>
      <c r="I154" s="21">
        <f t="shared" si="31"/>
        <v>0</v>
      </c>
      <c r="J154" s="45">
        <f t="shared" si="27"/>
        <v>0</v>
      </c>
      <c r="K154" s="21" t="str">
        <f t="shared" si="28"/>
        <v>tdk tuntas</v>
      </c>
      <c r="L154" s="210" t="str">
        <f t="shared" si="29"/>
        <v>80</v>
      </c>
      <c r="M154" s="14" t="s">
        <v>10</v>
      </c>
      <c r="N154" s="24"/>
      <c r="O154" s="15"/>
      <c r="Q154" s="68" t="str">
        <f t="shared" si="30"/>
        <v>Azzahra Quinnsha Setyana</v>
      </c>
      <c r="R154" s="21" t="str">
        <f>IF(I154&lt;$N$10,"82","")</f>
        <v>82</v>
      </c>
      <c r="S154" s="155"/>
      <c r="T154" s="15" t="s">
        <v>39</v>
      </c>
    </row>
    <row r="155" spans="1:20" ht="12" customHeight="1" thickTop="1" thickBot="1" x14ac:dyDescent="0.35">
      <c r="A155" s="21">
        <v>7</v>
      </c>
      <c r="B155" s="19"/>
      <c r="C155" s="194" t="str">
        <f>DATA!H16</f>
        <v>Bryan Marcanda</v>
      </c>
      <c r="D155" s="248"/>
      <c r="E155" s="43"/>
      <c r="F155" s="43"/>
      <c r="G155" s="43"/>
      <c r="H155" s="44"/>
      <c r="I155" s="192">
        <f t="shared" si="31"/>
        <v>0</v>
      </c>
      <c r="J155" s="45">
        <f>I155</f>
        <v>0</v>
      </c>
      <c r="K155" s="21" t="str">
        <f>IF(J155&lt;$N$10,"tdk tuntas","tuntas")</f>
        <v>tdk tuntas</v>
      </c>
      <c r="L155" s="210" t="str">
        <f t="shared" si="29"/>
        <v>80</v>
      </c>
      <c r="M155" s="14"/>
      <c r="N155" s="24"/>
      <c r="O155" s="15"/>
      <c r="Q155" s="68" t="str">
        <f t="shared" si="30"/>
        <v>Bryan Marcanda</v>
      </c>
      <c r="R155" s="21" t="str">
        <f>IF(I155&lt;$N$10,"80","")</f>
        <v>80</v>
      </c>
      <c r="S155" s="71" t="s">
        <v>81</v>
      </c>
      <c r="T155" s="119" t="s">
        <v>36</v>
      </c>
    </row>
    <row r="156" spans="1:20" ht="12" customHeight="1" thickTop="1" x14ac:dyDescent="0.25">
      <c r="A156" s="21">
        <v>8</v>
      </c>
      <c r="B156" s="19"/>
      <c r="C156" s="82" t="str">
        <f>DATA!H17</f>
        <v>Chelsea Felita Matiune</v>
      </c>
      <c r="D156" s="134"/>
      <c r="E156" s="43"/>
      <c r="F156" s="43"/>
      <c r="G156" s="43"/>
      <c r="H156" s="44"/>
      <c r="I156" s="21">
        <f t="shared" si="31"/>
        <v>0</v>
      </c>
      <c r="J156" s="45">
        <f t="shared" si="27"/>
        <v>0</v>
      </c>
      <c r="K156" s="21" t="str">
        <f t="shared" si="28"/>
        <v>tdk tuntas</v>
      </c>
      <c r="L156" s="210" t="str">
        <f t="shared" si="29"/>
        <v>80</v>
      </c>
      <c r="M156" s="77" t="s">
        <v>51</v>
      </c>
      <c r="N156" s="24"/>
      <c r="O156" s="15"/>
      <c r="Q156" s="68" t="str">
        <f t="shared" si="30"/>
        <v>Chelsea Felita Matiune</v>
      </c>
      <c r="R156" s="21" t="str">
        <f>IF(I156&lt;$N$10,"84","")</f>
        <v>84</v>
      </c>
      <c r="S156" s="155"/>
      <c r="T156" s="119" t="s">
        <v>37</v>
      </c>
    </row>
    <row r="157" spans="1:20" ht="12" customHeight="1" x14ac:dyDescent="0.25">
      <c r="A157" s="21">
        <v>9</v>
      </c>
      <c r="B157" s="19"/>
      <c r="C157" s="82" t="str">
        <f>DATA!H18</f>
        <v>Dharma Tegar Sathrya</v>
      </c>
      <c r="D157" s="134"/>
      <c r="E157" s="43"/>
      <c r="F157" s="43"/>
      <c r="G157" s="43"/>
      <c r="H157" s="44"/>
      <c r="I157" s="21">
        <f t="shared" si="31"/>
        <v>0</v>
      </c>
      <c r="J157" s="45">
        <f t="shared" si="27"/>
        <v>0</v>
      </c>
      <c r="K157" s="21" t="str">
        <f t="shared" si="28"/>
        <v>tdk tuntas</v>
      </c>
      <c r="L157" s="210" t="str">
        <f t="shared" si="29"/>
        <v>80</v>
      </c>
      <c r="N157" s="24"/>
      <c r="O157" s="15"/>
      <c r="Q157" s="68" t="str">
        <f t="shared" si="30"/>
        <v>Dharma Tegar Sathrya</v>
      </c>
      <c r="R157" s="21" t="str">
        <f>IF(I157&lt;$N$10,"88","")</f>
        <v>88</v>
      </c>
      <c r="S157" s="14"/>
      <c r="T157" s="15"/>
    </row>
    <row r="158" spans="1:20" ht="12" customHeight="1" x14ac:dyDescent="0.25">
      <c r="A158" s="21">
        <v>10</v>
      </c>
      <c r="B158" s="19"/>
      <c r="C158" s="82" t="str">
        <f>DATA!H19</f>
        <v>Eza Septian Dinata</v>
      </c>
      <c r="D158" s="248"/>
      <c r="E158" s="43"/>
      <c r="F158" s="43"/>
      <c r="G158" s="43"/>
      <c r="H158" s="44"/>
      <c r="I158" s="21">
        <f t="shared" si="31"/>
        <v>0</v>
      </c>
      <c r="J158" s="45">
        <f t="shared" si="27"/>
        <v>0</v>
      </c>
      <c r="K158" s="21" t="str">
        <f t="shared" si="28"/>
        <v>tdk tuntas</v>
      </c>
      <c r="L158" s="210" t="str">
        <f t="shared" si="29"/>
        <v>80</v>
      </c>
      <c r="M158" s="14"/>
      <c r="N158" s="24"/>
      <c r="O158" s="15"/>
      <c r="Q158" s="68" t="str">
        <f t="shared" si="30"/>
        <v>Eza Septian Dinata</v>
      </c>
      <c r="R158" s="21" t="str">
        <f t="shared" ref="R158:R163" si="32">IF(I158&lt;$N$10,"85","")</f>
        <v>85</v>
      </c>
      <c r="S158" s="14" t="s">
        <v>30</v>
      </c>
      <c r="T158" s="15"/>
    </row>
    <row r="159" spans="1:20" ht="12" customHeight="1" thickBot="1" x14ac:dyDescent="0.3">
      <c r="A159" s="21">
        <v>11</v>
      </c>
      <c r="B159" s="19"/>
      <c r="C159" s="82" t="str">
        <f>DATA!H20</f>
        <v>Hadi Khoirul Anwar</v>
      </c>
      <c r="D159" s="248"/>
      <c r="E159" s="43"/>
      <c r="F159" s="43"/>
      <c r="G159" s="43"/>
      <c r="H159" s="44"/>
      <c r="I159" s="21">
        <f t="shared" si="31"/>
        <v>0</v>
      </c>
      <c r="J159" s="45">
        <f t="shared" si="27"/>
        <v>0</v>
      </c>
      <c r="K159" s="21" t="str">
        <f t="shared" si="28"/>
        <v>tdk tuntas</v>
      </c>
      <c r="L159" s="210" t="str">
        <f t="shared" si="29"/>
        <v>80</v>
      </c>
      <c r="M159" s="14"/>
      <c r="N159" s="24"/>
      <c r="O159" s="15"/>
      <c r="Q159" s="68" t="str">
        <f t="shared" si="30"/>
        <v>Hadi Khoirul Anwar</v>
      </c>
      <c r="R159" s="21" t="str">
        <f t="shared" si="32"/>
        <v>85</v>
      </c>
      <c r="T159" s="15"/>
    </row>
    <row r="160" spans="1:20" ht="12" customHeight="1" thickTop="1" thickBot="1" x14ac:dyDescent="0.35">
      <c r="A160" s="21">
        <v>12</v>
      </c>
      <c r="B160" s="19"/>
      <c r="C160" s="82" t="str">
        <f>DATA!H21</f>
        <v>Ica Nur Setyo Anugrah</v>
      </c>
      <c r="D160" s="248"/>
      <c r="E160" s="43"/>
      <c r="F160" s="43"/>
      <c r="G160" s="43"/>
      <c r="H160" s="44"/>
      <c r="I160" s="21">
        <f t="shared" si="31"/>
        <v>0</v>
      </c>
      <c r="J160" s="45">
        <f t="shared" si="27"/>
        <v>0</v>
      </c>
      <c r="K160" s="21" t="str">
        <f t="shared" si="28"/>
        <v>tdk tuntas</v>
      </c>
      <c r="L160" s="210" t="str">
        <f t="shared" si="29"/>
        <v>80</v>
      </c>
      <c r="M160" s="14" t="s">
        <v>11</v>
      </c>
      <c r="N160" s="58">
        <f>K187</f>
        <v>31</v>
      </c>
      <c r="O160" s="15"/>
      <c r="Q160" s="68" t="str">
        <f t="shared" si="30"/>
        <v>Ica Nur Setyo Anugrah</v>
      </c>
      <c r="R160" s="21" t="str">
        <f t="shared" si="32"/>
        <v>85</v>
      </c>
      <c r="S160" s="158" t="s">
        <v>46</v>
      </c>
      <c r="T160" s="119" t="s">
        <v>31</v>
      </c>
    </row>
    <row r="161" spans="1:20" ht="12" customHeight="1" thickTop="1" thickBot="1" x14ac:dyDescent="0.35">
      <c r="A161" s="21">
        <v>13</v>
      </c>
      <c r="B161" s="19"/>
      <c r="C161" s="82" t="str">
        <f>DATA!H22</f>
        <v>Jihan Aliya Kamil Alfayari</v>
      </c>
      <c r="D161" s="248"/>
      <c r="E161" s="43"/>
      <c r="F161" s="43"/>
      <c r="G161" s="43"/>
      <c r="H161" s="44"/>
      <c r="I161" s="21">
        <f t="shared" si="31"/>
        <v>0</v>
      </c>
      <c r="J161" s="45">
        <f t="shared" si="27"/>
        <v>0</v>
      </c>
      <c r="K161" s="21" t="str">
        <f t="shared" si="28"/>
        <v>tdk tuntas</v>
      </c>
      <c r="L161" s="210" t="str">
        <f t="shared" si="29"/>
        <v>80</v>
      </c>
      <c r="M161" s="14" t="s">
        <v>12</v>
      </c>
      <c r="N161" s="58">
        <f>K185</f>
        <v>0</v>
      </c>
      <c r="O161" s="15"/>
      <c r="Q161" s="68" t="str">
        <f t="shared" si="30"/>
        <v>Jihan Aliya Kamil Alfayari</v>
      </c>
      <c r="R161" s="21" t="str">
        <f t="shared" si="32"/>
        <v>85</v>
      </c>
      <c r="S161" s="155"/>
      <c r="T161" s="119" t="s">
        <v>32</v>
      </c>
    </row>
    <row r="162" spans="1:20" ht="12" customHeight="1" thickTop="1" thickBot="1" x14ac:dyDescent="0.35">
      <c r="A162" s="21">
        <v>14</v>
      </c>
      <c r="B162" s="19"/>
      <c r="C162" s="82" t="str">
        <f>DATA!H23</f>
        <v>Keisya Bily Ferlista</v>
      </c>
      <c r="D162" s="134"/>
      <c r="E162" s="43"/>
      <c r="F162" s="43"/>
      <c r="G162" s="43"/>
      <c r="H162" s="44"/>
      <c r="I162" s="21">
        <f t="shared" si="31"/>
        <v>0</v>
      </c>
      <c r="J162" s="45">
        <f t="shared" si="27"/>
        <v>0</v>
      </c>
      <c r="K162" s="21" t="str">
        <f t="shared" si="28"/>
        <v>tdk tuntas</v>
      </c>
      <c r="L162" s="210" t="str">
        <f t="shared" si="29"/>
        <v>80</v>
      </c>
      <c r="M162" s="14" t="s">
        <v>13</v>
      </c>
      <c r="N162" s="58">
        <f>N161/N160*100</f>
        <v>0</v>
      </c>
      <c r="O162" s="15" t="s">
        <v>4</v>
      </c>
      <c r="Q162" s="68" t="str">
        <f t="shared" si="30"/>
        <v>Keisya Bily Ferlista</v>
      </c>
      <c r="R162" s="21" t="str">
        <f t="shared" si="32"/>
        <v>85</v>
      </c>
      <c r="S162" s="62"/>
      <c r="T162" s="15" t="s">
        <v>33</v>
      </c>
    </row>
    <row r="163" spans="1:20" ht="12" customHeight="1" thickTop="1" x14ac:dyDescent="0.25">
      <c r="A163" s="21">
        <v>15</v>
      </c>
      <c r="B163" s="19"/>
      <c r="C163" s="82" t="str">
        <f>DATA!H24</f>
        <v>Muhammad Rafi Ma'Arif</v>
      </c>
      <c r="D163" s="134"/>
      <c r="E163" s="43"/>
      <c r="F163" s="43"/>
      <c r="G163" s="43"/>
      <c r="H163" s="44"/>
      <c r="I163" s="21">
        <f t="shared" si="31"/>
        <v>0</v>
      </c>
      <c r="J163" s="45">
        <f t="shared" si="27"/>
        <v>0</v>
      </c>
      <c r="K163" s="21" t="str">
        <f t="shared" si="28"/>
        <v>tdk tuntas</v>
      </c>
      <c r="L163" s="210" t="str">
        <f t="shared" si="29"/>
        <v>80</v>
      </c>
      <c r="M163" s="14"/>
      <c r="N163" s="24"/>
      <c r="O163" s="15"/>
      <c r="Q163" s="68" t="str">
        <f t="shared" si="30"/>
        <v>Muhammad Rafi Ma'Arif</v>
      </c>
      <c r="R163" s="21" t="str">
        <f t="shared" si="32"/>
        <v>85</v>
      </c>
      <c r="S163" s="14"/>
      <c r="T163" s="15" t="s">
        <v>34</v>
      </c>
    </row>
    <row r="164" spans="1:20" ht="12" customHeight="1" x14ac:dyDescent="0.25">
      <c r="A164" s="21">
        <v>16</v>
      </c>
      <c r="B164" s="19"/>
      <c r="C164" s="82" t="str">
        <f>DATA!H25</f>
        <v>Nafis Aufan Ahsanulkarim</v>
      </c>
      <c r="D164" s="248"/>
      <c r="E164" s="43"/>
      <c r="F164" s="43"/>
      <c r="G164" s="43"/>
      <c r="H164" s="44"/>
      <c r="I164" s="21">
        <f t="shared" si="31"/>
        <v>0</v>
      </c>
      <c r="J164" s="45">
        <f t="shared" si="27"/>
        <v>0</v>
      </c>
      <c r="K164" s="21" t="str">
        <f t="shared" si="28"/>
        <v>tdk tuntas</v>
      </c>
      <c r="L164" s="210" t="str">
        <f t="shared" si="29"/>
        <v>80</v>
      </c>
      <c r="M164" s="14" t="s">
        <v>52</v>
      </c>
      <c r="N164" s="24"/>
      <c r="O164" s="15"/>
      <c r="Q164" s="68" t="str">
        <f t="shared" si="30"/>
        <v>Nafis Aufan Ahsanulkarim</v>
      </c>
      <c r="R164" s="21" t="str">
        <f>IF(I164&lt;$N$10,"84","")</f>
        <v>84</v>
      </c>
      <c r="S164" s="14"/>
      <c r="T164" s="15"/>
    </row>
    <row r="165" spans="1:20" ht="12" customHeight="1" x14ac:dyDescent="0.25">
      <c r="A165" s="21">
        <v>17</v>
      </c>
      <c r="B165" s="19"/>
      <c r="C165" s="82" t="str">
        <f>DATA!H26</f>
        <v>Nayla Azalia Lathifah</v>
      </c>
      <c r="D165" s="134"/>
      <c r="E165" s="43"/>
      <c r="F165" s="43"/>
      <c r="G165" s="43"/>
      <c r="H165" s="44"/>
      <c r="I165" s="21">
        <f t="shared" si="31"/>
        <v>0</v>
      </c>
      <c r="J165" s="45">
        <f t="shared" si="27"/>
        <v>0</v>
      </c>
      <c r="K165" s="21" t="str">
        <f t="shared" si="28"/>
        <v>tdk tuntas</v>
      </c>
      <c r="L165" s="210" t="str">
        <f t="shared" si="29"/>
        <v>80</v>
      </c>
      <c r="N165" s="24"/>
      <c r="O165" s="15"/>
      <c r="Q165" s="68" t="str">
        <f t="shared" si="30"/>
        <v>Nayla Azalia Lathifah</v>
      </c>
      <c r="R165" s="21" t="str">
        <f t="shared" ref="R165:R171" si="33">IF(I165&lt;$N$10,"82","")</f>
        <v>82</v>
      </c>
      <c r="S165" s="14"/>
      <c r="T165" s="63" t="s">
        <v>41</v>
      </c>
    </row>
    <row r="166" spans="1:20" ht="12" customHeight="1" x14ac:dyDescent="0.25">
      <c r="A166" s="21">
        <v>18</v>
      </c>
      <c r="B166" s="19"/>
      <c r="C166" s="82" t="str">
        <f>DATA!H27</f>
        <v>Radita Raharjo</v>
      </c>
      <c r="D166" s="134"/>
      <c r="E166" s="43"/>
      <c r="F166" s="43"/>
      <c r="G166" s="43"/>
      <c r="H166" s="44"/>
      <c r="I166" s="21">
        <f t="shared" si="31"/>
        <v>0</v>
      </c>
      <c r="J166" s="45">
        <f t="shared" si="27"/>
        <v>0</v>
      </c>
      <c r="K166" s="21" t="str">
        <f t="shared" si="28"/>
        <v>tdk tuntas</v>
      </c>
      <c r="L166" s="210" t="str">
        <f t="shared" si="29"/>
        <v>80</v>
      </c>
      <c r="M166" s="14"/>
      <c r="N166" s="24"/>
      <c r="O166" s="15"/>
      <c r="Q166" s="68" t="str">
        <f t="shared" si="30"/>
        <v>Radita Raharjo</v>
      </c>
      <c r="R166" s="21" t="str">
        <f t="shared" si="33"/>
        <v>82</v>
      </c>
      <c r="S166" s="14"/>
      <c r="T166" s="63"/>
    </row>
    <row r="167" spans="1:20" ht="12" customHeight="1" x14ac:dyDescent="0.25">
      <c r="A167" s="21">
        <v>19</v>
      </c>
      <c r="B167" s="19"/>
      <c r="C167" s="82" t="str">
        <f>DATA!H28</f>
        <v>Rava Aditya Pratama</v>
      </c>
      <c r="D167" s="248"/>
      <c r="E167" s="43"/>
      <c r="F167" s="43"/>
      <c r="G167" s="43"/>
      <c r="H167" s="44"/>
      <c r="I167" s="21">
        <f t="shared" si="31"/>
        <v>0</v>
      </c>
      <c r="J167" s="45">
        <f t="shared" si="27"/>
        <v>0</v>
      </c>
      <c r="K167" s="21" t="str">
        <f t="shared" si="28"/>
        <v>tdk tuntas</v>
      </c>
      <c r="L167" s="210" t="str">
        <f t="shared" si="29"/>
        <v>80</v>
      </c>
      <c r="M167" s="14"/>
      <c r="N167" s="24"/>
      <c r="O167" s="15"/>
      <c r="Q167" s="68" t="str">
        <f t="shared" si="30"/>
        <v>Rava Aditya Pratama</v>
      </c>
      <c r="R167" s="21" t="str">
        <f t="shared" si="33"/>
        <v>82</v>
      </c>
      <c r="S167" s="14"/>
      <c r="T167" s="63"/>
    </row>
    <row r="168" spans="1:20" ht="12" customHeight="1" x14ac:dyDescent="0.25">
      <c r="A168" s="21">
        <v>20</v>
      </c>
      <c r="B168" s="19"/>
      <c r="C168" s="82" t="str">
        <f>DATA!H29</f>
        <v>Saffa Ayu Anastasya</v>
      </c>
      <c r="D168" s="134"/>
      <c r="E168" s="43"/>
      <c r="F168" s="43"/>
      <c r="G168" s="43"/>
      <c r="H168" s="44"/>
      <c r="I168" s="21">
        <f t="shared" si="31"/>
        <v>0</v>
      </c>
      <c r="J168" s="45">
        <f t="shared" si="27"/>
        <v>0</v>
      </c>
      <c r="K168" s="21" t="str">
        <f t="shared" si="28"/>
        <v>tdk tuntas</v>
      </c>
      <c r="L168" s="210" t="str">
        <f t="shared" si="29"/>
        <v>80</v>
      </c>
      <c r="M168" s="14" t="s">
        <v>53</v>
      </c>
      <c r="N168" s="78">
        <f>I185</f>
        <v>0</v>
      </c>
      <c r="O168" s="15"/>
      <c r="Q168" s="68" t="str">
        <f t="shared" si="30"/>
        <v>Saffa Ayu Anastasya</v>
      </c>
      <c r="R168" s="21" t="str">
        <f t="shared" si="33"/>
        <v>82</v>
      </c>
      <c r="S168" s="14"/>
      <c r="T168" s="63"/>
    </row>
    <row r="169" spans="1:20" ht="12" customHeight="1" x14ac:dyDescent="0.25">
      <c r="A169" s="21">
        <v>21</v>
      </c>
      <c r="B169" s="19"/>
      <c r="C169" s="82" t="str">
        <f>DATA!H30</f>
        <v>Saromadika</v>
      </c>
      <c r="D169" s="248"/>
      <c r="E169" s="43"/>
      <c r="F169" s="43"/>
      <c r="G169" s="43"/>
      <c r="H169" s="44"/>
      <c r="I169" s="21">
        <f t="shared" si="31"/>
        <v>0</v>
      </c>
      <c r="J169" s="45">
        <f t="shared" si="27"/>
        <v>0</v>
      </c>
      <c r="K169" s="21" t="str">
        <f t="shared" si="28"/>
        <v>tdk tuntas</v>
      </c>
      <c r="L169" s="210" t="str">
        <f t="shared" si="29"/>
        <v>80</v>
      </c>
      <c r="M169" s="14" t="s">
        <v>54</v>
      </c>
      <c r="N169" s="78">
        <f>I186</f>
        <v>3100</v>
      </c>
      <c r="O169" s="15"/>
      <c r="Q169" s="68" t="str">
        <f t="shared" si="30"/>
        <v>Saromadika</v>
      </c>
      <c r="R169" s="21" t="str">
        <f t="shared" si="33"/>
        <v>82</v>
      </c>
      <c r="S169" s="14"/>
      <c r="T169" s="63" t="str">
        <f>T122</f>
        <v>KASMIN, S.Pd</v>
      </c>
    </row>
    <row r="170" spans="1:20" ht="12" customHeight="1" x14ac:dyDescent="0.25">
      <c r="A170" s="21">
        <v>22</v>
      </c>
      <c r="B170" s="19"/>
      <c r="C170" s="82" t="str">
        <f>DATA!H31</f>
        <v>Siti Fadilah Purmareta</v>
      </c>
      <c r="D170" s="248"/>
      <c r="E170" s="43"/>
      <c r="F170" s="43"/>
      <c r="G170" s="43"/>
      <c r="H170" s="44"/>
      <c r="I170" s="21">
        <f t="shared" si="31"/>
        <v>0</v>
      </c>
      <c r="J170" s="45">
        <f t="shared" si="27"/>
        <v>0</v>
      </c>
      <c r="K170" s="21" t="str">
        <f t="shared" si="28"/>
        <v>tdk tuntas</v>
      </c>
      <c r="L170" s="210" t="str">
        <f t="shared" si="29"/>
        <v>80</v>
      </c>
      <c r="M170" s="14" t="s">
        <v>13</v>
      </c>
      <c r="N170" s="84">
        <f>N168/N169*100</f>
        <v>0</v>
      </c>
      <c r="O170" s="79" t="s">
        <v>4</v>
      </c>
      <c r="Q170" s="68" t="str">
        <f t="shared" si="30"/>
        <v>Siti Fadilah Purmareta</v>
      </c>
      <c r="R170" s="21" t="str">
        <f t="shared" si="33"/>
        <v>82</v>
      </c>
      <c r="S170" s="14"/>
      <c r="T170" s="63" t="str">
        <f>T123</f>
        <v>NIP : 196609141990031007</v>
      </c>
    </row>
    <row r="171" spans="1:20" ht="12" customHeight="1" x14ac:dyDescent="0.25">
      <c r="A171" s="21">
        <v>23</v>
      </c>
      <c r="B171" s="19"/>
      <c r="C171" s="82" t="str">
        <f>DATA!H32</f>
        <v>Surya Ardika Pratama</v>
      </c>
      <c r="D171" s="248"/>
      <c r="E171" s="43"/>
      <c r="F171" s="43"/>
      <c r="G171" s="43"/>
      <c r="H171" s="44"/>
      <c r="I171" s="21">
        <f t="shared" si="31"/>
        <v>0</v>
      </c>
      <c r="J171" s="45">
        <f t="shared" si="27"/>
        <v>0</v>
      </c>
      <c r="K171" s="21" t="str">
        <f t="shared" si="28"/>
        <v>tdk tuntas</v>
      </c>
      <c r="L171" s="210" t="str">
        <f t="shared" si="29"/>
        <v>80</v>
      </c>
      <c r="M171" s="14"/>
      <c r="N171" s="24"/>
      <c r="O171" s="15"/>
      <c r="Q171" s="68" t="str">
        <f t="shared" si="30"/>
        <v>Surya Ardika Pratama</v>
      </c>
      <c r="R171" s="21" t="str">
        <f t="shared" si="33"/>
        <v>82</v>
      </c>
      <c r="S171" s="14"/>
      <c r="T171" s="15"/>
    </row>
    <row r="172" spans="1:20" ht="12" customHeight="1" x14ac:dyDescent="0.25">
      <c r="A172" s="21">
        <v>24</v>
      </c>
      <c r="B172" s="19"/>
      <c r="C172" s="133" t="str">
        <f>DATA!H33</f>
        <v>Syafa Nutrima Andini</v>
      </c>
      <c r="D172" s="248"/>
      <c r="E172" s="43"/>
      <c r="F172" s="43"/>
      <c r="G172" s="43"/>
      <c r="H172" s="44"/>
      <c r="I172" s="21">
        <f>SUM(D172:H172)</f>
        <v>0</v>
      </c>
      <c r="J172" s="45">
        <f>I172</f>
        <v>0</v>
      </c>
      <c r="K172" s="21" t="str">
        <f>IF(J172&lt;$N$10,"tdk tuntas","tuntas")</f>
        <v>tdk tuntas</v>
      </c>
      <c r="L172" s="210" t="str">
        <f t="shared" si="29"/>
        <v>80</v>
      </c>
      <c r="M172" s="14"/>
      <c r="N172" s="24"/>
      <c r="O172" s="15"/>
      <c r="Q172" s="68" t="str">
        <f t="shared" si="30"/>
        <v>Syafa Nutrima Andini</v>
      </c>
      <c r="R172" s="21" t="str">
        <f>IF(I172&lt;$N$10,"85","")</f>
        <v>85</v>
      </c>
      <c r="S172" s="14"/>
      <c r="T172" s="63"/>
    </row>
    <row r="173" spans="1:20" ht="12" customHeight="1" x14ac:dyDescent="0.25">
      <c r="A173" s="21">
        <v>25</v>
      </c>
      <c r="B173" s="19"/>
      <c r="C173" s="82" t="str">
        <f>DATA!H34</f>
        <v>Syifa Dwi Rahayu</v>
      </c>
      <c r="D173" s="248"/>
      <c r="E173" s="43"/>
      <c r="F173" s="43"/>
      <c r="G173" s="43"/>
      <c r="H173" s="44"/>
      <c r="I173" s="21">
        <f t="shared" si="31"/>
        <v>0</v>
      </c>
      <c r="J173" s="45">
        <f t="shared" si="27"/>
        <v>0</v>
      </c>
      <c r="K173" s="21" t="str">
        <f t="shared" si="28"/>
        <v>tdk tuntas</v>
      </c>
      <c r="L173" s="210" t="str">
        <f t="shared" si="29"/>
        <v>80</v>
      </c>
      <c r="M173" s="14" t="s">
        <v>14</v>
      </c>
      <c r="N173" s="24"/>
      <c r="O173" s="15"/>
      <c r="Q173" s="68" t="str">
        <f t="shared" si="30"/>
        <v>Syifa Dwi Rahayu</v>
      </c>
      <c r="R173" s="21" t="str">
        <f>IF(I173&lt;$N$10,"81","")</f>
        <v>81</v>
      </c>
      <c r="S173" s="14"/>
      <c r="T173" s="63" t="str">
        <f>T126</f>
        <v>Kepala Sekolah</v>
      </c>
    </row>
    <row r="174" spans="1:20" ht="12" customHeight="1" x14ac:dyDescent="0.25">
      <c r="A174" s="21">
        <v>26</v>
      </c>
      <c r="B174" s="19"/>
      <c r="C174" s="82" t="str">
        <f>DATA!H35</f>
        <v>Trendy Pambayun</v>
      </c>
      <c r="D174" s="248"/>
      <c r="E174" s="43"/>
      <c r="F174" s="43"/>
      <c r="G174" s="43"/>
      <c r="H174" s="44"/>
      <c r="I174" s="21">
        <f t="shared" si="31"/>
        <v>0</v>
      </c>
      <c r="J174" s="45">
        <f t="shared" si="27"/>
        <v>0</v>
      </c>
      <c r="K174" s="21" t="str">
        <f t="shared" si="28"/>
        <v>tdk tuntas</v>
      </c>
      <c r="L174" s="210" t="str">
        <f t="shared" si="29"/>
        <v>80</v>
      </c>
      <c r="M174" s="14" t="s">
        <v>15</v>
      </c>
      <c r="N174" s="24"/>
      <c r="O174" s="15"/>
      <c r="Q174" s="68" t="str">
        <f t="shared" si="30"/>
        <v>Trendy Pambayun</v>
      </c>
      <c r="R174" s="21" t="str">
        <f>IF(I174&lt;$N$10,"82","")</f>
        <v>82</v>
      </c>
      <c r="S174" s="14"/>
      <c r="T174" s="63"/>
    </row>
    <row r="175" spans="1:20" ht="12" customHeight="1" x14ac:dyDescent="0.3">
      <c r="A175" s="21">
        <v>27</v>
      </c>
      <c r="B175" s="19"/>
      <c r="C175" s="82" t="str">
        <f>DATA!H36</f>
        <v>Victar Alfiano</v>
      </c>
      <c r="D175" s="248"/>
      <c r="E175" s="43"/>
      <c r="F175" s="43"/>
      <c r="G175" s="43"/>
      <c r="H175" s="44"/>
      <c r="I175" s="21">
        <f t="shared" si="31"/>
        <v>0</v>
      </c>
      <c r="J175" s="45">
        <f t="shared" si="27"/>
        <v>0</v>
      </c>
      <c r="K175" s="21" t="str">
        <f t="shared" si="28"/>
        <v>tdk tuntas</v>
      </c>
      <c r="L175" s="210" t="str">
        <f t="shared" si="29"/>
        <v>80</v>
      </c>
      <c r="M175" s="155" t="s">
        <v>80</v>
      </c>
      <c r="N175" s="24"/>
      <c r="O175" s="15"/>
      <c r="Q175" s="68" t="str">
        <f t="shared" si="30"/>
        <v>Victar Alfiano</v>
      </c>
      <c r="R175" s="21" t="str">
        <f>IF(I175&lt;$N$10,"82","")</f>
        <v>82</v>
      </c>
      <c r="S175" s="14"/>
      <c r="T175" s="63"/>
    </row>
    <row r="176" spans="1:20" ht="12" customHeight="1" x14ac:dyDescent="0.25">
      <c r="A176" s="21">
        <v>28</v>
      </c>
      <c r="B176" s="19"/>
      <c r="C176" s="82" t="str">
        <f>DATA!H37</f>
        <v>Vika Adhania</v>
      </c>
      <c r="D176" s="134"/>
      <c r="E176" s="43"/>
      <c r="F176" s="43"/>
      <c r="G176" s="43"/>
      <c r="H176" s="44"/>
      <c r="I176" s="21">
        <f t="shared" si="31"/>
        <v>0</v>
      </c>
      <c r="J176" s="45">
        <f t="shared" si="27"/>
        <v>0</v>
      </c>
      <c r="K176" s="21" t="str">
        <f t="shared" si="28"/>
        <v>tdk tuntas</v>
      </c>
      <c r="L176" s="210" t="str">
        <f t="shared" si="29"/>
        <v>80</v>
      </c>
      <c r="M176" s="14"/>
      <c r="N176" s="24"/>
      <c r="O176" s="15"/>
      <c r="Q176" s="68" t="str">
        <f t="shared" si="30"/>
        <v>Vika Adhania</v>
      </c>
      <c r="R176" s="21" t="str">
        <f>IF(I176&lt;$N$10,"81","")</f>
        <v>81</v>
      </c>
      <c r="S176" s="14"/>
      <c r="T176" s="63"/>
    </row>
    <row r="177" spans="1:20" ht="12" customHeight="1" x14ac:dyDescent="0.25">
      <c r="A177" s="21">
        <v>29</v>
      </c>
      <c r="B177" s="19"/>
      <c r="C177" s="82" t="str">
        <f>DATA!H38</f>
        <v>Yogi Restu Bintang Pamungkas</v>
      </c>
      <c r="D177" s="134"/>
      <c r="E177" s="43"/>
      <c r="F177" s="43"/>
      <c r="G177" s="43"/>
      <c r="H177" s="44"/>
      <c r="I177" s="21">
        <f t="shared" si="31"/>
        <v>0</v>
      </c>
      <c r="J177" s="45">
        <f t="shared" si="27"/>
        <v>0</v>
      </c>
      <c r="K177" s="21" t="str">
        <f t="shared" si="28"/>
        <v>tdk tuntas</v>
      </c>
      <c r="L177" s="210" t="str">
        <f t="shared" si="29"/>
        <v>80</v>
      </c>
      <c r="M177" s="14"/>
      <c r="N177" s="24"/>
      <c r="O177" s="15"/>
      <c r="Q177" s="68" t="str">
        <f t="shared" si="30"/>
        <v>Yogi Restu Bintang Pamungkas</v>
      </c>
      <c r="R177" s="21" t="str">
        <f>IF(I177&lt;$N$10,"85","")</f>
        <v>85</v>
      </c>
      <c r="S177" s="14"/>
      <c r="T177" s="63"/>
    </row>
    <row r="178" spans="1:20" ht="12" customHeight="1" x14ac:dyDescent="0.25">
      <c r="A178" s="21">
        <v>30</v>
      </c>
      <c r="B178" s="19"/>
      <c r="C178" s="82" t="str">
        <f>DATA!H39</f>
        <v>Zahfa Zilvilya Putri</v>
      </c>
      <c r="D178" s="248"/>
      <c r="E178" s="43"/>
      <c r="F178" s="43"/>
      <c r="G178" s="43"/>
      <c r="H178" s="44"/>
      <c r="I178" s="21">
        <f t="shared" si="31"/>
        <v>0</v>
      </c>
      <c r="J178" s="45">
        <f t="shared" si="27"/>
        <v>0</v>
      </c>
      <c r="K178" s="21" t="str">
        <f t="shared" si="28"/>
        <v>tdk tuntas</v>
      </c>
      <c r="L178" s="210" t="str">
        <f t="shared" si="29"/>
        <v>80</v>
      </c>
      <c r="M178" s="14"/>
      <c r="N178" s="24"/>
      <c r="O178" s="15"/>
      <c r="Q178" s="68" t="str">
        <f t="shared" si="30"/>
        <v>Zahfa Zilvilya Putri</v>
      </c>
      <c r="R178" s="21" t="str">
        <f>IF(I178&lt;$N$10,"84","")</f>
        <v>84</v>
      </c>
      <c r="S178" s="14"/>
      <c r="T178" s="63" t="str">
        <f>T131</f>
        <v>Dra. BAROKAH GUNIARTI</v>
      </c>
    </row>
    <row r="179" spans="1:20" ht="12" customHeight="1" x14ac:dyDescent="0.25">
      <c r="A179" s="21">
        <v>31</v>
      </c>
      <c r="B179" s="19"/>
      <c r="C179" s="82" t="str">
        <f>DATA!H40</f>
        <v>Zaidan Rafa Prawidi</v>
      </c>
      <c r="D179" s="134"/>
      <c r="E179" s="43"/>
      <c r="F179" s="43"/>
      <c r="G179" s="43"/>
      <c r="H179" s="44"/>
      <c r="I179" s="21">
        <f>SUM(D179:H179)</f>
        <v>0</v>
      </c>
      <c r="J179" s="45">
        <f>I179</f>
        <v>0</v>
      </c>
      <c r="K179" s="21" t="str">
        <f>IF(J179&lt;$N$10,"tdk tuntas","tuntas")</f>
        <v>tdk tuntas</v>
      </c>
      <c r="L179" s="210" t="str">
        <f t="shared" si="29"/>
        <v>80</v>
      </c>
      <c r="M179" s="14" t="s">
        <v>56</v>
      </c>
      <c r="N179" s="24"/>
      <c r="O179" s="15"/>
      <c r="Q179" s="68" t="str">
        <f t="shared" si="30"/>
        <v>Zaidan Rafa Prawidi</v>
      </c>
      <c r="R179" s="21" t="str">
        <f>IF(I179&lt;$N$10,"84","")</f>
        <v>84</v>
      </c>
      <c r="S179" s="14"/>
      <c r="T179" s="63" t="str">
        <f>T132</f>
        <v>NIP : 196901081996122004</v>
      </c>
    </row>
    <row r="180" spans="1:20" ht="12" customHeight="1" x14ac:dyDescent="0.25">
      <c r="A180" s="21">
        <v>32</v>
      </c>
      <c r="B180" s="19"/>
      <c r="C180" s="82"/>
      <c r="D180" s="248"/>
      <c r="E180" s="43"/>
      <c r="F180" s="43"/>
      <c r="G180" s="43"/>
      <c r="H180" s="44"/>
      <c r="I180" s="21"/>
      <c r="J180" s="45"/>
      <c r="K180" s="21"/>
      <c r="L180" s="210"/>
      <c r="M180" s="14"/>
      <c r="N180" s="24"/>
      <c r="O180" s="15"/>
      <c r="Q180" s="68"/>
      <c r="R180" s="21"/>
      <c r="S180" s="14"/>
      <c r="T180" s="15"/>
    </row>
    <row r="181" spans="1:20" ht="12" customHeight="1" x14ac:dyDescent="0.25">
      <c r="A181" s="21">
        <v>33</v>
      </c>
      <c r="B181" s="19"/>
      <c r="C181" s="82"/>
      <c r="D181" s="42" t="s">
        <v>63</v>
      </c>
      <c r="E181" s="43"/>
      <c r="F181" s="43"/>
      <c r="G181" s="43"/>
      <c r="H181" s="44"/>
      <c r="I181" s="21"/>
      <c r="J181" s="45"/>
      <c r="K181" s="21"/>
      <c r="L181" s="135"/>
      <c r="M181" s="14" t="s">
        <v>16</v>
      </c>
      <c r="N181" s="24"/>
      <c r="O181" s="15"/>
      <c r="Q181" s="68"/>
      <c r="R181" s="21"/>
      <c r="S181" s="14"/>
      <c r="T181" s="15"/>
    </row>
    <row r="182" spans="1:20" ht="12" customHeight="1" x14ac:dyDescent="0.25">
      <c r="A182" s="21">
        <v>34</v>
      </c>
      <c r="B182" s="19"/>
      <c r="C182" s="82"/>
      <c r="D182" s="42"/>
      <c r="E182" s="43"/>
      <c r="F182" s="43"/>
      <c r="G182" s="43"/>
      <c r="H182" s="44"/>
      <c r="I182" s="21"/>
      <c r="J182" s="45"/>
      <c r="K182" s="21"/>
      <c r="L182" s="135"/>
      <c r="M182" s="14" t="s">
        <v>59</v>
      </c>
      <c r="N182" s="24"/>
      <c r="O182" s="15"/>
      <c r="Q182" s="68"/>
      <c r="R182" s="21"/>
      <c r="S182" s="14"/>
      <c r="T182" s="15"/>
    </row>
    <row r="183" spans="1:20" ht="12" customHeight="1" x14ac:dyDescent="0.25">
      <c r="A183" s="21">
        <v>35</v>
      </c>
      <c r="B183" s="22"/>
      <c r="C183" s="162"/>
      <c r="D183" s="136" t="s">
        <v>63</v>
      </c>
      <c r="E183" s="137"/>
      <c r="F183" s="137"/>
      <c r="G183" s="137"/>
      <c r="H183" s="138"/>
      <c r="I183" s="140"/>
      <c r="J183" s="45"/>
      <c r="K183" s="21"/>
      <c r="L183" s="139"/>
      <c r="M183" s="14" t="s">
        <v>23</v>
      </c>
      <c r="N183" s="24"/>
      <c r="O183" s="15"/>
      <c r="Q183" s="68"/>
      <c r="R183" s="21"/>
      <c r="S183" s="16"/>
      <c r="T183" s="17"/>
    </row>
    <row r="184" spans="1:20" ht="12" customHeight="1" x14ac:dyDescent="0.25">
      <c r="A184" s="101" t="s">
        <v>64</v>
      </c>
      <c r="B184" s="96"/>
      <c r="C184" s="97"/>
      <c r="D184" s="204"/>
      <c r="E184" s="205"/>
      <c r="F184" s="205"/>
      <c r="G184" s="205"/>
      <c r="H184" s="206"/>
      <c r="I184" s="207">
        <f>AVERAGE(I149:I183)</f>
        <v>0</v>
      </c>
      <c r="J184" s="208"/>
      <c r="K184" s="47"/>
      <c r="L184" s="65"/>
      <c r="M184" s="14"/>
      <c r="N184" s="24"/>
      <c r="O184" s="15"/>
      <c r="Q184" s="60"/>
      <c r="R184" s="471" t="str">
        <f>C145</f>
        <v>9D</v>
      </c>
      <c r="S184" s="471"/>
      <c r="T184" s="61"/>
    </row>
    <row r="185" spans="1:20" ht="12" customHeight="1" x14ac:dyDescent="0.25">
      <c r="A185" s="14" t="s">
        <v>17</v>
      </c>
      <c r="B185" s="24"/>
      <c r="C185" s="15"/>
      <c r="D185" s="197">
        <f>SUM(D149:D183)</f>
        <v>0</v>
      </c>
      <c r="E185" s="198">
        <f>SUM(E149:E183)</f>
        <v>0</v>
      </c>
      <c r="F185" s="198">
        <f>SUM(F149:F183)</f>
        <v>0</v>
      </c>
      <c r="G185" s="198">
        <f>SUM(G149:G183)</f>
        <v>0</v>
      </c>
      <c r="H185" s="199">
        <f>SUM(H149:H183)</f>
        <v>0</v>
      </c>
      <c r="I185" s="200">
        <f>SUM(D185:H185)</f>
        <v>0</v>
      </c>
      <c r="J185" s="201" t="s">
        <v>49</v>
      </c>
      <c r="K185" s="48">
        <f>COUNTIF(K149:K183,J185)</f>
        <v>0</v>
      </c>
      <c r="L185" s="64"/>
      <c r="M185" s="14"/>
      <c r="N185" s="24"/>
      <c r="O185" s="15"/>
      <c r="Q185" s="30"/>
      <c r="R185" s="472"/>
      <c r="S185" s="472"/>
      <c r="T185" s="31"/>
    </row>
    <row r="186" spans="1:20" ht="12" customHeight="1" x14ac:dyDescent="0.25">
      <c r="A186" s="14" t="s">
        <v>18</v>
      </c>
      <c r="B186" s="24"/>
      <c r="C186" s="15"/>
      <c r="D186" s="197">
        <f>D147*K187</f>
        <v>620</v>
      </c>
      <c r="E186" s="197">
        <f>E147*K187</f>
        <v>620</v>
      </c>
      <c r="F186" s="197">
        <f>F147*K187</f>
        <v>620</v>
      </c>
      <c r="G186" s="197">
        <f>G147*K187</f>
        <v>620</v>
      </c>
      <c r="H186" s="197">
        <f>H147*K187</f>
        <v>620</v>
      </c>
      <c r="I186" s="200">
        <f>SUM(D186:H186)</f>
        <v>3100</v>
      </c>
      <c r="J186" s="201" t="s">
        <v>50</v>
      </c>
      <c r="K186" s="48">
        <f>COUNTIF(K149:K183,J186)</f>
        <v>31</v>
      </c>
      <c r="L186" s="64"/>
      <c r="M186" s="14"/>
      <c r="N186" s="24"/>
      <c r="O186" s="15"/>
      <c r="Q186" s="30"/>
      <c r="R186" s="472"/>
      <c r="S186" s="472"/>
      <c r="T186" s="31"/>
    </row>
    <row r="187" spans="1:20" ht="12" customHeight="1" x14ac:dyDescent="0.25">
      <c r="A187" s="26" t="s">
        <v>19</v>
      </c>
      <c r="B187" s="27"/>
      <c r="C187" s="28"/>
      <c r="D187" s="202">
        <f t="shared" ref="D187:I187" si="34">D185/D186*100</f>
        <v>0</v>
      </c>
      <c r="E187" s="202">
        <f t="shared" si="34"/>
        <v>0</v>
      </c>
      <c r="F187" s="202">
        <f t="shared" si="34"/>
        <v>0</v>
      </c>
      <c r="G187" s="202">
        <f t="shared" si="34"/>
        <v>0</v>
      </c>
      <c r="H187" s="202">
        <f t="shared" si="34"/>
        <v>0</v>
      </c>
      <c r="I187" s="202">
        <f t="shared" si="34"/>
        <v>0</v>
      </c>
      <c r="J187" s="203" t="s">
        <v>57</v>
      </c>
      <c r="K187" s="49">
        <f>SUM(K185:K186)</f>
        <v>31</v>
      </c>
      <c r="L187" s="66"/>
      <c r="M187" s="16"/>
      <c r="N187" s="25"/>
      <c r="O187" s="17"/>
      <c r="Q187" s="8"/>
      <c r="R187" s="473"/>
      <c r="S187" s="473"/>
      <c r="T187" s="9"/>
    </row>
    <row r="188" spans="1:20" ht="12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20" ht="12" customHeight="1" x14ac:dyDescent="0.25">
      <c r="A189" s="453" t="str">
        <f>'UH1'!A189</f>
        <v>ANALISA HASIL PH MATEMATIKA KLS IX  SMT GENAP</v>
      </c>
      <c r="B189" s="454"/>
      <c r="C189" s="454"/>
      <c r="D189" s="454"/>
      <c r="E189" s="454"/>
      <c r="F189" s="454"/>
      <c r="G189" s="454"/>
      <c r="H189" s="454"/>
      <c r="I189" s="454"/>
      <c r="J189" s="454"/>
      <c r="K189" s="454"/>
      <c r="L189" s="454"/>
      <c r="M189" s="454"/>
      <c r="N189" s="454"/>
      <c r="O189" s="455"/>
      <c r="Q189" s="456" t="s">
        <v>40</v>
      </c>
      <c r="R189" s="457"/>
      <c r="S189" s="457"/>
      <c r="T189" s="458"/>
    </row>
    <row r="190" spans="1:20" ht="12" customHeight="1" x14ac:dyDescent="0.25">
      <c r="A190" s="453" t="str">
        <f>A143</f>
        <v>SMP I LIMBANGAN  TH 2025/2026</v>
      </c>
      <c r="B190" s="454"/>
      <c r="C190" s="454"/>
      <c r="D190" s="454"/>
      <c r="E190" s="454"/>
      <c r="F190" s="454"/>
      <c r="G190" s="454"/>
      <c r="H190" s="454"/>
      <c r="I190" s="454"/>
      <c r="J190" s="454"/>
      <c r="K190" s="454"/>
      <c r="L190" s="454"/>
      <c r="M190" s="454"/>
      <c r="N190" s="454"/>
      <c r="O190" s="455"/>
      <c r="Q190" s="453" t="s">
        <v>61</v>
      </c>
      <c r="R190" s="454"/>
      <c r="S190" s="454"/>
      <c r="T190" s="455"/>
    </row>
    <row r="191" spans="1:20" ht="12" customHeight="1" x14ac:dyDescent="0.25"/>
    <row r="192" spans="1:20" ht="12" customHeight="1" x14ac:dyDescent="0.25">
      <c r="A192" s="99" t="s">
        <v>65</v>
      </c>
      <c r="C192" s="102" t="str">
        <f>DATA!J8</f>
        <v>9E</v>
      </c>
      <c r="D192" t="s">
        <v>21</v>
      </c>
      <c r="F192" s="87">
        <f>F4</f>
        <v>3</v>
      </c>
      <c r="I192" t="s">
        <v>20</v>
      </c>
      <c r="K192" s="72">
        <v>45968</v>
      </c>
      <c r="M192" s="1" t="s">
        <v>60</v>
      </c>
      <c r="N192" s="87">
        <f>N4</f>
        <v>3</v>
      </c>
      <c r="Q192" t="s">
        <v>28</v>
      </c>
      <c r="R192" s="470">
        <f>K192+7</f>
        <v>45975</v>
      </c>
      <c r="S192" s="470"/>
    </row>
    <row r="193" spans="1:20" ht="12" customHeight="1" x14ac:dyDescent="0.25">
      <c r="A193" s="2"/>
      <c r="B193" s="2"/>
      <c r="C193" s="3" t="s">
        <v>7</v>
      </c>
      <c r="D193" s="32">
        <v>1</v>
      </c>
      <c r="E193" s="33">
        <v>2</v>
      </c>
      <c r="F193" s="33">
        <v>3</v>
      </c>
      <c r="G193" s="33">
        <v>4</v>
      </c>
      <c r="H193" s="34">
        <v>5</v>
      </c>
      <c r="I193" s="35" t="s">
        <v>3</v>
      </c>
      <c r="J193" s="4" t="s">
        <v>4</v>
      </c>
      <c r="K193" s="53" t="s">
        <v>83</v>
      </c>
      <c r="L193" s="35" t="s">
        <v>43</v>
      </c>
      <c r="M193" s="459" t="s">
        <v>9</v>
      </c>
      <c r="N193" s="460"/>
      <c r="O193" s="461"/>
      <c r="Q193" s="2"/>
      <c r="R193" s="35" t="s">
        <v>24</v>
      </c>
      <c r="S193" s="60"/>
      <c r="T193" s="61"/>
    </row>
    <row r="194" spans="1:20" ht="12" customHeight="1" x14ac:dyDescent="0.25">
      <c r="A194" s="6" t="s">
        <v>0</v>
      </c>
      <c r="B194" s="6" t="s">
        <v>1</v>
      </c>
      <c r="C194" s="5" t="s">
        <v>8</v>
      </c>
      <c r="D194" s="55">
        <f>D147</f>
        <v>20</v>
      </c>
      <c r="E194" s="56">
        <f>E147</f>
        <v>20</v>
      </c>
      <c r="F194" s="56">
        <f>F147</f>
        <v>20</v>
      </c>
      <c r="G194" s="56">
        <f>G147</f>
        <v>20</v>
      </c>
      <c r="H194" s="105">
        <f>H147</f>
        <v>20</v>
      </c>
      <c r="I194" s="21">
        <f>SUM(D194:H194)</f>
        <v>100</v>
      </c>
      <c r="J194" s="6" t="s">
        <v>5</v>
      </c>
      <c r="K194" s="52" t="s">
        <v>22</v>
      </c>
      <c r="L194" s="11" t="s">
        <v>44</v>
      </c>
      <c r="M194" s="462"/>
      <c r="N194" s="463"/>
      <c r="O194" s="464"/>
      <c r="Q194" s="6" t="s">
        <v>2</v>
      </c>
      <c r="R194" s="11" t="s">
        <v>25</v>
      </c>
      <c r="S194" s="468" t="s">
        <v>27</v>
      </c>
      <c r="T194" s="469"/>
    </row>
    <row r="195" spans="1:20" ht="12" customHeight="1" x14ac:dyDescent="0.25">
      <c r="A195" s="6"/>
      <c r="B195" s="6"/>
      <c r="C195" s="51" t="s">
        <v>2</v>
      </c>
      <c r="D195" s="36"/>
      <c r="E195" s="37"/>
      <c r="F195" s="37"/>
      <c r="G195" s="37"/>
      <c r="H195" s="38"/>
      <c r="I195" s="11"/>
      <c r="J195" s="6" t="s">
        <v>6</v>
      </c>
      <c r="K195" s="54"/>
      <c r="L195" s="59" t="s">
        <v>45</v>
      </c>
      <c r="M195" s="465"/>
      <c r="N195" s="466"/>
      <c r="O195" s="467"/>
      <c r="Q195" s="7"/>
      <c r="R195" s="59" t="s">
        <v>26</v>
      </c>
      <c r="S195" s="8"/>
      <c r="T195" s="9"/>
    </row>
    <row r="196" spans="1:20" ht="12" customHeight="1" x14ac:dyDescent="0.25">
      <c r="A196" s="20">
        <v>1</v>
      </c>
      <c r="B196" s="18"/>
      <c r="C196" s="81" t="str">
        <f>DATA!J10</f>
        <v>Adyatma Danendra Abimanyu</v>
      </c>
      <c r="D196" s="131"/>
      <c r="E196" s="40"/>
      <c r="F196" s="40"/>
      <c r="G196" s="40"/>
      <c r="H196" s="41"/>
      <c r="I196" s="20">
        <f>SUM(D196:H196)</f>
        <v>0</v>
      </c>
      <c r="J196" s="46">
        <f>I196</f>
        <v>0</v>
      </c>
      <c r="K196" s="21" t="str">
        <f>IF(J196&lt;$N$10,"tdk tuntas","tuntas")</f>
        <v>tdk tuntas</v>
      </c>
      <c r="L196" s="209" t="str">
        <f>IF(J196&lt;=39.9,"80",IF(J196&lt;=59.9,"81",IF(J196&lt;=69.9,"82",IF(J196&lt;=74.9,"83",IF(J196&lt;=78.9,"84",IF(J196&lt;=78.9,"85",IF(J196&gt;=78.9,J196," ")))))))</f>
        <v>80</v>
      </c>
      <c r="M196" s="12"/>
      <c r="N196" s="23"/>
      <c r="O196" s="13"/>
      <c r="Q196" s="67" t="str">
        <f>C196</f>
        <v>Adyatma Danendra Abimanyu</v>
      </c>
      <c r="R196" s="21" t="str">
        <f>IF(I196&lt;$N$10,"80","")</f>
        <v>80</v>
      </c>
      <c r="S196" s="12"/>
      <c r="T196" s="13"/>
    </row>
    <row r="197" spans="1:20" ht="12" customHeight="1" x14ac:dyDescent="0.25">
      <c r="A197" s="21">
        <v>2</v>
      </c>
      <c r="B197" s="19"/>
      <c r="C197" s="82" t="str">
        <f>DATA!J11</f>
        <v>Ainaya Aprillia Azzahra</v>
      </c>
      <c r="D197" s="248"/>
      <c r="E197" s="43"/>
      <c r="F197" s="43"/>
      <c r="G197" s="43"/>
      <c r="H197" s="44"/>
      <c r="I197" s="21">
        <f>SUM(D197:H197)</f>
        <v>0</v>
      </c>
      <c r="J197" s="45">
        <f t="shared" ref="J197:J225" si="35">I197</f>
        <v>0</v>
      </c>
      <c r="K197" s="21" t="str">
        <f t="shared" ref="K197:K225" si="36">IF(J197&lt;$N$10,"tdk tuntas","tuntas")</f>
        <v>tdk tuntas</v>
      </c>
      <c r="L197" s="210" t="str">
        <f t="shared" ref="L197:L225" si="37">IF(J197&lt;=39.9,"80",IF(J197&lt;=59.9,"81",IF(J197&lt;=69.9,"82",IF(J197&lt;=74.9,"83",IF(J197&lt;=78.9,"84",IF(J197&lt;=78.9,"85",IF(J197&gt;=78.9,J197," ")))))))</f>
        <v>80</v>
      </c>
      <c r="M197" s="14"/>
      <c r="N197" s="24"/>
      <c r="O197" s="15"/>
      <c r="Q197" s="68" t="str">
        <f t="shared" ref="Q197:Q225" si="38">C197</f>
        <v>Ainaya Aprillia Azzahra</v>
      </c>
      <c r="R197" s="21" t="str">
        <f>IF(I197&lt;$N$10,"81","")</f>
        <v>81</v>
      </c>
      <c r="S197" s="14" t="s">
        <v>29</v>
      </c>
      <c r="T197" s="15"/>
    </row>
    <row r="198" spans="1:20" ht="12" customHeight="1" thickBot="1" x14ac:dyDescent="0.35">
      <c r="A198" s="21">
        <v>3</v>
      </c>
      <c r="B198" s="19"/>
      <c r="C198" s="82" t="str">
        <f>DATA!J12</f>
        <v>Alvicko Aprellio Jordan</v>
      </c>
      <c r="D198" s="248"/>
      <c r="E198" s="43"/>
      <c r="F198" s="43"/>
      <c r="G198" s="43"/>
      <c r="H198" s="44"/>
      <c r="I198" s="21">
        <f t="shared" ref="I198:I224" si="39">SUM(D198:H198)</f>
        <v>0</v>
      </c>
      <c r="J198" s="45">
        <f t="shared" si="35"/>
        <v>0</v>
      </c>
      <c r="K198" s="21" t="str">
        <f t="shared" si="36"/>
        <v>tdk tuntas</v>
      </c>
      <c r="L198" s="210" t="str">
        <f t="shared" si="37"/>
        <v>80</v>
      </c>
      <c r="M198" s="70" t="s">
        <v>62</v>
      </c>
      <c r="N198" s="76">
        <f>N10</f>
        <v>80</v>
      </c>
      <c r="O198" s="15"/>
      <c r="Q198" s="68" t="str">
        <f t="shared" si="38"/>
        <v>Alvicko Aprellio Jordan</v>
      </c>
      <c r="R198" s="21" t="str">
        <f>IF(I198&lt;$N$10,"81","")</f>
        <v>81</v>
      </c>
      <c r="S198" s="26"/>
      <c r="T198" s="15"/>
    </row>
    <row r="199" spans="1:20" ht="12" customHeight="1" thickTop="1" thickBot="1" x14ac:dyDescent="0.3">
      <c r="A199" s="21">
        <v>4</v>
      </c>
      <c r="B199" s="19"/>
      <c r="C199" s="82" t="str">
        <f>DATA!J13</f>
        <v>Anastain</v>
      </c>
      <c r="D199" s="248"/>
      <c r="E199" s="43"/>
      <c r="F199" s="43"/>
      <c r="G199" s="43"/>
      <c r="H199" s="44"/>
      <c r="I199" s="21">
        <f t="shared" si="39"/>
        <v>0</v>
      </c>
      <c r="J199" s="45">
        <f>I199</f>
        <v>0</v>
      </c>
      <c r="K199" s="21" t="str">
        <f t="shared" si="36"/>
        <v>tdk tuntas</v>
      </c>
      <c r="L199" s="210" t="str">
        <f t="shared" si="37"/>
        <v>80</v>
      </c>
      <c r="M199" s="14"/>
      <c r="N199" s="24"/>
      <c r="O199" s="15"/>
      <c r="Q199" s="68" t="str">
        <f t="shared" si="38"/>
        <v>Anastain</v>
      </c>
      <c r="R199" s="21" t="str">
        <f>IF(I199&lt;$N$10,"84","")</f>
        <v>84</v>
      </c>
      <c r="S199" s="62"/>
      <c r="T199" s="15" t="s">
        <v>35</v>
      </c>
    </row>
    <row r="200" spans="1:20" ht="12" customHeight="1" thickTop="1" thickBot="1" x14ac:dyDescent="0.3">
      <c r="A200" s="21">
        <v>5</v>
      </c>
      <c r="B200" s="19"/>
      <c r="C200" s="82" t="str">
        <f>DATA!J14</f>
        <v>Angginia Regina Putri</v>
      </c>
      <c r="D200" s="248"/>
      <c r="E200" s="43"/>
      <c r="F200" s="43"/>
      <c r="G200" s="43"/>
      <c r="H200" s="44"/>
      <c r="I200" s="21">
        <f t="shared" si="39"/>
        <v>0</v>
      </c>
      <c r="J200" s="45">
        <f t="shared" si="35"/>
        <v>0</v>
      </c>
      <c r="K200" s="21" t="str">
        <f t="shared" si="36"/>
        <v>tdk tuntas</v>
      </c>
      <c r="L200" s="210" t="str">
        <f t="shared" si="37"/>
        <v>80</v>
      </c>
      <c r="M200" s="14"/>
      <c r="N200" s="24"/>
      <c r="O200" s="15"/>
      <c r="Q200" s="68" t="str">
        <f t="shared" si="38"/>
        <v>Angginia Regina Putri</v>
      </c>
      <c r="R200" s="21" t="str">
        <f>IF(I200&lt;$N$10,"87","")</f>
        <v>87</v>
      </c>
      <c r="S200" s="158"/>
      <c r="T200" s="15" t="s">
        <v>38</v>
      </c>
    </row>
    <row r="201" spans="1:20" ht="12" customHeight="1" thickTop="1" thickBot="1" x14ac:dyDescent="0.3">
      <c r="A201" s="21">
        <v>6</v>
      </c>
      <c r="B201" s="19"/>
      <c r="C201" s="82" t="str">
        <f>DATA!J15</f>
        <v>Arfan Faqih Al Hikam</v>
      </c>
      <c r="D201" s="134"/>
      <c r="E201" s="43"/>
      <c r="F201" s="43"/>
      <c r="G201" s="43"/>
      <c r="H201" s="44"/>
      <c r="I201" s="21">
        <f t="shared" si="39"/>
        <v>0</v>
      </c>
      <c r="J201" s="45">
        <f t="shared" si="35"/>
        <v>0</v>
      </c>
      <c r="K201" s="21" t="str">
        <f t="shared" si="36"/>
        <v>tdk tuntas</v>
      </c>
      <c r="L201" s="210" t="str">
        <f t="shared" si="37"/>
        <v>80</v>
      </c>
      <c r="M201" s="14" t="s">
        <v>10</v>
      </c>
      <c r="N201" s="24"/>
      <c r="O201" s="15"/>
      <c r="Q201" s="68" t="str">
        <f t="shared" si="38"/>
        <v>Arfan Faqih Al Hikam</v>
      </c>
      <c r="R201" s="21" t="str">
        <f>IF(I201&lt;$N$10,"82","")</f>
        <v>82</v>
      </c>
      <c r="S201" s="155"/>
      <c r="T201" s="15" t="s">
        <v>39</v>
      </c>
    </row>
    <row r="202" spans="1:20" ht="12" customHeight="1" thickTop="1" thickBot="1" x14ac:dyDescent="0.35">
      <c r="A202" s="21">
        <v>7</v>
      </c>
      <c r="B202" s="19"/>
      <c r="C202" s="133" t="str">
        <f>DATA!J16</f>
        <v>Bilqis Aura Dayinta</v>
      </c>
      <c r="D202" s="248"/>
      <c r="E202" s="43"/>
      <c r="F202" s="43"/>
      <c r="G202" s="43"/>
      <c r="H202" s="44"/>
      <c r="I202" s="21">
        <f>SUM(D202:H202)</f>
        <v>0</v>
      </c>
      <c r="J202" s="45">
        <f>I202</f>
        <v>0</v>
      </c>
      <c r="K202" s="21" t="str">
        <f>IF(J202&lt;$N$10,"tdk tuntas","tuntas")</f>
        <v>tdk tuntas</v>
      </c>
      <c r="L202" s="210" t="str">
        <f t="shared" si="37"/>
        <v>80</v>
      </c>
      <c r="M202" s="14"/>
      <c r="N202" s="24"/>
      <c r="O202" s="15"/>
      <c r="Q202" s="68"/>
      <c r="R202" s="21" t="str">
        <f>IF(I202&lt;$N$10,"80","")</f>
        <v>80</v>
      </c>
      <c r="S202" s="71" t="s">
        <v>81</v>
      </c>
      <c r="T202" s="119" t="s">
        <v>36</v>
      </c>
    </row>
    <row r="203" spans="1:20" ht="12" customHeight="1" thickTop="1" x14ac:dyDescent="0.25">
      <c r="A203" s="21">
        <v>8</v>
      </c>
      <c r="B203" s="19"/>
      <c r="C203" s="82" t="str">
        <f>DATA!J17</f>
        <v>Chayril Arya Saputra</v>
      </c>
      <c r="D203" s="134"/>
      <c r="E203" s="43"/>
      <c r="F203" s="43"/>
      <c r="G203" s="43"/>
      <c r="H203" s="44"/>
      <c r="I203" s="21">
        <f t="shared" si="39"/>
        <v>0</v>
      </c>
      <c r="J203" s="45">
        <f t="shared" si="35"/>
        <v>0</v>
      </c>
      <c r="K203" s="21" t="str">
        <f t="shared" si="36"/>
        <v>tdk tuntas</v>
      </c>
      <c r="L203" s="210" t="str">
        <f t="shared" si="37"/>
        <v>80</v>
      </c>
      <c r="M203" s="77" t="s">
        <v>51</v>
      </c>
      <c r="N203" s="24"/>
      <c r="O203" s="15"/>
      <c r="Q203" s="68" t="str">
        <f t="shared" si="38"/>
        <v>Chayril Arya Saputra</v>
      </c>
      <c r="R203" s="21" t="str">
        <f>IF(I203&lt;$N$10,"84","")</f>
        <v>84</v>
      </c>
      <c r="S203" s="155"/>
      <c r="T203" s="119" t="s">
        <v>37</v>
      </c>
    </row>
    <row r="204" spans="1:20" ht="12" customHeight="1" x14ac:dyDescent="0.25">
      <c r="A204" s="21">
        <v>9</v>
      </c>
      <c r="B204" s="19"/>
      <c r="C204" s="82" t="str">
        <f>DATA!J18</f>
        <v>Dinda Cahya Kirana</v>
      </c>
      <c r="D204" s="134"/>
      <c r="E204" s="43"/>
      <c r="F204" s="43"/>
      <c r="G204" s="43"/>
      <c r="H204" s="44"/>
      <c r="I204" s="21">
        <f t="shared" si="39"/>
        <v>0</v>
      </c>
      <c r="J204" s="45">
        <f t="shared" si="35"/>
        <v>0</v>
      </c>
      <c r="K204" s="21" t="str">
        <f t="shared" si="36"/>
        <v>tdk tuntas</v>
      </c>
      <c r="L204" s="210" t="str">
        <f t="shared" si="37"/>
        <v>80</v>
      </c>
      <c r="N204" s="24"/>
      <c r="O204" s="15"/>
      <c r="Q204" s="68" t="str">
        <f t="shared" si="38"/>
        <v>Dinda Cahya Kirana</v>
      </c>
      <c r="R204" s="21" t="str">
        <f>IF(I204&lt;$N$10,"88","")</f>
        <v>88</v>
      </c>
      <c r="S204" s="14"/>
      <c r="T204" s="15"/>
    </row>
    <row r="205" spans="1:20" ht="12" customHeight="1" x14ac:dyDescent="0.25">
      <c r="A205" s="21">
        <v>10</v>
      </c>
      <c r="B205" s="19"/>
      <c r="C205" s="82" t="str">
        <f>DATA!J19</f>
        <v>Farhan Safiy Devangga</v>
      </c>
      <c r="D205" s="248"/>
      <c r="E205" s="43"/>
      <c r="F205" s="43"/>
      <c r="G205" s="43"/>
      <c r="H205" s="44"/>
      <c r="I205" s="21">
        <f t="shared" si="39"/>
        <v>0</v>
      </c>
      <c r="J205" s="45">
        <f t="shared" si="35"/>
        <v>0</v>
      </c>
      <c r="K205" s="21" t="str">
        <f t="shared" si="36"/>
        <v>tdk tuntas</v>
      </c>
      <c r="L205" s="210" t="str">
        <f t="shared" si="37"/>
        <v>80</v>
      </c>
      <c r="M205" s="14"/>
      <c r="N205" s="24"/>
      <c r="O205" s="15"/>
      <c r="Q205" s="68" t="str">
        <f t="shared" si="38"/>
        <v>Farhan Safiy Devangga</v>
      </c>
      <c r="R205" s="21" t="str">
        <f t="shared" ref="R205:R210" si="40">IF(I205&lt;$N$10,"85","")</f>
        <v>85</v>
      </c>
      <c r="S205" s="14" t="s">
        <v>30</v>
      </c>
      <c r="T205" s="15"/>
    </row>
    <row r="206" spans="1:20" ht="12" customHeight="1" thickBot="1" x14ac:dyDescent="0.3">
      <c r="A206" s="21">
        <v>11</v>
      </c>
      <c r="B206" s="19"/>
      <c r="C206" s="82" t="str">
        <f>DATA!J20</f>
        <v>Herlin Eka Noviana</v>
      </c>
      <c r="D206" s="248"/>
      <c r="E206" s="43"/>
      <c r="F206" s="43"/>
      <c r="G206" s="43"/>
      <c r="H206" s="44"/>
      <c r="I206" s="21">
        <f t="shared" si="39"/>
        <v>0</v>
      </c>
      <c r="J206" s="45">
        <f t="shared" si="35"/>
        <v>0</v>
      </c>
      <c r="K206" s="21" t="str">
        <f t="shared" si="36"/>
        <v>tdk tuntas</v>
      </c>
      <c r="L206" s="210" t="str">
        <f t="shared" si="37"/>
        <v>80</v>
      </c>
      <c r="M206" s="14"/>
      <c r="N206" s="24"/>
      <c r="O206" s="15"/>
      <c r="Q206" s="68" t="str">
        <f t="shared" si="38"/>
        <v>Herlin Eka Noviana</v>
      </c>
      <c r="R206" s="21" t="str">
        <f t="shared" si="40"/>
        <v>85</v>
      </c>
      <c r="T206" s="15"/>
    </row>
    <row r="207" spans="1:20" ht="12" customHeight="1" thickTop="1" thickBot="1" x14ac:dyDescent="0.35">
      <c r="A207" s="21">
        <v>12</v>
      </c>
      <c r="B207" s="19"/>
      <c r="C207" s="82" t="str">
        <f>DATA!J21</f>
        <v>Irfan Al Khafidz</v>
      </c>
      <c r="D207" s="248"/>
      <c r="E207" s="43"/>
      <c r="F207" s="43"/>
      <c r="G207" s="43"/>
      <c r="H207" s="44"/>
      <c r="I207" s="21">
        <f t="shared" si="39"/>
        <v>0</v>
      </c>
      <c r="J207" s="45">
        <f t="shared" si="35"/>
        <v>0</v>
      </c>
      <c r="K207" s="21" t="str">
        <f t="shared" si="36"/>
        <v>tdk tuntas</v>
      </c>
      <c r="L207" s="210" t="str">
        <f t="shared" si="37"/>
        <v>80</v>
      </c>
      <c r="M207" s="14" t="s">
        <v>11</v>
      </c>
      <c r="N207" s="58">
        <f>K234</f>
        <v>30</v>
      </c>
      <c r="O207" s="15"/>
      <c r="Q207" s="68" t="str">
        <f t="shared" si="38"/>
        <v>Irfan Al Khafidz</v>
      </c>
      <c r="R207" s="21" t="str">
        <f t="shared" si="40"/>
        <v>85</v>
      </c>
      <c r="S207" s="158" t="s">
        <v>46</v>
      </c>
      <c r="T207" s="119" t="s">
        <v>31</v>
      </c>
    </row>
    <row r="208" spans="1:20" ht="12" customHeight="1" thickTop="1" thickBot="1" x14ac:dyDescent="0.35">
      <c r="A208" s="21">
        <v>13</v>
      </c>
      <c r="B208" s="19"/>
      <c r="C208" s="82" t="str">
        <f>DATA!J22</f>
        <v>Mafaza Ayatussyifa</v>
      </c>
      <c r="D208" s="248"/>
      <c r="E208" s="43"/>
      <c r="F208" s="43"/>
      <c r="G208" s="43"/>
      <c r="H208" s="44"/>
      <c r="I208" s="21">
        <f t="shared" si="39"/>
        <v>0</v>
      </c>
      <c r="J208" s="45">
        <f t="shared" si="35"/>
        <v>0</v>
      </c>
      <c r="K208" s="21" t="str">
        <f t="shared" si="36"/>
        <v>tdk tuntas</v>
      </c>
      <c r="L208" s="210" t="str">
        <f t="shared" si="37"/>
        <v>80</v>
      </c>
      <c r="M208" s="14" t="s">
        <v>12</v>
      </c>
      <c r="N208" s="58">
        <f>K232</f>
        <v>0</v>
      </c>
      <c r="O208" s="15"/>
      <c r="Q208" s="68" t="str">
        <f t="shared" si="38"/>
        <v>Mafaza Ayatussyifa</v>
      </c>
      <c r="R208" s="21" t="str">
        <f t="shared" si="40"/>
        <v>85</v>
      </c>
      <c r="S208" s="155"/>
      <c r="T208" s="119" t="s">
        <v>32</v>
      </c>
    </row>
    <row r="209" spans="1:20" ht="12" customHeight="1" thickTop="1" thickBot="1" x14ac:dyDescent="0.35">
      <c r="A209" s="21">
        <v>14</v>
      </c>
      <c r="B209" s="19"/>
      <c r="C209" s="82" t="str">
        <f>DATA!J23</f>
        <v>Mirzanatun Kuni Afifah</v>
      </c>
      <c r="D209" s="134"/>
      <c r="E209" s="43"/>
      <c r="F209" s="43"/>
      <c r="G209" s="43"/>
      <c r="H209" s="44"/>
      <c r="I209" s="21">
        <f t="shared" si="39"/>
        <v>0</v>
      </c>
      <c r="J209" s="45">
        <f t="shared" si="35"/>
        <v>0</v>
      </c>
      <c r="K209" s="21" t="str">
        <f t="shared" si="36"/>
        <v>tdk tuntas</v>
      </c>
      <c r="L209" s="210" t="str">
        <f t="shared" si="37"/>
        <v>80</v>
      </c>
      <c r="M209" s="14" t="s">
        <v>13</v>
      </c>
      <c r="N209" s="58">
        <f>N208/N207*100</f>
        <v>0</v>
      </c>
      <c r="O209" s="15" t="s">
        <v>4</v>
      </c>
      <c r="Q209" s="68" t="str">
        <f t="shared" si="38"/>
        <v>Mirzanatun Kuni Afifah</v>
      </c>
      <c r="R209" s="21" t="str">
        <f t="shared" si="40"/>
        <v>85</v>
      </c>
      <c r="S209" s="62"/>
      <c r="T209" s="15" t="s">
        <v>33</v>
      </c>
    </row>
    <row r="210" spans="1:20" ht="12" customHeight="1" thickTop="1" x14ac:dyDescent="0.25">
      <c r="A210" s="21">
        <v>15</v>
      </c>
      <c r="B210" s="19"/>
      <c r="C210" s="82" t="str">
        <f>DATA!J24</f>
        <v>Muhammad Adil Chizqi Azwan</v>
      </c>
      <c r="D210" s="134"/>
      <c r="E210" s="43"/>
      <c r="F210" s="43"/>
      <c r="G210" s="43"/>
      <c r="H210" s="44"/>
      <c r="I210" s="21">
        <f t="shared" si="39"/>
        <v>0</v>
      </c>
      <c r="J210" s="45">
        <f t="shared" si="35"/>
        <v>0</v>
      </c>
      <c r="K210" s="21" t="str">
        <f t="shared" si="36"/>
        <v>tdk tuntas</v>
      </c>
      <c r="L210" s="210" t="str">
        <f t="shared" si="37"/>
        <v>80</v>
      </c>
      <c r="M210" s="14"/>
      <c r="N210" s="24"/>
      <c r="O210" s="15"/>
      <c r="Q210" s="68" t="str">
        <f t="shared" si="38"/>
        <v>Muhammad Adil Chizqi Azwan</v>
      </c>
      <c r="R210" s="21" t="str">
        <f t="shared" si="40"/>
        <v>85</v>
      </c>
      <c r="S210" s="14"/>
      <c r="T210" s="15" t="s">
        <v>34</v>
      </c>
    </row>
    <row r="211" spans="1:20" ht="12" customHeight="1" x14ac:dyDescent="0.25">
      <c r="A211" s="21">
        <v>16</v>
      </c>
      <c r="B211" s="19"/>
      <c r="C211" s="82" t="str">
        <f>DATA!J25</f>
        <v>Muhammad Alif Aditya Hartafi</v>
      </c>
      <c r="D211" s="248"/>
      <c r="E211" s="43"/>
      <c r="F211" s="43"/>
      <c r="G211" s="43"/>
      <c r="H211" s="44"/>
      <c r="I211" s="21">
        <f t="shared" si="39"/>
        <v>0</v>
      </c>
      <c r="J211" s="45">
        <f t="shared" si="35"/>
        <v>0</v>
      </c>
      <c r="K211" s="21" t="str">
        <f t="shared" si="36"/>
        <v>tdk tuntas</v>
      </c>
      <c r="L211" s="210" t="str">
        <f t="shared" si="37"/>
        <v>80</v>
      </c>
      <c r="M211" s="14" t="s">
        <v>52</v>
      </c>
      <c r="N211" s="24"/>
      <c r="O211" s="15"/>
      <c r="Q211" s="68" t="str">
        <f t="shared" si="38"/>
        <v>Muhammad Alif Aditya Hartafi</v>
      </c>
      <c r="R211" s="21" t="str">
        <f>IF(I211&lt;$N$10,"84","")</f>
        <v>84</v>
      </c>
      <c r="S211" s="14"/>
      <c r="T211" s="15"/>
    </row>
    <row r="212" spans="1:20" ht="12" customHeight="1" x14ac:dyDescent="0.25">
      <c r="A212" s="21">
        <v>17</v>
      </c>
      <c r="B212" s="19"/>
      <c r="C212" s="82" t="str">
        <f>DATA!J26</f>
        <v>Muhammad Azid Syaifurridho</v>
      </c>
      <c r="D212" s="134"/>
      <c r="E212" s="43"/>
      <c r="F212" s="43"/>
      <c r="G212" s="43"/>
      <c r="H212" s="44"/>
      <c r="I212" s="21">
        <f t="shared" si="39"/>
        <v>0</v>
      </c>
      <c r="J212" s="45">
        <f t="shared" si="35"/>
        <v>0</v>
      </c>
      <c r="K212" s="21" t="str">
        <f t="shared" si="36"/>
        <v>tdk tuntas</v>
      </c>
      <c r="L212" s="210" t="str">
        <f t="shared" si="37"/>
        <v>80</v>
      </c>
      <c r="N212" s="24"/>
      <c r="O212" s="15"/>
      <c r="Q212" s="68" t="str">
        <f t="shared" si="38"/>
        <v>Muhammad Azid Syaifurridho</v>
      </c>
      <c r="R212" s="21" t="str">
        <f t="shared" ref="R212:R218" si="41">IF(I212&lt;$N$10,"82","")</f>
        <v>82</v>
      </c>
      <c r="S212" s="14"/>
      <c r="T212" s="63" t="s">
        <v>41</v>
      </c>
    </row>
    <row r="213" spans="1:20" ht="12" customHeight="1" x14ac:dyDescent="0.25">
      <c r="A213" s="21">
        <v>18</v>
      </c>
      <c r="B213" s="19"/>
      <c r="C213" s="82" t="str">
        <f>DATA!J27</f>
        <v>Muhammad Hayqal Al Farizzi</v>
      </c>
      <c r="D213" s="134"/>
      <c r="E213" s="43"/>
      <c r="F213" s="43"/>
      <c r="G213" s="43"/>
      <c r="H213" s="44"/>
      <c r="I213" s="21">
        <f t="shared" si="39"/>
        <v>0</v>
      </c>
      <c r="J213" s="45">
        <f t="shared" si="35"/>
        <v>0</v>
      </c>
      <c r="K213" s="21" t="str">
        <f t="shared" si="36"/>
        <v>tdk tuntas</v>
      </c>
      <c r="L213" s="210" t="str">
        <f t="shared" si="37"/>
        <v>80</v>
      </c>
      <c r="M213" s="14"/>
      <c r="N213" s="24"/>
      <c r="O213" s="15"/>
      <c r="Q213" s="68" t="str">
        <f t="shared" si="38"/>
        <v>Muhammad Hayqal Al Farizzi</v>
      </c>
      <c r="R213" s="21" t="str">
        <f t="shared" si="41"/>
        <v>82</v>
      </c>
      <c r="S213" s="14"/>
      <c r="T213" s="63"/>
    </row>
    <row r="214" spans="1:20" ht="12" customHeight="1" x14ac:dyDescent="0.25">
      <c r="A214" s="21">
        <v>19</v>
      </c>
      <c r="B214" s="19"/>
      <c r="C214" s="82" t="str">
        <f>DATA!J28</f>
        <v>Muhammad Shobar Shodiq</v>
      </c>
      <c r="D214" s="248"/>
      <c r="E214" s="43"/>
      <c r="F214" s="43"/>
      <c r="G214" s="43"/>
      <c r="H214" s="44"/>
      <c r="I214" s="21">
        <f t="shared" si="39"/>
        <v>0</v>
      </c>
      <c r="J214" s="45">
        <f t="shared" si="35"/>
        <v>0</v>
      </c>
      <c r="K214" s="21" t="str">
        <f t="shared" si="36"/>
        <v>tdk tuntas</v>
      </c>
      <c r="L214" s="210" t="str">
        <f t="shared" si="37"/>
        <v>80</v>
      </c>
      <c r="M214" s="14"/>
      <c r="N214" s="24"/>
      <c r="O214" s="15"/>
      <c r="Q214" s="68" t="str">
        <f t="shared" si="38"/>
        <v>Muhammad Shobar Shodiq</v>
      </c>
      <c r="R214" s="21" t="str">
        <f t="shared" si="41"/>
        <v>82</v>
      </c>
      <c r="S214" s="14"/>
      <c r="T214" s="63"/>
    </row>
    <row r="215" spans="1:20" ht="12" customHeight="1" x14ac:dyDescent="0.25">
      <c r="A215" s="21">
        <v>20</v>
      </c>
      <c r="B215" s="19"/>
      <c r="C215" s="82" t="str">
        <f>DATA!J29</f>
        <v>Nabila Putri Noor Maulidhanti</v>
      </c>
      <c r="D215" s="134"/>
      <c r="E215" s="43"/>
      <c r="F215" s="43"/>
      <c r="G215" s="43"/>
      <c r="H215" s="44"/>
      <c r="I215" s="21">
        <f t="shared" si="39"/>
        <v>0</v>
      </c>
      <c r="J215" s="45">
        <f t="shared" si="35"/>
        <v>0</v>
      </c>
      <c r="K215" s="21" t="str">
        <f t="shared" si="36"/>
        <v>tdk tuntas</v>
      </c>
      <c r="L215" s="210" t="str">
        <f t="shared" si="37"/>
        <v>80</v>
      </c>
      <c r="M215" s="14" t="s">
        <v>53</v>
      </c>
      <c r="N215" s="78">
        <f>I232</f>
        <v>0</v>
      </c>
      <c r="O215" s="15"/>
      <c r="Q215" s="68" t="str">
        <f t="shared" si="38"/>
        <v>Nabila Putri Noor Maulidhanti</v>
      </c>
      <c r="R215" s="21" t="str">
        <f t="shared" si="41"/>
        <v>82</v>
      </c>
      <c r="S215" s="14"/>
      <c r="T215" s="63"/>
    </row>
    <row r="216" spans="1:20" ht="12" customHeight="1" x14ac:dyDescent="0.25">
      <c r="A216" s="21">
        <v>21</v>
      </c>
      <c r="B216" s="19"/>
      <c r="C216" s="82" t="str">
        <f>DATA!J30</f>
        <v>Naila Faizatis Syifa</v>
      </c>
      <c r="D216" s="248"/>
      <c r="E216" s="43"/>
      <c r="F216" s="43"/>
      <c r="G216" s="43"/>
      <c r="H216" s="44"/>
      <c r="I216" s="21">
        <f t="shared" si="39"/>
        <v>0</v>
      </c>
      <c r="J216" s="45">
        <f t="shared" si="35"/>
        <v>0</v>
      </c>
      <c r="K216" s="21" t="str">
        <f t="shared" si="36"/>
        <v>tdk tuntas</v>
      </c>
      <c r="L216" s="210" t="str">
        <f t="shared" si="37"/>
        <v>80</v>
      </c>
      <c r="M216" s="14" t="s">
        <v>54</v>
      </c>
      <c r="N216" s="78">
        <f>I233</f>
        <v>3000</v>
      </c>
      <c r="O216" s="15"/>
      <c r="Q216" s="68" t="str">
        <f t="shared" si="38"/>
        <v>Naila Faizatis Syifa</v>
      </c>
      <c r="R216" s="21" t="str">
        <f t="shared" si="41"/>
        <v>82</v>
      </c>
      <c r="S216" s="14"/>
      <c r="T216" s="63" t="str">
        <f>T169</f>
        <v>KASMIN, S.Pd</v>
      </c>
    </row>
    <row r="217" spans="1:20" ht="12" customHeight="1" x14ac:dyDescent="0.25">
      <c r="A217" s="21">
        <v>22</v>
      </c>
      <c r="B217" s="19"/>
      <c r="C217" s="82" t="str">
        <f>DATA!J31</f>
        <v>Nur Hijrah Maudhina</v>
      </c>
      <c r="D217" s="248"/>
      <c r="E217" s="43"/>
      <c r="F217" s="43"/>
      <c r="G217" s="43"/>
      <c r="H217" s="44"/>
      <c r="I217" s="21">
        <f t="shared" si="39"/>
        <v>0</v>
      </c>
      <c r="J217" s="45">
        <f t="shared" si="35"/>
        <v>0</v>
      </c>
      <c r="K217" s="21" t="str">
        <f t="shared" si="36"/>
        <v>tdk tuntas</v>
      </c>
      <c r="L217" s="210" t="str">
        <f t="shared" si="37"/>
        <v>80</v>
      </c>
      <c r="M217" s="14" t="s">
        <v>13</v>
      </c>
      <c r="N217" s="84">
        <f>N215/N216*100</f>
        <v>0</v>
      </c>
      <c r="O217" s="79" t="s">
        <v>4</v>
      </c>
      <c r="Q217" s="68" t="str">
        <f t="shared" si="38"/>
        <v>Nur Hijrah Maudhina</v>
      </c>
      <c r="R217" s="21" t="str">
        <f t="shared" si="41"/>
        <v>82</v>
      </c>
      <c r="S217" s="14"/>
      <c r="T217" s="63" t="str">
        <f>T170</f>
        <v>NIP : 196609141990031007</v>
      </c>
    </row>
    <row r="218" spans="1:20" ht="12" customHeight="1" x14ac:dyDescent="0.25">
      <c r="A218" s="21">
        <v>23</v>
      </c>
      <c r="B218" s="19"/>
      <c r="C218" s="82" t="str">
        <f>DATA!J32</f>
        <v>Ozil Azzariat</v>
      </c>
      <c r="D218" s="248"/>
      <c r="E218" s="43"/>
      <c r="F218" s="43"/>
      <c r="G218" s="43"/>
      <c r="H218" s="44"/>
      <c r="I218" s="21">
        <f t="shared" si="39"/>
        <v>0</v>
      </c>
      <c r="J218" s="45">
        <f t="shared" si="35"/>
        <v>0</v>
      </c>
      <c r="K218" s="21" t="str">
        <f t="shared" si="36"/>
        <v>tdk tuntas</v>
      </c>
      <c r="L218" s="210" t="str">
        <f t="shared" si="37"/>
        <v>80</v>
      </c>
      <c r="M218" s="14"/>
      <c r="N218" s="24"/>
      <c r="O218" s="15"/>
      <c r="Q218" s="68" t="str">
        <f t="shared" si="38"/>
        <v>Ozil Azzariat</v>
      </c>
      <c r="R218" s="21" t="str">
        <f t="shared" si="41"/>
        <v>82</v>
      </c>
      <c r="S218" s="14"/>
      <c r="T218" s="15"/>
    </row>
    <row r="219" spans="1:20" ht="12" customHeight="1" x14ac:dyDescent="0.25">
      <c r="A219" s="21">
        <v>24</v>
      </c>
      <c r="B219" s="19"/>
      <c r="C219" s="82" t="str">
        <f>DATA!J33</f>
        <v>Pranata Diaz Saputra</v>
      </c>
      <c r="D219" s="248"/>
      <c r="E219" s="43"/>
      <c r="F219" s="43"/>
      <c r="G219" s="43"/>
      <c r="H219" s="44"/>
      <c r="I219" s="21">
        <f t="shared" si="39"/>
        <v>0</v>
      </c>
      <c r="J219" s="45">
        <f t="shared" si="35"/>
        <v>0</v>
      </c>
      <c r="K219" s="21" t="str">
        <f t="shared" si="36"/>
        <v>tdk tuntas</v>
      </c>
      <c r="L219" s="210" t="str">
        <f t="shared" si="37"/>
        <v>80</v>
      </c>
      <c r="M219" s="14"/>
      <c r="N219" s="24"/>
      <c r="O219" s="15"/>
      <c r="Q219" s="68" t="str">
        <f t="shared" si="38"/>
        <v>Pranata Diaz Saputra</v>
      </c>
      <c r="R219" s="21" t="str">
        <f>IF(I219&lt;$N$10,"85","")</f>
        <v>85</v>
      </c>
      <c r="S219" s="14"/>
      <c r="T219" s="63"/>
    </row>
    <row r="220" spans="1:20" ht="12" customHeight="1" x14ac:dyDescent="0.25">
      <c r="A220" s="21">
        <v>25</v>
      </c>
      <c r="B220" s="19"/>
      <c r="C220" s="82" t="str">
        <f>DATA!J34</f>
        <v>Rafki Bais Abimanyu</v>
      </c>
      <c r="D220" s="248"/>
      <c r="E220" s="43"/>
      <c r="F220" s="43"/>
      <c r="G220" s="43"/>
      <c r="H220" s="44"/>
      <c r="I220" s="21">
        <f t="shared" si="39"/>
        <v>0</v>
      </c>
      <c r="J220" s="45">
        <f t="shared" si="35"/>
        <v>0</v>
      </c>
      <c r="K220" s="21" t="str">
        <f t="shared" si="36"/>
        <v>tdk tuntas</v>
      </c>
      <c r="L220" s="210" t="str">
        <f t="shared" si="37"/>
        <v>80</v>
      </c>
      <c r="M220" s="14" t="s">
        <v>14</v>
      </c>
      <c r="N220" s="24"/>
      <c r="O220" s="15"/>
      <c r="Q220" s="68" t="str">
        <f t="shared" si="38"/>
        <v>Rafki Bais Abimanyu</v>
      </c>
      <c r="R220" s="21" t="str">
        <f>IF(I220&lt;$N$10,"81","")</f>
        <v>81</v>
      </c>
      <c r="S220" s="14"/>
      <c r="T220" s="63" t="str">
        <f>T173</f>
        <v>Kepala Sekolah</v>
      </c>
    </row>
    <row r="221" spans="1:20" ht="12" customHeight="1" x14ac:dyDescent="0.25">
      <c r="A221" s="21">
        <v>26</v>
      </c>
      <c r="B221" s="19"/>
      <c r="C221" s="82" t="str">
        <f>DATA!J35</f>
        <v>Risma Liana Gita Pratiwi</v>
      </c>
      <c r="D221" s="248"/>
      <c r="E221" s="43"/>
      <c r="F221" s="43"/>
      <c r="G221" s="43"/>
      <c r="H221" s="44"/>
      <c r="I221" s="21">
        <f t="shared" si="39"/>
        <v>0</v>
      </c>
      <c r="J221" s="45">
        <f t="shared" si="35"/>
        <v>0</v>
      </c>
      <c r="K221" s="21" t="str">
        <f t="shared" si="36"/>
        <v>tdk tuntas</v>
      </c>
      <c r="L221" s="210" t="str">
        <f t="shared" si="37"/>
        <v>80</v>
      </c>
      <c r="M221" s="14" t="s">
        <v>15</v>
      </c>
      <c r="N221" s="24"/>
      <c r="O221" s="15"/>
      <c r="Q221" s="68" t="str">
        <f t="shared" si="38"/>
        <v>Risma Liana Gita Pratiwi</v>
      </c>
      <c r="R221" s="21" t="str">
        <f>IF(I221&lt;$N$10,"82","")</f>
        <v>82</v>
      </c>
      <c r="S221" s="14"/>
      <c r="T221" s="63"/>
    </row>
    <row r="222" spans="1:20" ht="12" customHeight="1" x14ac:dyDescent="0.3">
      <c r="A222" s="21">
        <v>27</v>
      </c>
      <c r="B222" s="19"/>
      <c r="C222" s="82" t="str">
        <f>DATA!J36</f>
        <v>Rizky Bagoes Sasongko</v>
      </c>
      <c r="D222" s="248"/>
      <c r="E222" s="43"/>
      <c r="F222" s="43"/>
      <c r="G222" s="43"/>
      <c r="H222" s="44"/>
      <c r="I222" s="21">
        <f t="shared" si="39"/>
        <v>0</v>
      </c>
      <c r="J222" s="45">
        <f t="shared" si="35"/>
        <v>0</v>
      </c>
      <c r="K222" s="21" t="str">
        <f t="shared" si="36"/>
        <v>tdk tuntas</v>
      </c>
      <c r="L222" s="210" t="str">
        <f t="shared" si="37"/>
        <v>80</v>
      </c>
      <c r="M222" s="155" t="s">
        <v>80</v>
      </c>
      <c r="N222" s="24"/>
      <c r="O222" s="15"/>
      <c r="Q222" s="68" t="str">
        <f t="shared" si="38"/>
        <v>Rizky Bagoes Sasongko</v>
      </c>
      <c r="R222" s="21" t="str">
        <f>IF(I222&lt;$N$10,"82","")</f>
        <v>82</v>
      </c>
      <c r="S222" s="14"/>
      <c r="T222" s="63"/>
    </row>
    <row r="223" spans="1:20" ht="12" customHeight="1" x14ac:dyDescent="0.25">
      <c r="A223" s="21">
        <v>28</v>
      </c>
      <c r="B223" s="19"/>
      <c r="C223" s="82" t="str">
        <f>DATA!J37</f>
        <v>Thalita Nava Ailsanti</v>
      </c>
      <c r="D223" s="134"/>
      <c r="E223" s="43"/>
      <c r="F223" s="43"/>
      <c r="G223" s="43"/>
      <c r="H223" s="44"/>
      <c r="I223" s="21">
        <f t="shared" si="39"/>
        <v>0</v>
      </c>
      <c r="J223" s="45">
        <f t="shared" si="35"/>
        <v>0</v>
      </c>
      <c r="K223" s="21" t="str">
        <f t="shared" si="36"/>
        <v>tdk tuntas</v>
      </c>
      <c r="L223" s="210" t="str">
        <f t="shared" si="37"/>
        <v>80</v>
      </c>
      <c r="M223" s="14"/>
      <c r="N223" s="24"/>
      <c r="O223" s="15"/>
      <c r="Q223" s="68" t="str">
        <f t="shared" si="38"/>
        <v>Thalita Nava Ailsanti</v>
      </c>
      <c r="R223" s="21" t="str">
        <f>IF(I223&lt;$N$10,"81","")</f>
        <v>81</v>
      </c>
      <c r="S223" s="14"/>
      <c r="T223" s="63"/>
    </row>
    <row r="224" spans="1:20" ht="12" customHeight="1" x14ac:dyDescent="0.25">
      <c r="A224" s="21">
        <v>29</v>
      </c>
      <c r="B224" s="19"/>
      <c r="C224" s="82" t="str">
        <f>DATA!J38</f>
        <v>Wahid Sulistiyo</v>
      </c>
      <c r="D224" s="134"/>
      <c r="E224" s="43"/>
      <c r="F224" s="43"/>
      <c r="G224" s="43"/>
      <c r="H224" s="44"/>
      <c r="I224" s="21">
        <f t="shared" si="39"/>
        <v>0</v>
      </c>
      <c r="J224" s="45">
        <f t="shared" si="35"/>
        <v>0</v>
      </c>
      <c r="K224" s="21" t="str">
        <f t="shared" si="36"/>
        <v>tdk tuntas</v>
      </c>
      <c r="L224" s="210" t="str">
        <f t="shared" si="37"/>
        <v>80</v>
      </c>
      <c r="M224" s="14"/>
      <c r="N224" s="24"/>
      <c r="O224" s="15"/>
      <c r="Q224" s="68" t="str">
        <f t="shared" si="38"/>
        <v>Wahid Sulistiyo</v>
      </c>
      <c r="R224" s="21" t="str">
        <f>IF(I224&lt;$N$10,"85","")</f>
        <v>85</v>
      </c>
      <c r="S224" s="14"/>
      <c r="T224" s="63"/>
    </row>
    <row r="225" spans="1:20" ht="12" customHeight="1" x14ac:dyDescent="0.25">
      <c r="A225" s="21">
        <v>30</v>
      </c>
      <c r="B225" s="19"/>
      <c r="C225" s="82" t="str">
        <f>DATA!J39</f>
        <v>Yanuar Putra Akbar</v>
      </c>
      <c r="D225" s="248"/>
      <c r="E225" s="43"/>
      <c r="F225" s="43"/>
      <c r="G225" s="43"/>
      <c r="H225" s="44"/>
      <c r="I225" s="21">
        <f>SUM(D225:H225)</f>
        <v>0</v>
      </c>
      <c r="J225" s="45">
        <f t="shared" si="35"/>
        <v>0</v>
      </c>
      <c r="K225" s="21" t="str">
        <f t="shared" si="36"/>
        <v>tdk tuntas</v>
      </c>
      <c r="L225" s="210" t="str">
        <f t="shared" si="37"/>
        <v>80</v>
      </c>
      <c r="M225" s="14"/>
      <c r="N225" s="24"/>
      <c r="O225" s="15"/>
      <c r="Q225" s="68" t="str">
        <f t="shared" si="38"/>
        <v>Yanuar Putra Akbar</v>
      </c>
      <c r="R225" s="21" t="str">
        <f>IF(I225&lt;$N$10,"84","")</f>
        <v>84</v>
      </c>
      <c r="S225" s="14"/>
      <c r="T225" s="63" t="str">
        <f>T178</f>
        <v>Dra. BAROKAH GUNIARTI</v>
      </c>
    </row>
    <row r="226" spans="1:20" ht="12" customHeight="1" x14ac:dyDescent="0.25">
      <c r="A226" s="21">
        <v>31</v>
      </c>
      <c r="B226" s="19"/>
      <c r="C226" s="82"/>
      <c r="D226" s="134"/>
      <c r="E226" s="43"/>
      <c r="F226" s="43"/>
      <c r="G226" s="43"/>
      <c r="H226" s="44"/>
      <c r="I226" s="21"/>
      <c r="J226" s="45"/>
      <c r="K226" s="21"/>
      <c r="L226" s="210"/>
      <c r="M226" s="14" t="s">
        <v>56</v>
      </c>
      <c r="N226" s="24"/>
      <c r="O226" s="15"/>
      <c r="Q226" s="68">
        <f>C226</f>
        <v>0</v>
      </c>
      <c r="R226" s="21" t="str">
        <f>IF(I226&lt;$N$10,"84","")</f>
        <v>84</v>
      </c>
      <c r="S226" s="14"/>
      <c r="T226" s="63" t="str">
        <f>T179</f>
        <v>NIP : 196901081996122004</v>
      </c>
    </row>
    <row r="227" spans="1:20" ht="12" customHeight="1" x14ac:dyDescent="0.25">
      <c r="A227" s="21">
        <v>32</v>
      </c>
      <c r="B227" s="19"/>
      <c r="C227" s="82"/>
      <c r="D227" s="248"/>
      <c r="E227" s="43"/>
      <c r="F227" s="43"/>
      <c r="G227" s="43"/>
      <c r="H227" s="44"/>
      <c r="I227" s="21"/>
      <c r="J227" s="45"/>
      <c r="K227" s="21"/>
      <c r="L227" s="210"/>
      <c r="M227" s="14"/>
      <c r="N227" s="24"/>
      <c r="O227" s="15"/>
      <c r="Q227" s="68">
        <f>C227</f>
        <v>0</v>
      </c>
      <c r="R227" s="21"/>
      <c r="S227" s="14"/>
      <c r="T227" s="15"/>
    </row>
    <row r="228" spans="1:20" ht="12" customHeight="1" x14ac:dyDescent="0.25">
      <c r="A228" s="21">
        <v>33</v>
      </c>
      <c r="B228" s="19"/>
      <c r="C228" s="82"/>
      <c r="D228" s="42" t="s">
        <v>63</v>
      </c>
      <c r="E228" s="43"/>
      <c r="F228" s="43"/>
      <c r="G228" s="43"/>
      <c r="H228" s="44"/>
      <c r="I228" s="21"/>
      <c r="J228" s="45"/>
      <c r="K228" s="21"/>
      <c r="L228" s="135"/>
      <c r="M228" s="14" t="s">
        <v>16</v>
      </c>
      <c r="N228" s="24"/>
      <c r="O228" s="15"/>
      <c r="Q228" s="68">
        <f>C228</f>
        <v>0</v>
      </c>
      <c r="R228" s="21"/>
      <c r="S228" s="14"/>
      <c r="T228" s="15"/>
    </row>
    <row r="229" spans="1:20" ht="12" customHeight="1" x14ac:dyDescent="0.25">
      <c r="A229" s="21">
        <v>34</v>
      </c>
      <c r="B229" s="19"/>
      <c r="C229" s="82"/>
      <c r="D229" s="42"/>
      <c r="E229" s="43"/>
      <c r="F229" s="43"/>
      <c r="G229" s="43"/>
      <c r="H229" s="44"/>
      <c r="I229" s="21"/>
      <c r="J229" s="45"/>
      <c r="K229" s="21"/>
      <c r="L229" s="135"/>
      <c r="M229" s="14" t="s">
        <v>59</v>
      </c>
      <c r="N229" s="24"/>
      <c r="O229" s="15"/>
      <c r="Q229" s="68"/>
      <c r="R229" s="21"/>
      <c r="S229" s="14"/>
      <c r="T229" s="15"/>
    </row>
    <row r="230" spans="1:20" ht="12" customHeight="1" x14ac:dyDescent="0.25">
      <c r="A230" s="21">
        <v>35</v>
      </c>
      <c r="B230" s="22"/>
      <c r="C230" s="162"/>
      <c r="D230" s="136" t="s">
        <v>63</v>
      </c>
      <c r="E230" s="137"/>
      <c r="F230" s="137"/>
      <c r="G230" s="137"/>
      <c r="H230" s="138"/>
      <c r="I230" s="140"/>
      <c r="J230" s="45"/>
      <c r="K230" s="21"/>
      <c r="L230" s="139"/>
      <c r="M230" s="14" t="s">
        <v>23</v>
      </c>
      <c r="N230" s="24"/>
      <c r="O230" s="15"/>
      <c r="Q230" s="68"/>
      <c r="R230" s="21"/>
      <c r="S230" s="16"/>
      <c r="T230" s="17"/>
    </row>
    <row r="231" spans="1:20" ht="12" customHeight="1" x14ac:dyDescent="0.25">
      <c r="A231" s="101" t="s">
        <v>64</v>
      </c>
      <c r="B231" s="96"/>
      <c r="C231" s="97"/>
      <c r="D231" s="204"/>
      <c r="E231" s="205"/>
      <c r="F231" s="205"/>
      <c r="G231" s="205"/>
      <c r="H231" s="206"/>
      <c r="I231" s="207">
        <f>AVERAGE(I196:I230)</f>
        <v>0</v>
      </c>
      <c r="J231" s="208"/>
      <c r="K231" s="47"/>
      <c r="L231" s="65"/>
      <c r="M231" s="14"/>
      <c r="N231" s="24"/>
      <c r="O231" s="15"/>
      <c r="Q231" s="60"/>
      <c r="R231" s="471" t="str">
        <f>C192</f>
        <v>9E</v>
      </c>
      <c r="S231" s="471"/>
      <c r="T231" s="61"/>
    </row>
    <row r="232" spans="1:20" ht="12" customHeight="1" x14ac:dyDescent="0.25">
      <c r="A232" s="14" t="s">
        <v>17</v>
      </c>
      <c r="B232" s="24"/>
      <c r="C232" s="15"/>
      <c r="D232" s="197">
        <f>SUM(D196:D230)</f>
        <v>0</v>
      </c>
      <c r="E232" s="198">
        <f>SUM(E196:E230)</f>
        <v>0</v>
      </c>
      <c r="F232" s="198">
        <f>SUM(F196:F230)</f>
        <v>0</v>
      </c>
      <c r="G232" s="198">
        <f>SUM(G196:G230)</f>
        <v>0</v>
      </c>
      <c r="H232" s="199">
        <f>SUM(H196:H230)</f>
        <v>0</v>
      </c>
      <c r="I232" s="200">
        <f>SUM(D232:H232)</f>
        <v>0</v>
      </c>
      <c r="J232" s="201" t="s">
        <v>49</v>
      </c>
      <c r="K232" s="48">
        <f>COUNTIF(K196:K230,J232)</f>
        <v>0</v>
      </c>
      <c r="L232" s="64"/>
      <c r="M232" s="14"/>
      <c r="N232" s="24"/>
      <c r="O232" s="15"/>
      <c r="Q232" s="30"/>
      <c r="R232" s="472"/>
      <c r="S232" s="472"/>
      <c r="T232" s="31"/>
    </row>
    <row r="233" spans="1:20" ht="12" customHeight="1" x14ac:dyDescent="0.25">
      <c r="A233" s="14" t="s">
        <v>18</v>
      </c>
      <c r="B233" s="24"/>
      <c r="C233" s="15"/>
      <c r="D233" s="197">
        <f>D194*K234</f>
        <v>600</v>
      </c>
      <c r="E233" s="197">
        <f>E194*K234</f>
        <v>600</v>
      </c>
      <c r="F233" s="197">
        <f>F194*K234</f>
        <v>600</v>
      </c>
      <c r="G233" s="197">
        <f>G194*K234</f>
        <v>600</v>
      </c>
      <c r="H233" s="197">
        <f>H194*K234</f>
        <v>600</v>
      </c>
      <c r="I233" s="200">
        <f>SUM(D233:H233)</f>
        <v>3000</v>
      </c>
      <c r="J233" s="201" t="s">
        <v>50</v>
      </c>
      <c r="K233" s="48">
        <f>COUNTIF(K196:K230,J233)</f>
        <v>30</v>
      </c>
      <c r="L233" s="64"/>
      <c r="M233" s="14"/>
      <c r="N233" s="24"/>
      <c r="O233" s="15"/>
      <c r="Q233" s="30"/>
      <c r="R233" s="472"/>
      <c r="S233" s="472"/>
      <c r="T233" s="31"/>
    </row>
    <row r="234" spans="1:20" ht="12" customHeight="1" x14ac:dyDescent="0.25">
      <c r="A234" s="26" t="s">
        <v>19</v>
      </c>
      <c r="B234" s="27"/>
      <c r="C234" s="28"/>
      <c r="D234" s="202">
        <f t="shared" ref="D234:I234" si="42">D232/D233*100</f>
        <v>0</v>
      </c>
      <c r="E234" s="202">
        <f t="shared" si="42"/>
        <v>0</v>
      </c>
      <c r="F234" s="202">
        <f t="shared" si="42"/>
        <v>0</v>
      </c>
      <c r="G234" s="202">
        <f t="shared" si="42"/>
        <v>0</v>
      </c>
      <c r="H234" s="202">
        <f t="shared" si="42"/>
        <v>0</v>
      </c>
      <c r="I234" s="202">
        <f t="shared" si="42"/>
        <v>0</v>
      </c>
      <c r="J234" s="203" t="s">
        <v>57</v>
      </c>
      <c r="K234" s="49">
        <f>SUM(K232:K233)</f>
        <v>30</v>
      </c>
      <c r="L234" s="66"/>
      <c r="M234" s="16"/>
      <c r="N234" s="25"/>
      <c r="O234" s="17"/>
      <c r="Q234" s="8"/>
      <c r="R234" s="473"/>
      <c r="S234" s="473"/>
      <c r="T234" s="9"/>
    </row>
    <row r="235" spans="1:20" ht="12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1:20" ht="12" customHeight="1" x14ac:dyDescent="0.25">
      <c r="A236" s="453" t="str">
        <f>'UH1'!A236</f>
        <v>ANALISA HASIL PH MATEMATIKA KLS IX  SMT GENAP</v>
      </c>
      <c r="B236" s="454"/>
      <c r="C236" s="454"/>
      <c r="D236" s="454"/>
      <c r="E236" s="454"/>
      <c r="F236" s="454"/>
      <c r="G236" s="454"/>
      <c r="H236" s="454"/>
      <c r="I236" s="454"/>
      <c r="J236" s="454"/>
      <c r="K236" s="454"/>
      <c r="L236" s="454"/>
      <c r="M236" s="454"/>
      <c r="N236" s="454"/>
      <c r="O236" s="455"/>
      <c r="Q236" s="456" t="s">
        <v>40</v>
      </c>
      <c r="R236" s="457"/>
      <c r="S236" s="457"/>
      <c r="T236" s="458"/>
    </row>
    <row r="237" spans="1:20" ht="12" customHeight="1" x14ac:dyDescent="0.25">
      <c r="A237" s="453" t="str">
        <f>A190</f>
        <v>SMP I LIMBANGAN  TH 2025/2026</v>
      </c>
      <c r="B237" s="454"/>
      <c r="C237" s="454"/>
      <c r="D237" s="454"/>
      <c r="E237" s="454"/>
      <c r="F237" s="454"/>
      <c r="G237" s="454"/>
      <c r="H237" s="454"/>
      <c r="I237" s="454"/>
      <c r="J237" s="454"/>
      <c r="K237" s="454"/>
      <c r="L237" s="454"/>
      <c r="M237" s="454"/>
      <c r="N237" s="454"/>
      <c r="O237" s="455"/>
      <c r="Q237" s="453" t="s">
        <v>61</v>
      </c>
      <c r="R237" s="454"/>
      <c r="S237" s="454"/>
      <c r="T237" s="455"/>
    </row>
    <row r="238" spans="1:20" ht="12" customHeight="1" x14ac:dyDescent="0.25"/>
    <row r="239" spans="1:20" ht="12" customHeight="1" x14ac:dyDescent="0.25">
      <c r="A239" s="99" t="s">
        <v>66</v>
      </c>
      <c r="C239" s="102" t="str">
        <f>DATA!L8</f>
        <v>9F</v>
      </c>
      <c r="D239" t="s">
        <v>21</v>
      </c>
      <c r="F239" s="87">
        <f>F51</f>
        <v>3</v>
      </c>
      <c r="I239" t="s">
        <v>20</v>
      </c>
      <c r="K239" s="72">
        <v>44854</v>
      </c>
      <c r="M239" s="1" t="s">
        <v>60</v>
      </c>
      <c r="N239" s="87">
        <f>N51</f>
        <v>3</v>
      </c>
      <c r="Q239" t="s">
        <v>28</v>
      </c>
      <c r="R239" s="470">
        <f>K239+7</f>
        <v>44861</v>
      </c>
      <c r="S239" s="470"/>
    </row>
    <row r="240" spans="1:20" ht="12" customHeight="1" x14ac:dyDescent="0.25">
      <c r="A240" s="2"/>
      <c r="B240" s="2"/>
      <c r="C240" s="3" t="s">
        <v>7</v>
      </c>
      <c r="D240" s="32">
        <v>1</v>
      </c>
      <c r="E240" s="33">
        <v>2</v>
      </c>
      <c r="F240" s="33">
        <v>3</v>
      </c>
      <c r="G240" s="33">
        <v>4</v>
      </c>
      <c r="H240" s="34">
        <v>5</v>
      </c>
      <c r="I240" s="35" t="s">
        <v>3</v>
      </c>
      <c r="J240" s="4" t="s">
        <v>4</v>
      </c>
      <c r="K240" s="53" t="s">
        <v>83</v>
      </c>
      <c r="L240" s="35" t="s">
        <v>43</v>
      </c>
      <c r="M240" s="459" t="s">
        <v>9</v>
      </c>
      <c r="N240" s="460"/>
      <c r="O240" s="461"/>
      <c r="Q240" s="2"/>
      <c r="R240" s="35" t="s">
        <v>24</v>
      </c>
      <c r="S240" s="60"/>
      <c r="T240" s="61"/>
    </row>
    <row r="241" spans="1:20" ht="12" customHeight="1" x14ac:dyDescent="0.25">
      <c r="A241" s="6" t="s">
        <v>0</v>
      </c>
      <c r="B241" s="6" t="s">
        <v>1</v>
      </c>
      <c r="C241" s="5" t="s">
        <v>8</v>
      </c>
      <c r="D241" s="55">
        <f>D194</f>
        <v>20</v>
      </c>
      <c r="E241" s="56">
        <f>E194</f>
        <v>20</v>
      </c>
      <c r="F241" s="56">
        <f>F194</f>
        <v>20</v>
      </c>
      <c r="G241" s="56">
        <f>G194</f>
        <v>20</v>
      </c>
      <c r="H241" s="105">
        <f>H194</f>
        <v>20</v>
      </c>
      <c r="I241" s="21">
        <f>SUM(D241:H241)</f>
        <v>100</v>
      </c>
      <c r="J241" s="6" t="s">
        <v>5</v>
      </c>
      <c r="K241" s="52" t="s">
        <v>22</v>
      </c>
      <c r="L241" s="11" t="s">
        <v>44</v>
      </c>
      <c r="M241" s="462"/>
      <c r="N241" s="463"/>
      <c r="O241" s="464"/>
      <c r="Q241" s="6" t="s">
        <v>2</v>
      </c>
      <c r="R241" s="11" t="s">
        <v>25</v>
      </c>
      <c r="S241" s="468" t="s">
        <v>27</v>
      </c>
      <c r="T241" s="469"/>
    </row>
    <row r="242" spans="1:20" ht="12" customHeight="1" x14ac:dyDescent="0.25">
      <c r="A242" s="6"/>
      <c r="B242" s="6"/>
      <c r="C242" s="51" t="s">
        <v>2</v>
      </c>
      <c r="D242" s="36"/>
      <c r="E242" s="37"/>
      <c r="F242" s="37"/>
      <c r="G242" s="37"/>
      <c r="H242" s="38"/>
      <c r="I242" s="11"/>
      <c r="J242" s="6" t="s">
        <v>6</v>
      </c>
      <c r="K242" s="54"/>
      <c r="L242" s="59" t="s">
        <v>45</v>
      </c>
      <c r="M242" s="465"/>
      <c r="N242" s="466"/>
      <c r="O242" s="467"/>
      <c r="Q242" s="7"/>
      <c r="R242" s="59" t="s">
        <v>26</v>
      </c>
      <c r="S242" s="8"/>
      <c r="T242" s="9"/>
    </row>
    <row r="243" spans="1:20" ht="12" customHeight="1" x14ac:dyDescent="0.25">
      <c r="A243" s="20">
        <v>1</v>
      </c>
      <c r="B243" s="18"/>
      <c r="C243" s="81" t="str">
        <f>DATA!L10</f>
        <v>Ahmad Azam Muhanif</v>
      </c>
      <c r="D243" s="131" t="s">
        <v>63</v>
      </c>
      <c r="E243" s="40"/>
      <c r="F243" s="40"/>
      <c r="G243" s="40"/>
      <c r="H243" s="41"/>
      <c r="I243" s="20">
        <f>SUM(D243:H243)</f>
        <v>0</v>
      </c>
      <c r="J243" s="46">
        <f>I243</f>
        <v>0</v>
      </c>
      <c r="K243" s="21" t="str">
        <f>IF(J243&lt;$N$10,"tdk tuntas","tuntas")</f>
        <v>tdk tuntas</v>
      </c>
      <c r="L243" s="209" t="str">
        <f>IF(J243&lt;=39.9,"80",IF(J243&lt;=59.9,"81",IF(J243&lt;=69.9,"82",IF(J243&lt;=74.9,"83",IF(J243&lt;=78.9,"84",IF(J243&lt;=78.9,"85",IF(J243&gt;=78.9,J243," ")))))))</f>
        <v>80</v>
      </c>
      <c r="M243" s="12"/>
      <c r="N243" s="23"/>
      <c r="O243" s="13"/>
      <c r="Q243" s="67" t="str">
        <f>C243</f>
        <v>Ahmad Azam Muhanif</v>
      </c>
      <c r="R243" s="21" t="str">
        <f>IF(I243&lt;$N$10,"80","")</f>
        <v>80</v>
      </c>
      <c r="S243" s="12"/>
      <c r="T243" s="13"/>
    </row>
    <row r="244" spans="1:20" ht="12" customHeight="1" x14ac:dyDescent="0.25">
      <c r="A244" s="21">
        <v>2</v>
      </c>
      <c r="B244" s="19"/>
      <c r="C244" s="82" t="str">
        <f>DATA!L11</f>
        <v>Ananda Rafa Mahesa Putra</v>
      </c>
      <c r="D244" s="248" t="s">
        <v>63</v>
      </c>
      <c r="E244" s="43"/>
      <c r="F244" s="43"/>
      <c r="G244" s="43"/>
      <c r="H244" s="44"/>
      <c r="I244" s="21">
        <f>SUM(D244:H244)</f>
        <v>0</v>
      </c>
      <c r="J244" s="45">
        <f>I244</f>
        <v>0</v>
      </c>
      <c r="K244" s="21" t="str">
        <f t="shared" ref="K244:K271" si="43">IF(J244&lt;$N$10,"tdk tuntas","tuntas")</f>
        <v>tdk tuntas</v>
      </c>
      <c r="L244" s="210" t="str">
        <f t="shared" ref="L244:L272" si="44">IF(J244&lt;=39.9,"80",IF(J244&lt;=59.9,"81",IF(J244&lt;=69.9,"82",IF(J244&lt;=74.9,"83",IF(J244&lt;=78.9,"84",IF(J244&lt;=78.9,"85",IF(J244&gt;=78.9,J244," ")))))))</f>
        <v>80</v>
      </c>
      <c r="M244" s="14"/>
      <c r="N244" s="24"/>
      <c r="O244" s="15"/>
      <c r="Q244" s="68" t="str">
        <f t="shared" ref="Q244:Q272" si="45">C244</f>
        <v>Ananda Rafa Mahesa Putra</v>
      </c>
      <c r="R244" s="21" t="str">
        <f>IF(I244&lt;$N$10,"81","")</f>
        <v>81</v>
      </c>
      <c r="S244" s="14" t="s">
        <v>29</v>
      </c>
      <c r="T244" s="15"/>
    </row>
    <row r="245" spans="1:20" ht="12" customHeight="1" thickBot="1" x14ac:dyDescent="0.35">
      <c r="A245" s="21">
        <v>3</v>
      </c>
      <c r="B245" s="19"/>
      <c r="C245" s="82" t="str">
        <f>DATA!L12</f>
        <v>Aprian Caysa Raditiansyah</v>
      </c>
      <c r="D245" s="248" t="s">
        <v>63</v>
      </c>
      <c r="E245" s="43"/>
      <c r="F245" s="43"/>
      <c r="G245" s="43"/>
      <c r="H245" s="44"/>
      <c r="I245" s="21">
        <f t="shared" ref="I245:I271" si="46">SUM(D245:H245)</f>
        <v>0</v>
      </c>
      <c r="J245" s="45">
        <f>I245</f>
        <v>0</v>
      </c>
      <c r="K245" s="21" t="str">
        <f t="shared" si="43"/>
        <v>tdk tuntas</v>
      </c>
      <c r="L245" s="210" t="str">
        <f t="shared" si="44"/>
        <v>80</v>
      </c>
      <c r="M245" s="70" t="s">
        <v>62</v>
      </c>
      <c r="N245" s="76">
        <f>N57</f>
        <v>80</v>
      </c>
      <c r="O245" s="15"/>
      <c r="Q245" s="68" t="str">
        <f t="shared" si="45"/>
        <v>Aprian Caysa Raditiansyah</v>
      </c>
      <c r="R245" s="21" t="str">
        <f>IF(I245&lt;$N$10,"81","")</f>
        <v>81</v>
      </c>
      <c r="S245" s="26"/>
      <c r="T245" s="15"/>
    </row>
    <row r="246" spans="1:20" ht="12" customHeight="1" thickTop="1" thickBot="1" x14ac:dyDescent="0.3">
      <c r="A246" s="21">
        <v>4</v>
      </c>
      <c r="B246" s="19"/>
      <c r="C246" s="82" t="str">
        <f>DATA!L13</f>
        <v>Attaya Nadine Vanessa</v>
      </c>
      <c r="D246" s="248" t="s">
        <v>63</v>
      </c>
      <c r="E246" s="43"/>
      <c r="F246" s="43"/>
      <c r="G246" s="43"/>
      <c r="H246" s="44"/>
      <c r="I246" s="21">
        <f t="shared" si="46"/>
        <v>0</v>
      </c>
      <c r="J246" s="45">
        <f>I246</f>
        <v>0</v>
      </c>
      <c r="K246" s="21" t="str">
        <f t="shared" si="43"/>
        <v>tdk tuntas</v>
      </c>
      <c r="L246" s="210" t="str">
        <f t="shared" si="44"/>
        <v>80</v>
      </c>
      <c r="M246" s="14"/>
      <c r="N246" s="24"/>
      <c r="O246" s="15"/>
      <c r="Q246" s="68" t="str">
        <f t="shared" si="45"/>
        <v>Attaya Nadine Vanessa</v>
      </c>
      <c r="R246" s="21" t="str">
        <f>IF(I246&lt;$N$10,"84","")</f>
        <v>84</v>
      </c>
      <c r="S246" s="62"/>
      <c r="T246" s="15" t="s">
        <v>35</v>
      </c>
    </row>
    <row r="247" spans="1:20" ht="12" customHeight="1" thickTop="1" thickBot="1" x14ac:dyDescent="0.3">
      <c r="A247" s="21">
        <v>5</v>
      </c>
      <c r="B247" s="19"/>
      <c r="C247" s="82" t="str">
        <f>DATA!L14</f>
        <v>Dimas Suryo Admodjo</v>
      </c>
      <c r="D247" s="248" t="s">
        <v>63</v>
      </c>
      <c r="E247" s="43"/>
      <c r="F247" s="43"/>
      <c r="G247" s="43"/>
      <c r="H247" s="44"/>
      <c r="I247" s="21">
        <f t="shared" si="46"/>
        <v>0</v>
      </c>
      <c r="J247" s="45">
        <f t="shared" ref="J247:J271" si="47">I247</f>
        <v>0</v>
      </c>
      <c r="K247" s="21" t="str">
        <f t="shared" si="43"/>
        <v>tdk tuntas</v>
      </c>
      <c r="L247" s="210" t="str">
        <f t="shared" si="44"/>
        <v>80</v>
      </c>
      <c r="M247" s="14"/>
      <c r="N247" s="24"/>
      <c r="O247" s="15"/>
      <c r="Q247" s="68" t="str">
        <f t="shared" si="45"/>
        <v>Dimas Suryo Admodjo</v>
      </c>
      <c r="R247" s="21" t="str">
        <f>IF(I247&lt;$N$10,"87","")</f>
        <v>87</v>
      </c>
      <c r="S247" s="158"/>
      <c r="T247" s="15" t="s">
        <v>38</v>
      </c>
    </row>
    <row r="248" spans="1:20" ht="12" customHeight="1" thickTop="1" thickBot="1" x14ac:dyDescent="0.3">
      <c r="A248" s="21">
        <v>6</v>
      </c>
      <c r="B248" s="19"/>
      <c r="C248" s="82" t="str">
        <f>DATA!L15</f>
        <v>Dwi Erinadestari</v>
      </c>
      <c r="D248" s="134" t="s">
        <v>63</v>
      </c>
      <c r="E248" s="43"/>
      <c r="F248" s="43"/>
      <c r="G248" s="43"/>
      <c r="H248" s="44"/>
      <c r="I248" s="21">
        <f t="shared" si="46"/>
        <v>0</v>
      </c>
      <c r="J248" s="45">
        <f t="shared" si="47"/>
        <v>0</v>
      </c>
      <c r="K248" s="21" t="str">
        <f t="shared" si="43"/>
        <v>tdk tuntas</v>
      </c>
      <c r="L248" s="210" t="str">
        <f t="shared" si="44"/>
        <v>80</v>
      </c>
      <c r="M248" s="14" t="s">
        <v>10</v>
      </c>
      <c r="N248" s="24"/>
      <c r="O248" s="15"/>
      <c r="Q248" s="68" t="str">
        <f t="shared" si="45"/>
        <v>Dwi Erinadestari</v>
      </c>
      <c r="R248" s="21" t="str">
        <f>IF(I248&lt;$N$10,"82","")</f>
        <v>82</v>
      </c>
      <c r="S248" s="155"/>
      <c r="T248" s="15" t="s">
        <v>39</v>
      </c>
    </row>
    <row r="249" spans="1:20" ht="12" customHeight="1" thickTop="1" thickBot="1" x14ac:dyDescent="0.35">
      <c r="A249" s="21">
        <v>7</v>
      </c>
      <c r="B249" s="19"/>
      <c r="C249" s="82" t="str">
        <f>DATA!L16</f>
        <v>Eka Yuanita Safa</v>
      </c>
      <c r="D249" s="248" t="s">
        <v>63</v>
      </c>
      <c r="E249" s="43"/>
      <c r="F249" s="43"/>
      <c r="G249" s="43"/>
      <c r="H249" s="44"/>
      <c r="I249" s="21">
        <f t="shared" si="46"/>
        <v>0</v>
      </c>
      <c r="J249" s="45">
        <f t="shared" si="47"/>
        <v>0</v>
      </c>
      <c r="K249" s="21" t="str">
        <f t="shared" si="43"/>
        <v>tdk tuntas</v>
      </c>
      <c r="L249" s="210" t="str">
        <f t="shared" si="44"/>
        <v>80</v>
      </c>
      <c r="M249" s="14"/>
      <c r="N249" s="24"/>
      <c r="O249" s="15"/>
      <c r="Q249" s="68" t="str">
        <f t="shared" si="45"/>
        <v>Eka Yuanita Safa</v>
      </c>
      <c r="R249" s="21" t="str">
        <f>IF(I249&lt;$N$10,"80","")</f>
        <v>80</v>
      </c>
      <c r="S249" s="71" t="s">
        <v>81</v>
      </c>
      <c r="T249" s="119" t="s">
        <v>36</v>
      </c>
    </row>
    <row r="250" spans="1:20" ht="12" customHeight="1" thickTop="1" x14ac:dyDescent="0.25">
      <c r="A250" s="21">
        <v>8</v>
      </c>
      <c r="B250" s="19"/>
      <c r="C250" s="82" t="str">
        <f>DATA!L17</f>
        <v>Ellisa Adelia Putri</v>
      </c>
      <c r="D250" s="134" t="s">
        <v>63</v>
      </c>
      <c r="E250" s="43"/>
      <c r="F250" s="43"/>
      <c r="G250" s="43"/>
      <c r="H250" s="44"/>
      <c r="I250" s="21">
        <f t="shared" si="46"/>
        <v>0</v>
      </c>
      <c r="J250" s="45">
        <f t="shared" si="47"/>
        <v>0</v>
      </c>
      <c r="K250" s="21" t="str">
        <f t="shared" si="43"/>
        <v>tdk tuntas</v>
      </c>
      <c r="L250" s="210" t="str">
        <f t="shared" si="44"/>
        <v>80</v>
      </c>
      <c r="M250" s="77" t="s">
        <v>51</v>
      </c>
      <c r="N250" s="24"/>
      <c r="O250" s="15"/>
      <c r="Q250" s="68" t="str">
        <f t="shared" si="45"/>
        <v>Ellisa Adelia Putri</v>
      </c>
      <c r="R250" s="21" t="str">
        <f>IF(I250&lt;$N$10,"84","")</f>
        <v>84</v>
      </c>
      <c r="S250" s="155"/>
      <c r="T250" s="119" t="s">
        <v>37</v>
      </c>
    </row>
    <row r="251" spans="1:20" ht="12" customHeight="1" x14ac:dyDescent="0.25">
      <c r="A251" s="21">
        <v>9</v>
      </c>
      <c r="B251" s="19"/>
      <c r="C251" s="82" t="str">
        <f>DATA!L18</f>
        <v>Elsa Adinda Putri</v>
      </c>
      <c r="D251" s="134" t="s">
        <v>63</v>
      </c>
      <c r="E251" s="43"/>
      <c r="F251" s="43"/>
      <c r="G251" s="43"/>
      <c r="H251" s="44"/>
      <c r="I251" s="21">
        <f t="shared" si="46"/>
        <v>0</v>
      </c>
      <c r="J251" s="45">
        <f t="shared" si="47"/>
        <v>0</v>
      </c>
      <c r="K251" s="21" t="str">
        <f t="shared" si="43"/>
        <v>tdk tuntas</v>
      </c>
      <c r="L251" s="210" t="str">
        <f t="shared" si="44"/>
        <v>80</v>
      </c>
      <c r="N251" s="24"/>
      <c r="O251" s="15"/>
      <c r="Q251" s="68" t="str">
        <f t="shared" si="45"/>
        <v>Elsa Adinda Putri</v>
      </c>
      <c r="R251" s="21" t="str">
        <f>IF(I251&lt;$N$10,"88","")</f>
        <v>88</v>
      </c>
      <c r="S251" s="14"/>
      <c r="T251" s="15"/>
    </row>
    <row r="252" spans="1:20" ht="12" customHeight="1" x14ac:dyDescent="0.25">
      <c r="A252" s="21">
        <v>10</v>
      </c>
      <c r="B252" s="19"/>
      <c r="C252" s="82" t="str">
        <f>DATA!L19</f>
        <v>Erick Putra Wijaya</v>
      </c>
      <c r="D252" s="248" t="s">
        <v>63</v>
      </c>
      <c r="E252" s="43"/>
      <c r="F252" s="43"/>
      <c r="G252" s="43"/>
      <c r="H252" s="44"/>
      <c r="I252" s="21">
        <f t="shared" si="46"/>
        <v>0</v>
      </c>
      <c r="J252" s="45">
        <f t="shared" si="47"/>
        <v>0</v>
      </c>
      <c r="K252" s="21" t="str">
        <f t="shared" si="43"/>
        <v>tdk tuntas</v>
      </c>
      <c r="L252" s="210" t="str">
        <f t="shared" si="44"/>
        <v>80</v>
      </c>
      <c r="M252" s="14"/>
      <c r="N252" s="24"/>
      <c r="O252" s="15"/>
      <c r="Q252" s="68" t="str">
        <f t="shared" si="45"/>
        <v>Erick Putra Wijaya</v>
      </c>
      <c r="R252" s="21" t="str">
        <f t="shared" ref="R252:R257" si="48">IF(I252&lt;$N$10,"85","")</f>
        <v>85</v>
      </c>
      <c r="S252" s="14" t="s">
        <v>30</v>
      </c>
      <c r="T252" s="15"/>
    </row>
    <row r="253" spans="1:20" ht="12" customHeight="1" thickBot="1" x14ac:dyDescent="0.3">
      <c r="A253" s="21">
        <v>11</v>
      </c>
      <c r="B253" s="19"/>
      <c r="C253" s="82" t="str">
        <f>DATA!L20</f>
        <v>Intan Qurrota A'Yun</v>
      </c>
      <c r="D253" s="248" t="s">
        <v>63</v>
      </c>
      <c r="E253" s="43"/>
      <c r="F253" s="43"/>
      <c r="G253" s="43"/>
      <c r="H253" s="44"/>
      <c r="I253" s="21">
        <f t="shared" si="46"/>
        <v>0</v>
      </c>
      <c r="J253" s="45">
        <f t="shared" si="47"/>
        <v>0</v>
      </c>
      <c r="K253" s="21" t="str">
        <f t="shared" si="43"/>
        <v>tdk tuntas</v>
      </c>
      <c r="L253" s="210" t="str">
        <f t="shared" si="44"/>
        <v>80</v>
      </c>
      <c r="M253" s="14"/>
      <c r="N253" s="24"/>
      <c r="O253" s="15"/>
      <c r="Q253" s="68" t="str">
        <f t="shared" si="45"/>
        <v>Intan Qurrota A'Yun</v>
      </c>
      <c r="R253" s="21" t="str">
        <f t="shared" si="48"/>
        <v>85</v>
      </c>
      <c r="T253" s="15"/>
    </row>
    <row r="254" spans="1:20" ht="12" customHeight="1" thickTop="1" thickBot="1" x14ac:dyDescent="0.35">
      <c r="A254" s="21">
        <v>12</v>
      </c>
      <c r="B254" s="19"/>
      <c r="C254" s="82" t="str">
        <f>DATA!L21</f>
        <v>Johan Renaldi</v>
      </c>
      <c r="D254" s="248" t="s">
        <v>63</v>
      </c>
      <c r="E254" s="43"/>
      <c r="F254" s="43"/>
      <c r="G254" s="43"/>
      <c r="H254" s="44"/>
      <c r="I254" s="21">
        <f t="shared" si="46"/>
        <v>0</v>
      </c>
      <c r="J254" s="45">
        <f t="shared" si="47"/>
        <v>0</v>
      </c>
      <c r="K254" s="21" t="str">
        <f t="shared" si="43"/>
        <v>tdk tuntas</v>
      </c>
      <c r="L254" s="210" t="str">
        <f t="shared" si="44"/>
        <v>80</v>
      </c>
      <c r="M254" s="14" t="s">
        <v>11</v>
      </c>
      <c r="N254" s="58">
        <f>K281</f>
        <v>29</v>
      </c>
      <c r="O254" s="15"/>
      <c r="Q254" s="68" t="str">
        <f t="shared" si="45"/>
        <v>Johan Renaldi</v>
      </c>
      <c r="R254" s="21" t="str">
        <f t="shared" si="48"/>
        <v>85</v>
      </c>
      <c r="S254" s="158" t="s">
        <v>46</v>
      </c>
      <c r="T254" s="119" t="s">
        <v>31</v>
      </c>
    </row>
    <row r="255" spans="1:20" ht="12" customHeight="1" thickTop="1" thickBot="1" x14ac:dyDescent="0.35">
      <c r="A255" s="21">
        <v>13</v>
      </c>
      <c r="B255" s="19"/>
      <c r="C255" s="82" t="str">
        <f>DATA!L22</f>
        <v>Lituhayu Sabrina</v>
      </c>
      <c r="D255" s="248" t="s">
        <v>63</v>
      </c>
      <c r="E255" s="43"/>
      <c r="F255" s="43"/>
      <c r="G255" s="43"/>
      <c r="H255" s="44"/>
      <c r="I255" s="21">
        <f t="shared" si="46"/>
        <v>0</v>
      </c>
      <c r="J255" s="45">
        <f t="shared" si="47"/>
        <v>0</v>
      </c>
      <c r="K255" s="21" t="str">
        <f t="shared" si="43"/>
        <v>tdk tuntas</v>
      </c>
      <c r="L255" s="210" t="str">
        <f t="shared" si="44"/>
        <v>80</v>
      </c>
      <c r="M255" s="14" t="s">
        <v>12</v>
      </c>
      <c r="N255" s="58">
        <f>K279</f>
        <v>0</v>
      </c>
      <c r="O255" s="15"/>
      <c r="Q255" s="68" t="str">
        <f t="shared" si="45"/>
        <v>Lituhayu Sabrina</v>
      </c>
      <c r="R255" s="21" t="str">
        <f t="shared" si="48"/>
        <v>85</v>
      </c>
      <c r="S255" s="155"/>
      <c r="T255" s="119" t="s">
        <v>32</v>
      </c>
    </row>
    <row r="256" spans="1:20" ht="12" customHeight="1" thickTop="1" thickBot="1" x14ac:dyDescent="0.35">
      <c r="A256" s="21">
        <v>14</v>
      </c>
      <c r="B256" s="19"/>
      <c r="C256" s="82" t="str">
        <f>DATA!L23</f>
        <v>Luthfi Az Zahra Aulyvia</v>
      </c>
      <c r="D256" s="134" t="s">
        <v>63</v>
      </c>
      <c r="E256" s="43"/>
      <c r="F256" s="43"/>
      <c r="G256" s="43"/>
      <c r="H256" s="44"/>
      <c r="I256" s="21">
        <f t="shared" si="46"/>
        <v>0</v>
      </c>
      <c r="J256" s="45">
        <f t="shared" si="47"/>
        <v>0</v>
      </c>
      <c r="K256" s="21" t="str">
        <f t="shared" si="43"/>
        <v>tdk tuntas</v>
      </c>
      <c r="L256" s="210" t="str">
        <f t="shared" si="44"/>
        <v>80</v>
      </c>
      <c r="M256" s="14" t="s">
        <v>13</v>
      </c>
      <c r="N256" s="58">
        <f>N255/N254*100</f>
        <v>0</v>
      </c>
      <c r="O256" s="15" t="s">
        <v>4</v>
      </c>
      <c r="Q256" s="68" t="str">
        <f t="shared" si="45"/>
        <v>Luthfi Az Zahra Aulyvia</v>
      </c>
      <c r="R256" s="21" t="str">
        <f t="shared" si="48"/>
        <v>85</v>
      </c>
      <c r="S256" s="62"/>
      <c r="T256" s="15" t="s">
        <v>33</v>
      </c>
    </row>
    <row r="257" spans="1:20" ht="12" customHeight="1" thickTop="1" x14ac:dyDescent="0.25">
      <c r="A257" s="21">
        <v>15</v>
      </c>
      <c r="B257" s="19"/>
      <c r="C257" s="82" t="str">
        <f>DATA!L24</f>
        <v>Maulana Rizki Kurniawan</v>
      </c>
      <c r="D257" s="134" t="s">
        <v>63</v>
      </c>
      <c r="E257" s="43"/>
      <c r="F257" s="43"/>
      <c r="G257" s="43"/>
      <c r="H257" s="44"/>
      <c r="I257" s="21">
        <f t="shared" si="46"/>
        <v>0</v>
      </c>
      <c r="J257" s="45">
        <f t="shared" si="47"/>
        <v>0</v>
      </c>
      <c r="K257" s="21" t="str">
        <f t="shared" si="43"/>
        <v>tdk tuntas</v>
      </c>
      <c r="L257" s="210" t="str">
        <f t="shared" si="44"/>
        <v>80</v>
      </c>
      <c r="M257" s="14"/>
      <c r="N257" s="24"/>
      <c r="O257" s="15"/>
      <c r="Q257" s="68" t="str">
        <f t="shared" si="45"/>
        <v>Maulana Rizki Kurniawan</v>
      </c>
      <c r="R257" s="21" t="str">
        <f t="shared" si="48"/>
        <v>85</v>
      </c>
      <c r="S257" s="14"/>
      <c r="T257" s="15" t="s">
        <v>34</v>
      </c>
    </row>
    <row r="258" spans="1:20" ht="12" customHeight="1" x14ac:dyDescent="0.25">
      <c r="A258" s="21">
        <v>16</v>
      </c>
      <c r="B258" s="19"/>
      <c r="C258" s="82" t="str">
        <f>DATA!L25</f>
        <v>Meisya Anindita</v>
      </c>
      <c r="D258" s="248" t="s">
        <v>63</v>
      </c>
      <c r="E258" s="43"/>
      <c r="F258" s="43"/>
      <c r="G258" s="43"/>
      <c r="H258" s="44"/>
      <c r="I258" s="21">
        <f t="shared" si="46"/>
        <v>0</v>
      </c>
      <c r="J258" s="45">
        <f t="shared" si="47"/>
        <v>0</v>
      </c>
      <c r="K258" s="21" t="str">
        <f t="shared" si="43"/>
        <v>tdk tuntas</v>
      </c>
      <c r="L258" s="210" t="str">
        <f t="shared" si="44"/>
        <v>80</v>
      </c>
      <c r="M258" s="14" t="s">
        <v>52</v>
      </c>
      <c r="N258" s="24"/>
      <c r="O258" s="15"/>
      <c r="Q258" s="68" t="str">
        <f t="shared" si="45"/>
        <v>Meisya Anindita</v>
      </c>
      <c r="R258" s="21" t="str">
        <f>IF(I258&lt;$N$10,"84","")</f>
        <v>84</v>
      </c>
      <c r="S258" s="14"/>
      <c r="T258" s="15"/>
    </row>
    <row r="259" spans="1:20" ht="12" customHeight="1" x14ac:dyDescent="0.25">
      <c r="A259" s="21">
        <v>17</v>
      </c>
      <c r="B259" s="19"/>
      <c r="C259" s="82" t="str">
        <f>DATA!L26</f>
        <v>Melilea Azahra</v>
      </c>
      <c r="D259" s="134" t="s">
        <v>63</v>
      </c>
      <c r="E259" s="43"/>
      <c r="F259" s="43"/>
      <c r="G259" s="43"/>
      <c r="H259" s="44"/>
      <c r="I259" s="21">
        <f t="shared" si="46"/>
        <v>0</v>
      </c>
      <c r="J259" s="45">
        <f t="shared" si="47"/>
        <v>0</v>
      </c>
      <c r="K259" s="21" t="str">
        <f t="shared" si="43"/>
        <v>tdk tuntas</v>
      </c>
      <c r="L259" s="210" t="str">
        <f t="shared" si="44"/>
        <v>80</v>
      </c>
      <c r="N259" s="24"/>
      <c r="O259" s="15"/>
      <c r="Q259" s="68" t="str">
        <f t="shared" si="45"/>
        <v>Melilea Azahra</v>
      </c>
      <c r="R259" s="21" t="str">
        <f t="shared" ref="R259:R265" si="49">IF(I259&lt;$N$10,"82","")</f>
        <v>82</v>
      </c>
      <c r="S259" s="14"/>
      <c r="T259" s="63" t="s">
        <v>41</v>
      </c>
    </row>
    <row r="260" spans="1:20" ht="12" customHeight="1" x14ac:dyDescent="0.25">
      <c r="A260" s="21">
        <v>18</v>
      </c>
      <c r="B260" s="19"/>
      <c r="C260" s="82" t="str">
        <f>DATA!L27</f>
        <v>Muhammad Furqon Ashfary</v>
      </c>
      <c r="D260" s="134" t="s">
        <v>63</v>
      </c>
      <c r="E260" s="43"/>
      <c r="F260" s="43"/>
      <c r="G260" s="43"/>
      <c r="H260" s="44"/>
      <c r="I260" s="21">
        <f t="shared" si="46"/>
        <v>0</v>
      </c>
      <c r="J260" s="45">
        <f t="shared" si="47"/>
        <v>0</v>
      </c>
      <c r="K260" s="21" t="str">
        <f t="shared" si="43"/>
        <v>tdk tuntas</v>
      </c>
      <c r="L260" s="210" t="str">
        <f t="shared" si="44"/>
        <v>80</v>
      </c>
      <c r="M260" s="14"/>
      <c r="N260" s="24"/>
      <c r="O260" s="15"/>
      <c r="Q260" s="68" t="str">
        <f t="shared" si="45"/>
        <v>Muhammad Furqon Ashfary</v>
      </c>
      <c r="R260" s="21" t="str">
        <f t="shared" si="49"/>
        <v>82</v>
      </c>
      <c r="S260" s="14"/>
      <c r="T260" s="63"/>
    </row>
    <row r="261" spans="1:20" ht="12" customHeight="1" x14ac:dyDescent="0.25">
      <c r="A261" s="21">
        <v>19</v>
      </c>
      <c r="B261" s="19"/>
      <c r="C261" s="82" t="str">
        <f>DATA!L28</f>
        <v>Muhammad Rizky Fahreza</v>
      </c>
      <c r="D261" s="248" t="s">
        <v>63</v>
      </c>
      <c r="E261" s="43"/>
      <c r="F261" s="43"/>
      <c r="G261" s="43"/>
      <c r="H261" s="44"/>
      <c r="I261" s="21">
        <f t="shared" si="46"/>
        <v>0</v>
      </c>
      <c r="J261" s="45">
        <f t="shared" si="47"/>
        <v>0</v>
      </c>
      <c r="K261" s="21" t="str">
        <f t="shared" si="43"/>
        <v>tdk tuntas</v>
      </c>
      <c r="L261" s="210" t="str">
        <f t="shared" si="44"/>
        <v>80</v>
      </c>
      <c r="M261" s="14"/>
      <c r="N261" s="24"/>
      <c r="O261" s="15"/>
      <c r="Q261" s="68" t="str">
        <f t="shared" si="45"/>
        <v>Muhammad Rizky Fahreza</v>
      </c>
      <c r="R261" s="21" t="str">
        <f t="shared" si="49"/>
        <v>82</v>
      </c>
      <c r="S261" s="14"/>
      <c r="T261" s="63"/>
    </row>
    <row r="262" spans="1:20" ht="12" customHeight="1" x14ac:dyDescent="0.25">
      <c r="A262" s="21">
        <v>20</v>
      </c>
      <c r="B262" s="19"/>
      <c r="C262" s="82" t="str">
        <f>DATA!L29</f>
        <v>Mutiara Yuliyanti</v>
      </c>
      <c r="D262" s="134" t="s">
        <v>63</v>
      </c>
      <c r="E262" s="43"/>
      <c r="F262" s="43"/>
      <c r="G262" s="43"/>
      <c r="H262" s="44"/>
      <c r="I262" s="21">
        <f t="shared" si="46"/>
        <v>0</v>
      </c>
      <c r="J262" s="45">
        <f t="shared" si="47"/>
        <v>0</v>
      </c>
      <c r="K262" s="21" t="str">
        <f t="shared" si="43"/>
        <v>tdk tuntas</v>
      </c>
      <c r="L262" s="210" t="str">
        <f t="shared" si="44"/>
        <v>80</v>
      </c>
      <c r="M262" s="14" t="s">
        <v>53</v>
      </c>
      <c r="N262" s="78">
        <f>I279</f>
        <v>0</v>
      </c>
      <c r="O262" s="15"/>
      <c r="Q262" s="68" t="str">
        <f t="shared" si="45"/>
        <v>Mutiara Yuliyanti</v>
      </c>
      <c r="R262" s="21" t="str">
        <f t="shared" si="49"/>
        <v>82</v>
      </c>
      <c r="S262" s="14"/>
      <c r="T262" s="63"/>
    </row>
    <row r="263" spans="1:20" ht="12" customHeight="1" x14ac:dyDescent="0.25">
      <c r="A263" s="21">
        <v>21</v>
      </c>
      <c r="B263" s="19"/>
      <c r="C263" s="82" t="str">
        <f>DATA!L30</f>
        <v>Nathasya Maharani Putri Agustina</v>
      </c>
      <c r="D263" s="248" t="s">
        <v>63</v>
      </c>
      <c r="E263" s="43"/>
      <c r="F263" s="43"/>
      <c r="G263" s="43"/>
      <c r="H263" s="44"/>
      <c r="I263" s="21">
        <f t="shared" si="46"/>
        <v>0</v>
      </c>
      <c r="J263" s="45">
        <f t="shared" si="47"/>
        <v>0</v>
      </c>
      <c r="K263" s="21" t="str">
        <f t="shared" si="43"/>
        <v>tdk tuntas</v>
      </c>
      <c r="L263" s="210" t="str">
        <f t="shared" si="44"/>
        <v>80</v>
      </c>
      <c r="M263" s="14" t="s">
        <v>54</v>
      </c>
      <c r="N263" s="78">
        <f>I280</f>
        <v>2900</v>
      </c>
      <c r="O263" s="15"/>
      <c r="Q263" s="68" t="str">
        <f t="shared" si="45"/>
        <v>Nathasya Maharani Putri Agustina</v>
      </c>
      <c r="R263" s="21" t="str">
        <f t="shared" si="49"/>
        <v>82</v>
      </c>
      <c r="S263" s="14"/>
      <c r="T263" s="63" t="str">
        <f>T216</f>
        <v>KASMIN, S.Pd</v>
      </c>
    </row>
    <row r="264" spans="1:20" ht="12" customHeight="1" x14ac:dyDescent="0.25">
      <c r="A264" s="21">
        <v>22</v>
      </c>
      <c r="B264" s="19"/>
      <c r="C264" s="82" t="str">
        <f>DATA!L31</f>
        <v>Naysilla Anindya Ramadhani Nayra</v>
      </c>
      <c r="D264" s="248" t="s">
        <v>63</v>
      </c>
      <c r="E264" s="43"/>
      <c r="F264" s="43"/>
      <c r="G264" s="43"/>
      <c r="H264" s="44"/>
      <c r="I264" s="21">
        <f t="shared" si="46"/>
        <v>0</v>
      </c>
      <c r="J264" s="45">
        <f t="shared" si="47"/>
        <v>0</v>
      </c>
      <c r="K264" s="21" t="str">
        <f t="shared" si="43"/>
        <v>tdk tuntas</v>
      </c>
      <c r="L264" s="210" t="str">
        <f t="shared" si="44"/>
        <v>80</v>
      </c>
      <c r="M264" s="14" t="s">
        <v>13</v>
      </c>
      <c r="N264" s="84">
        <f>N262/N263*100</f>
        <v>0</v>
      </c>
      <c r="O264" s="79" t="s">
        <v>4</v>
      </c>
      <c r="Q264" s="68" t="str">
        <f t="shared" si="45"/>
        <v>Naysilla Anindya Ramadhani Nayra</v>
      </c>
      <c r="R264" s="21" t="str">
        <f t="shared" si="49"/>
        <v>82</v>
      </c>
      <c r="S264" s="14"/>
      <c r="T264" s="63" t="str">
        <f>T217</f>
        <v>NIP : 196609141990031007</v>
      </c>
    </row>
    <row r="265" spans="1:20" ht="12" customHeight="1" x14ac:dyDescent="0.25">
      <c r="A265" s="21">
        <v>23</v>
      </c>
      <c r="B265" s="19"/>
      <c r="C265" s="82" t="str">
        <f>DATA!L32</f>
        <v>Qaleesya Juliandhifa Putri Ajisia</v>
      </c>
      <c r="D265" s="248" t="s">
        <v>63</v>
      </c>
      <c r="E265" s="43"/>
      <c r="F265" s="43"/>
      <c r="G265" s="43"/>
      <c r="H265" s="44"/>
      <c r="I265" s="21">
        <f t="shared" si="46"/>
        <v>0</v>
      </c>
      <c r="J265" s="45">
        <f t="shared" si="47"/>
        <v>0</v>
      </c>
      <c r="K265" s="21" t="str">
        <f t="shared" si="43"/>
        <v>tdk tuntas</v>
      </c>
      <c r="L265" s="210" t="str">
        <f t="shared" si="44"/>
        <v>80</v>
      </c>
      <c r="M265" s="14"/>
      <c r="N265" s="24"/>
      <c r="O265" s="15"/>
      <c r="Q265" s="68" t="str">
        <f t="shared" si="45"/>
        <v>Qaleesya Juliandhifa Putri Ajisia</v>
      </c>
      <c r="R265" s="21" t="str">
        <f t="shared" si="49"/>
        <v>82</v>
      </c>
      <c r="S265" s="14"/>
      <c r="T265" s="15"/>
    </row>
    <row r="266" spans="1:20" ht="12" customHeight="1" x14ac:dyDescent="0.25">
      <c r="A266" s="21">
        <v>24</v>
      </c>
      <c r="B266" s="19"/>
      <c r="C266" s="82" t="str">
        <f>DATA!L33</f>
        <v>Rahesya Firmansah</v>
      </c>
      <c r="D266" s="248" t="s">
        <v>63</v>
      </c>
      <c r="E266" s="43"/>
      <c r="F266" s="43"/>
      <c r="G266" s="43"/>
      <c r="H266" s="44"/>
      <c r="I266" s="21">
        <f t="shared" si="46"/>
        <v>0</v>
      </c>
      <c r="J266" s="45">
        <f t="shared" si="47"/>
        <v>0</v>
      </c>
      <c r="K266" s="21" t="str">
        <f t="shared" si="43"/>
        <v>tdk tuntas</v>
      </c>
      <c r="L266" s="210" t="str">
        <f t="shared" si="44"/>
        <v>80</v>
      </c>
      <c r="M266" s="14"/>
      <c r="N266" s="24"/>
      <c r="O266" s="15"/>
      <c r="Q266" s="68" t="str">
        <f t="shared" si="45"/>
        <v>Rahesya Firmansah</v>
      </c>
      <c r="R266" s="21" t="str">
        <f>IF(I266&lt;$N$10,"85","")</f>
        <v>85</v>
      </c>
      <c r="S266" s="14"/>
      <c r="T266" s="63"/>
    </row>
    <row r="267" spans="1:20" ht="12" customHeight="1" x14ac:dyDescent="0.25">
      <c r="A267" s="21">
        <v>25</v>
      </c>
      <c r="B267" s="19"/>
      <c r="C267" s="82" t="str">
        <f>DATA!L34</f>
        <v>Revalino Adhyaqsa Pamungkas</v>
      </c>
      <c r="D267" s="248" t="s">
        <v>63</v>
      </c>
      <c r="E267" s="43"/>
      <c r="F267" s="43"/>
      <c r="G267" s="43"/>
      <c r="H267" s="44"/>
      <c r="I267" s="21">
        <f t="shared" si="46"/>
        <v>0</v>
      </c>
      <c r="J267" s="45">
        <f t="shared" si="47"/>
        <v>0</v>
      </c>
      <c r="K267" s="21" t="str">
        <f t="shared" si="43"/>
        <v>tdk tuntas</v>
      </c>
      <c r="L267" s="210" t="str">
        <f t="shared" si="44"/>
        <v>80</v>
      </c>
      <c r="M267" s="14" t="s">
        <v>14</v>
      </c>
      <c r="N267" s="24"/>
      <c r="O267" s="15"/>
      <c r="Q267" s="68" t="str">
        <f t="shared" si="45"/>
        <v>Revalino Adhyaqsa Pamungkas</v>
      </c>
      <c r="R267" s="21" t="str">
        <f>IF(I267&lt;$N$10,"81","")</f>
        <v>81</v>
      </c>
      <c r="S267" s="14"/>
      <c r="T267" s="63" t="str">
        <f>T220</f>
        <v>Kepala Sekolah</v>
      </c>
    </row>
    <row r="268" spans="1:20" ht="12" customHeight="1" x14ac:dyDescent="0.25">
      <c r="A268" s="21">
        <v>26</v>
      </c>
      <c r="B268" s="19"/>
      <c r="C268" s="82" t="str">
        <f>DATA!L35</f>
        <v>Rokhan Dwi Ma'Arif</v>
      </c>
      <c r="D268" s="248" t="s">
        <v>63</v>
      </c>
      <c r="E268" s="43"/>
      <c r="F268" s="43"/>
      <c r="G268" s="43"/>
      <c r="H268" s="44"/>
      <c r="I268" s="21">
        <f t="shared" si="46"/>
        <v>0</v>
      </c>
      <c r="J268" s="45">
        <f t="shared" si="47"/>
        <v>0</v>
      </c>
      <c r="K268" s="21" t="str">
        <f t="shared" si="43"/>
        <v>tdk tuntas</v>
      </c>
      <c r="L268" s="210" t="str">
        <f t="shared" si="44"/>
        <v>80</v>
      </c>
      <c r="M268" s="14" t="s">
        <v>15</v>
      </c>
      <c r="N268" s="24"/>
      <c r="O268" s="15"/>
      <c r="Q268" s="68" t="str">
        <f t="shared" si="45"/>
        <v>Rokhan Dwi Ma'Arif</v>
      </c>
      <c r="R268" s="21" t="str">
        <f>IF(I268&lt;$N$10,"82","")</f>
        <v>82</v>
      </c>
      <c r="S268" s="14"/>
      <c r="T268" s="63"/>
    </row>
    <row r="269" spans="1:20" ht="12" customHeight="1" x14ac:dyDescent="0.3">
      <c r="A269" s="21">
        <v>27</v>
      </c>
      <c r="B269" s="19"/>
      <c r="C269" s="82" t="str">
        <f>DATA!L36</f>
        <v>Sawung Lintang Kamandanu</v>
      </c>
      <c r="D269" s="248" t="s">
        <v>63</v>
      </c>
      <c r="E269" s="43"/>
      <c r="F269" s="43"/>
      <c r="G269" s="43"/>
      <c r="H269" s="44"/>
      <c r="I269" s="21">
        <f t="shared" si="46"/>
        <v>0</v>
      </c>
      <c r="J269" s="45">
        <f t="shared" si="47"/>
        <v>0</v>
      </c>
      <c r="K269" s="21" t="str">
        <f t="shared" si="43"/>
        <v>tdk tuntas</v>
      </c>
      <c r="L269" s="210" t="str">
        <f t="shared" si="44"/>
        <v>80</v>
      </c>
      <c r="M269" s="155" t="s">
        <v>80</v>
      </c>
      <c r="N269" s="24"/>
      <c r="O269" s="15"/>
      <c r="Q269" s="68" t="str">
        <f t="shared" si="45"/>
        <v>Sawung Lintang Kamandanu</v>
      </c>
      <c r="R269" s="21" t="str">
        <f>IF(I269&lt;$N$10,"82","")</f>
        <v>82</v>
      </c>
      <c r="S269" s="14"/>
      <c r="T269" s="63"/>
    </row>
    <row r="270" spans="1:20" ht="12" customHeight="1" x14ac:dyDescent="0.25">
      <c r="A270" s="21">
        <v>28</v>
      </c>
      <c r="B270" s="19"/>
      <c r="C270" s="82" t="str">
        <f>DATA!L37</f>
        <v>Taufik Hidayat</v>
      </c>
      <c r="D270" s="134" t="s">
        <v>63</v>
      </c>
      <c r="E270" s="43"/>
      <c r="F270" s="43"/>
      <c r="G270" s="43"/>
      <c r="H270" s="44"/>
      <c r="I270" s="21">
        <f t="shared" si="46"/>
        <v>0</v>
      </c>
      <c r="J270" s="45">
        <f t="shared" si="47"/>
        <v>0</v>
      </c>
      <c r="K270" s="21" t="str">
        <f t="shared" si="43"/>
        <v>tdk tuntas</v>
      </c>
      <c r="L270" s="210" t="str">
        <f t="shared" si="44"/>
        <v>80</v>
      </c>
      <c r="M270" s="14"/>
      <c r="N270" s="24"/>
      <c r="O270" s="15"/>
      <c r="Q270" s="68" t="str">
        <f t="shared" si="45"/>
        <v>Taufik Hidayat</v>
      </c>
      <c r="R270" s="21" t="str">
        <f>IF(I270&lt;$N$10,"81","")</f>
        <v>81</v>
      </c>
      <c r="S270" s="14"/>
      <c r="T270" s="63"/>
    </row>
    <row r="271" spans="1:20" ht="12" customHeight="1" x14ac:dyDescent="0.25">
      <c r="A271" s="21">
        <v>29</v>
      </c>
      <c r="B271" s="19"/>
      <c r="C271" s="82" t="str">
        <f>DATA!L38</f>
        <v>Valentino Febrianzah</v>
      </c>
      <c r="D271" s="134" t="s">
        <v>63</v>
      </c>
      <c r="E271" s="43"/>
      <c r="F271" s="43"/>
      <c r="G271" s="43"/>
      <c r="H271" s="44"/>
      <c r="I271" s="21">
        <f t="shared" si="46"/>
        <v>0</v>
      </c>
      <c r="J271" s="45">
        <f t="shared" si="47"/>
        <v>0</v>
      </c>
      <c r="K271" s="21" t="str">
        <f t="shared" si="43"/>
        <v>tdk tuntas</v>
      </c>
      <c r="L271" s="210" t="str">
        <f t="shared" si="44"/>
        <v>80</v>
      </c>
      <c r="M271" s="14"/>
      <c r="N271" s="24"/>
      <c r="O271" s="15"/>
      <c r="Q271" s="68" t="str">
        <f t="shared" si="45"/>
        <v>Valentino Febrianzah</v>
      </c>
      <c r="R271" s="21" t="str">
        <f>IF(I271&lt;$N$10,"85","")</f>
        <v>85</v>
      </c>
      <c r="S271" s="14"/>
      <c r="T271" s="63"/>
    </row>
    <row r="272" spans="1:20" ht="12" customHeight="1" x14ac:dyDescent="0.25">
      <c r="A272" s="21">
        <v>30</v>
      </c>
      <c r="B272" s="19"/>
      <c r="C272" s="82" t="str">
        <f>DATA!L39</f>
        <v>Vega Olivia Ramandhani</v>
      </c>
      <c r="D272" s="248" t="s">
        <v>63</v>
      </c>
      <c r="E272" s="43"/>
      <c r="F272" s="43"/>
      <c r="G272" s="43"/>
      <c r="H272" s="44"/>
      <c r="I272" s="270"/>
      <c r="J272" s="271"/>
      <c r="K272" s="270"/>
      <c r="L272" s="210" t="str">
        <f t="shared" si="44"/>
        <v>80</v>
      </c>
      <c r="M272" s="272"/>
      <c r="N272" s="24"/>
      <c r="O272" s="15"/>
      <c r="Q272" s="68" t="str">
        <f t="shared" si="45"/>
        <v>Vega Olivia Ramandhani</v>
      </c>
      <c r="R272" s="21" t="str">
        <f>IF(I272&lt;$N$10,"84","")</f>
        <v>84</v>
      </c>
      <c r="S272" s="14"/>
      <c r="T272" s="63" t="str">
        <f>T225</f>
        <v>Dra. BAROKAH GUNIARTI</v>
      </c>
    </row>
    <row r="273" spans="1:20" ht="12" customHeight="1" x14ac:dyDescent="0.25">
      <c r="A273" s="21">
        <v>31</v>
      </c>
      <c r="B273" s="19"/>
      <c r="C273" s="82"/>
      <c r="D273" s="134"/>
      <c r="E273" s="43"/>
      <c r="F273" s="43"/>
      <c r="G273" s="43"/>
      <c r="H273" s="44"/>
      <c r="I273" s="21"/>
      <c r="J273" s="45"/>
      <c r="K273" s="21"/>
      <c r="L273" s="210"/>
      <c r="M273" s="14" t="s">
        <v>56</v>
      </c>
      <c r="N273" s="24"/>
      <c r="O273" s="15"/>
      <c r="Q273" s="68">
        <f>C273</f>
        <v>0</v>
      </c>
      <c r="R273" s="21" t="str">
        <f>IF(I273&lt;$N$10,"84","")</f>
        <v>84</v>
      </c>
      <c r="S273" s="14"/>
      <c r="T273" s="63" t="str">
        <f>T226</f>
        <v>NIP : 196901081996122004</v>
      </c>
    </row>
    <row r="274" spans="1:20" ht="12" customHeight="1" x14ac:dyDescent="0.25">
      <c r="A274" s="21">
        <v>32</v>
      </c>
      <c r="B274" s="19"/>
      <c r="C274" s="82"/>
      <c r="D274" s="248"/>
      <c r="E274" s="43"/>
      <c r="F274" s="43"/>
      <c r="G274" s="43"/>
      <c r="H274" s="44"/>
      <c r="I274" s="21"/>
      <c r="J274" s="45"/>
      <c r="K274" s="21"/>
      <c r="L274" s="210"/>
      <c r="M274" s="14"/>
      <c r="N274" s="24"/>
      <c r="O274" s="15"/>
      <c r="Q274" s="68">
        <f>C274</f>
        <v>0</v>
      </c>
      <c r="R274" s="21"/>
      <c r="S274" s="14"/>
      <c r="T274" s="15"/>
    </row>
    <row r="275" spans="1:20" ht="12" customHeight="1" x14ac:dyDescent="0.25">
      <c r="A275" s="21">
        <v>33</v>
      </c>
      <c r="B275" s="19"/>
      <c r="C275" s="82"/>
      <c r="D275" s="42" t="s">
        <v>63</v>
      </c>
      <c r="E275" s="43"/>
      <c r="F275" s="43"/>
      <c r="G275" s="43"/>
      <c r="H275" s="44"/>
      <c r="I275" s="21"/>
      <c r="J275" s="45"/>
      <c r="K275" s="21"/>
      <c r="L275" s="135"/>
      <c r="M275" s="14" t="s">
        <v>16</v>
      </c>
      <c r="N275" s="24"/>
      <c r="O275" s="15"/>
      <c r="Q275" s="68">
        <f>C275</f>
        <v>0</v>
      </c>
      <c r="R275" s="21"/>
      <c r="S275" s="14"/>
      <c r="T275" s="15"/>
    </row>
    <row r="276" spans="1:20" ht="12" customHeight="1" x14ac:dyDescent="0.25">
      <c r="A276" s="21">
        <v>34</v>
      </c>
      <c r="B276" s="19"/>
      <c r="C276" s="82"/>
      <c r="D276" s="42"/>
      <c r="E276" s="43"/>
      <c r="F276" s="43"/>
      <c r="G276" s="43"/>
      <c r="H276" s="44"/>
      <c r="I276" s="21"/>
      <c r="J276" s="45"/>
      <c r="K276" s="21"/>
      <c r="L276" s="135"/>
      <c r="M276" s="14" t="s">
        <v>59</v>
      </c>
      <c r="N276" s="24"/>
      <c r="O276" s="15"/>
      <c r="Q276" s="68"/>
      <c r="R276" s="21"/>
      <c r="S276" s="14"/>
      <c r="T276" s="15"/>
    </row>
    <row r="277" spans="1:20" ht="12" customHeight="1" x14ac:dyDescent="0.25">
      <c r="A277" s="21">
        <v>35</v>
      </c>
      <c r="B277" s="22"/>
      <c r="C277" s="162"/>
      <c r="D277" s="136"/>
      <c r="E277" s="137"/>
      <c r="F277" s="137"/>
      <c r="G277" s="137"/>
      <c r="H277" s="138"/>
      <c r="I277" s="140"/>
      <c r="J277" s="45"/>
      <c r="K277" s="21"/>
      <c r="L277" s="139"/>
      <c r="M277" s="14" t="s">
        <v>23</v>
      </c>
      <c r="N277" s="24"/>
      <c r="O277" s="15"/>
      <c r="Q277" s="68"/>
      <c r="R277" s="21"/>
      <c r="S277" s="16"/>
      <c r="T277" s="17"/>
    </row>
    <row r="278" spans="1:20" ht="12" customHeight="1" x14ac:dyDescent="0.25">
      <c r="A278" s="101" t="s">
        <v>64</v>
      </c>
      <c r="B278" s="96"/>
      <c r="C278" s="97"/>
      <c r="D278" s="93"/>
      <c r="E278" s="94"/>
      <c r="F278" s="94"/>
      <c r="G278" s="94"/>
      <c r="H278" s="95"/>
      <c r="I278" s="98">
        <f>AVERAGE(I243:I277)</f>
        <v>0</v>
      </c>
      <c r="J278" s="74"/>
      <c r="K278" s="47"/>
      <c r="L278" s="65"/>
      <c r="M278" s="14"/>
      <c r="N278" s="24"/>
      <c r="O278" s="15"/>
      <c r="Q278" s="60"/>
      <c r="R278" s="471" t="str">
        <f>C239</f>
        <v>9F</v>
      </c>
      <c r="S278" s="471"/>
      <c r="T278" s="61"/>
    </row>
    <row r="279" spans="1:20" ht="12" customHeight="1" x14ac:dyDescent="0.25">
      <c r="A279" s="14" t="s">
        <v>17</v>
      </c>
      <c r="B279" s="24"/>
      <c r="C279" s="15"/>
      <c r="D279" s="42">
        <f>SUM(D243:D277)</f>
        <v>0</v>
      </c>
      <c r="E279" s="43">
        <f>SUM(E243:E277)</f>
        <v>0</v>
      </c>
      <c r="F279" s="43">
        <f>SUM(F243:F277)</f>
        <v>0</v>
      </c>
      <c r="G279" s="43">
        <f>SUM(G243:G277)</f>
        <v>0</v>
      </c>
      <c r="H279" s="44">
        <f>SUM(H243:H277)</f>
        <v>0</v>
      </c>
      <c r="I279" s="80">
        <f>SUM(D279:H279)</f>
        <v>0</v>
      </c>
      <c r="J279" s="85" t="s">
        <v>49</v>
      </c>
      <c r="K279" s="48">
        <f>COUNTIF(K243:K277,J279)</f>
        <v>0</v>
      </c>
      <c r="L279" s="64"/>
      <c r="M279" s="14"/>
      <c r="N279" s="24"/>
      <c r="O279" s="15"/>
      <c r="Q279" s="30"/>
      <c r="R279" s="472"/>
      <c r="S279" s="472"/>
      <c r="T279" s="31"/>
    </row>
    <row r="280" spans="1:20" ht="12" customHeight="1" x14ac:dyDescent="0.25">
      <c r="A280" s="14" t="s">
        <v>18</v>
      </c>
      <c r="B280" s="24"/>
      <c r="C280" s="15"/>
      <c r="D280" s="42">
        <f>D241*K281</f>
        <v>580</v>
      </c>
      <c r="E280" s="42">
        <f>E241*K281</f>
        <v>580</v>
      </c>
      <c r="F280" s="42">
        <f>F241*K281</f>
        <v>580</v>
      </c>
      <c r="G280" s="42">
        <f>G241*K281</f>
        <v>580</v>
      </c>
      <c r="H280" s="42">
        <f>H241*K281</f>
        <v>580</v>
      </c>
      <c r="I280" s="80">
        <f>SUM(D280:H280)</f>
        <v>2900</v>
      </c>
      <c r="J280" s="86" t="s">
        <v>50</v>
      </c>
      <c r="K280" s="48">
        <f>COUNTIF(K243:K277,J280)</f>
        <v>29</v>
      </c>
      <c r="L280" s="64"/>
      <c r="M280" s="14"/>
      <c r="N280" s="24"/>
      <c r="O280" s="15"/>
      <c r="Q280" s="30"/>
      <c r="R280" s="472"/>
      <c r="S280" s="472"/>
      <c r="T280" s="31"/>
    </row>
    <row r="281" spans="1:20" ht="12" customHeight="1" x14ac:dyDescent="0.25">
      <c r="A281" s="26" t="s">
        <v>19</v>
      </c>
      <c r="B281" s="27"/>
      <c r="C281" s="28"/>
      <c r="D281" s="136">
        <f t="shared" ref="D281:I281" si="50">D279/D280*100</f>
        <v>0</v>
      </c>
      <c r="E281" s="136">
        <f t="shared" si="50"/>
        <v>0</v>
      </c>
      <c r="F281" s="136">
        <f t="shared" si="50"/>
        <v>0</v>
      </c>
      <c r="G281" s="136">
        <f t="shared" si="50"/>
        <v>0</v>
      </c>
      <c r="H281" s="136">
        <f t="shared" si="50"/>
        <v>0</v>
      </c>
      <c r="I281" s="50">
        <f t="shared" si="50"/>
        <v>0</v>
      </c>
      <c r="J281" s="75" t="s">
        <v>57</v>
      </c>
      <c r="K281" s="49">
        <f>SUM(K279:K280)</f>
        <v>29</v>
      </c>
      <c r="L281" s="66"/>
      <c r="M281" s="16"/>
      <c r="N281" s="25"/>
      <c r="O281" s="17"/>
      <c r="Q281" s="8"/>
      <c r="R281" s="473"/>
      <c r="S281" s="473"/>
      <c r="T281" s="9"/>
    </row>
    <row r="282" spans="1:20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</sheetData>
  <mergeCells count="48">
    <mergeCell ref="R43:S46"/>
    <mergeCell ref="R90:S93"/>
    <mergeCell ref="R184:S187"/>
    <mergeCell ref="R278:S281"/>
    <mergeCell ref="R231:S234"/>
    <mergeCell ref="R137:S140"/>
    <mergeCell ref="A236:O236"/>
    <mergeCell ref="Q236:T236"/>
    <mergeCell ref="A237:O237"/>
    <mergeCell ref="Q237:T237"/>
    <mergeCell ref="R239:S239"/>
    <mergeCell ref="M240:O242"/>
    <mergeCell ref="S241:T241"/>
    <mergeCell ref="A1:O1"/>
    <mergeCell ref="Q1:T1"/>
    <mergeCell ref="A2:O2"/>
    <mergeCell ref="Q2:T2"/>
    <mergeCell ref="M5:O7"/>
    <mergeCell ref="S6:T6"/>
    <mergeCell ref="R4:S4"/>
    <mergeCell ref="A48:O48"/>
    <mergeCell ref="Q48:T48"/>
    <mergeCell ref="A49:O49"/>
    <mergeCell ref="Q49:T49"/>
    <mergeCell ref="R51:S51"/>
    <mergeCell ref="M52:O54"/>
    <mergeCell ref="S53:T53"/>
    <mergeCell ref="A95:O95"/>
    <mergeCell ref="Q95:T95"/>
    <mergeCell ref="A96:O96"/>
    <mergeCell ref="Q96:T96"/>
    <mergeCell ref="R98:S98"/>
    <mergeCell ref="M99:O101"/>
    <mergeCell ref="S100:T100"/>
    <mergeCell ref="A142:O142"/>
    <mergeCell ref="Q142:T142"/>
    <mergeCell ref="A143:O143"/>
    <mergeCell ref="Q143:T143"/>
    <mergeCell ref="R145:S145"/>
    <mergeCell ref="M146:O148"/>
    <mergeCell ref="S147:T147"/>
    <mergeCell ref="A189:O189"/>
    <mergeCell ref="Q189:T189"/>
    <mergeCell ref="A190:O190"/>
    <mergeCell ref="Q190:T190"/>
    <mergeCell ref="R192:S192"/>
    <mergeCell ref="M193:O195"/>
    <mergeCell ref="S194:T194"/>
  </mergeCells>
  <pageMargins left="0.39" right="0.21" top="0.32" bottom="0.3" header="0.12" footer="0.11"/>
  <pageSetup paperSize="5" orientation="landscape" horizontalDpi="0" verticalDpi="0" r:id="rId1"/>
  <drawing r:id="rId2"/>
  <legacyDrawing r:id="rId3"/>
  <oleObjects>
    <mc:AlternateContent xmlns:mc="http://schemas.openxmlformats.org/markup-compatibility/2006">
      <mc:Choice Requires="x14">
        <oleObject progId="Equation.3" shapeId="3075" r:id="rId4">
          <objectPr defaultSize="0" autoPict="0" r:id="rId5">
            <anchor moveWithCells="1" sizeWithCells="1">
              <from>
                <xdr:col>12</xdr:col>
                <xdr:colOff>0</xdr:colOff>
                <xdr:row>61</xdr:row>
                <xdr:rowOff>127000</xdr:rowOff>
              </from>
              <to>
                <xdr:col>14</xdr:col>
                <xdr:colOff>120650</xdr:colOff>
                <xdr:row>64</xdr:row>
                <xdr:rowOff>31750</xdr:rowOff>
              </to>
            </anchor>
          </objectPr>
        </oleObject>
      </mc:Choice>
      <mc:Fallback>
        <oleObject progId="Equation.3" shapeId="3075" r:id="rId4"/>
      </mc:Fallback>
    </mc:AlternateContent>
    <mc:AlternateContent xmlns:mc="http://schemas.openxmlformats.org/markup-compatibility/2006">
      <mc:Choice Requires="x14">
        <oleObject progId="Equation.3" shapeId="3076" r:id="rId6">
          <objectPr defaultSize="0" autoPict="0" r:id="rId7">
            <anchor moveWithCells="1" sizeWithCells="1">
              <from>
                <xdr:col>12</xdr:col>
                <xdr:colOff>19050</xdr:colOff>
                <xdr:row>70</xdr:row>
                <xdr:rowOff>0</xdr:rowOff>
              </from>
              <to>
                <xdr:col>14</xdr:col>
                <xdr:colOff>101600</xdr:colOff>
                <xdr:row>72</xdr:row>
                <xdr:rowOff>12700</xdr:rowOff>
              </to>
            </anchor>
          </objectPr>
        </oleObject>
      </mc:Choice>
      <mc:Fallback>
        <oleObject progId="Equation.3" shapeId="3076" r:id="rId6"/>
      </mc:Fallback>
    </mc:AlternateContent>
    <mc:AlternateContent xmlns:mc="http://schemas.openxmlformats.org/markup-compatibility/2006">
      <mc:Choice Requires="x14">
        <oleObject progId="Equation.3" shapeId="3077" r:id="rId8">
          <objectPr defaultSize="0" autoPict="0" r:id="rId5">
            <anchor moveWithCells="1" sizeWithCells="1">
              <from>
                <xdr:col>12</xdr:col>
                <xdr:colOff>0</xdr:colOff>
                <xdr:row>108</xdr:row>
                <xdr:rowOff>127000</xdr:rowOff>
              </from>
              <to>
                <xdr:col>14</xdr:col>
                <xdr:colOff>120650</xdr:colOff>
                <xdr:row>111</xdr:row>
                <xdr:rowOff>31750</xdr:rowOff>
              </to>
            </anchor>
          </objectPr>
        </oleObject>
      </mc:Choice>
      <mc:Fallback>
        <oleObject progId="Equation.3" shapeId="3077" r:id="rId8"/>
      </mc:Fallback>
    </mc:AlternateContent>
    <mc:AlternateContent xmlns:mc="http://schemas.openxmlformats.org/markup-compatibility/2006">
      <mc:Choice Requires="x14">
        <oleObject progId="Equation.3" shapeId="3078" r:id="rId9">
          <objectPr defaultSize="0" autoPict="0" r:id="rId7">
            <anchor moveWithCells="1" sizeWithCells="1">
              <from>
                <xdr:col>12</xdr:col>
                <xdr:colOff>19050</xdr:colOff>
                <xdr:row>117</xdr:row>
                <xdr:rowOff>0</xdr:rowOff>
              </from>
              <to>
                <xdr:col>14</xdr:col>
                <xdr:colOff>101600</xdr:colOff>
                <xdr:row>119</xdr:row>
                <xdr:rowOff>12700</xdr:rowOff>
              </to>
            </anchor>
          </objectPr>
        </oleObject>
      </mc:Choice>
      <mc:Fallback>
        <oleObject progId="Equation.3" shapeId="3078" r:id="rId9"/>
      </mc:Fallback>
    </mc:AlternateContent>
    <mc:AlternateContent xmlns:mc="http://schemas.openxmlformats.org/markup-compatibility/2006">
      <mc:Choice Requires="x14">
        <oleObject progId="Equation.3" shapeId="3079" r:id="rId10">
          <objectPr defaultSize="0" autoPict="0" r:id="rId5">
            <anchor moveWithCells="1" sizeWithCells="1">
              <from>
                <xdr:col>12</xdr:col>
                <xdr:colOff>0</xdr:colOff>
                <xdr:row>155</xdr:row>
                <xdr:rowOff>127000</xdr:rowOff>
              </from>
              <to>
                <xdr:col>14</xdr:col>
                <xdr:colOff>120650</xdr:colOff>
                <xdr:row>158</xdr:row>
                <xdr:rowOff>31750</xdr:rowOff>
              </to>
            </anchor>
          </objectPr>
        </oleObject>
      </mc:Choice>
      <mc:Fallback>
        <oleObject progId="Equation.3" shapeId="3079" r:id="rId10"/>
      </mc:Fallback>
    </mc:AlternateContent>
    <mc:AlternateContent xmlns:mc="http://schemas.openxmlformats.org/markup-compatibility/2006">
      <mc:Choice Requires="x14">
        <oleObject progId="Equation.3" shapeId="3080" r:id="rId11">
          <objectPr defaultSize="0" autoPict="0" r:id="rId7">
            <anchor moveWithCells="1" sizeWithCells="1">
              <from>
                <xdr:col>12</xdr:col>
                <xdr:colOff>19050</xdr:colOff>
                <xdr:row>164</xdr:row>
                <xdr:rowOff>0</xdr:rowOff>
              </from>
              <to>
                <xdr:col>14</xdr:col>
                <xdr:colOff>101600</xdr:colOff>
                <xdr:row>166</xdr:row>
                <xdr:rowOff>12700</xdr:rowOff>
              </to>
            </anchor>
          </objectPr>
        </oleObject>
      </mc:Choice>
      <mc:Fallback>
        <oleObject progId="Equation.3" shapeId="3080" r:id="rId11"/>
      </mc:Fallback>
    </mc:AlternateContent>
    <mc:AlternateContent xmlns:mc="http://schemas.openxmlformats.org/markup-compatibility/2006">
      <mc:Choice Requires="x14">
        <oleObject progId="Equation.3" shapeId="3087" r:id="rId12">
          <objectPr defaultSize="0" autoPict="0" r:id="rId5">
            <anchor moveWithCells="1" sizeWithCells="1">
              <from>
                <xdr:col>12</xdr:col>
                <xdr:colOff>0</xdr:colOff>
                <xdr:row>202</xdr:row>
                <xdr:rowOff>114300</xdr:rowOff>
              </from>
              <to>
                <xdr:col>14</xdr:col>
                <xdr:colOff>120650</xdr:colOff>
                <xdr:row>205</xdr:row>
                <xdr:rowOff>19050</xdr:rowOff>
              </to>
            </anchor>
          </objectPr>
        </oleObject>
      </mc:Choice>
      <mc:Fallback>
        <oleObject progId="Equation.3" shapeId="3087" r:id="rId12"/>
      </mc:Fallback>
    </mc:AlternateContent>
    <mc:AlternateContent xmlns:mc="http://schemas.openxmlformats.org/markup-compatibility/2006">
      <mc:Choice Requires="x14">
        <oleObject progId="Equation.3" shapeId="3088" r:id="rId13">
          <objectPr defaultSize="0" autoPict="0" r:id="rId7">
            <anchor moveWithCells="1" sizeWithCells="1">
              <from>
                <xdr:col>12</xdr:col>
                <xdr:colOff>19050</xdr:colOff>
                <xdr:row>211</xdr:row>
                <xdr:rowOff>0</xdr:rowOff>
              </from>
              <to>
                <xdr:col>14</xdr:col>
                <xdr:colOff>101600</xdr:colOff>
                <xdr:row>213</xdr:row>
                <xdr:rowOff>12700</xdr:rowOff>
              </to>
            </anchor>
          </objectPr>
        </oleObject>
      </mc:Choice>
      <mc:Fallback>
        <oleObject progId="Equation.3" shapeId="3088" r:id="rId13"/>
      </mc:Fallback>
    </mc:AlternateContent>
    <mc:AlternateContent xmlns:mc="http://schemas.openxmlformats.org/markup-compatibility/2006">
      <mc:Choice Requires="x14">
        <oleObject progId="Equation.3" shapeId="15930" r:id="rId14">
          <objectPr defaultSize="0" autoPict="0" r:id="rId5">
            <anchor moveWithCells="1" sizeWithCells="1">
              <from>
                <xdr:col>12</xdr:col>
                <xdr:colOff>0</xdr:colOff>
                <xdr:row>249</xdr:row>
                <xdr:rowOff>127000</xdr:rowOff>
              </from>
              <to>
                <xdr:col>14</xdr:col>
                <xdr:colOff>120650</xdr:colOff>
                <xdr:row>252</xdr:row>
                <xdr:rowOff>31750</xdr:rowOff>
              </to>
            </anchor>
          </objectPr>
        </oleObject>
      </mc:Choice>
      <mc:Fallback>
        <oleObject progId="Equation.3" shapeId="15930" r:id="rId14"/>
      </mc:Fallback>
    </mc:AlternateContent>
    <mc:AlternateContent xmlns:mc="http://schemas.openxmlformats.org/markup-compatibility/2006">
      <mc:Choice Requires="x14">
        <oleObject progId="Equation.3" shapeId="15931" r:id="rId15">
          <objectPr defaultSize="0" autoPict="0" r:id="rId7">
            <anchor moveWithCells="1" sizeWithCells="1">
              <from>
                <xdr:col>12</xdr:col>
                <xdr:colOff>19050</xdr:colOff>
                <xdr:row>258</xdr:row>
                <xdr:rowOff>50800</xdr:rowOff>
              </from>
              <to>
                <xdr:col>14</xdr:col>
                <xdr:colOff>101600</xdr:colOff>
                <xdr:row>260</xdr:row>
                <xdr:rowOff>57150</xdr:rowOff>
              </to>
            </anchor>
          </objectPr>
        </oleObject>
      </mc:Choice>
      <mc:Fallback>
        <oleObject progId="Equation.3" shapeId="15931" r:id="rId15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4CDC-DCAA-4F24-94D3-BC973D60CC92}">
  <dimension ref="A1:T282"/>
  <sheetViews>
    <sheetView topLeftCell="C1" zoomScaleNormal="100" workbookViewId="0">
      <selection activeCell="L21" sqref="L21"/>
    </sheetView>
  </sheetViews>
  <sheetFormatPr defaultRowHeight="12.5" x14ac:dyDescent="0.25"/>
  <cols>
    <col min="1" max="1" width="4" customWidth="1"/>
    <col min="2" max="2" width="3.26953125" customWidth="1"/>
    <col min="3" max="3" width="17.81640625" customWidth="1"/>
    <col min="4" max="8" width="3.7265625" customWidth="1"/>
    <col min="9" max="9" width="6" customWidth="1"/>
    <col min="10" max="10" width="5.81640625" customWidth="1"/>
    <col min="12" max="12" width="8.453125" customWidth="1"/>
    <col min="13" max="13" width="21" customWidth="1"/>
    <col min="14" max="14" width="6" customWidth="1"/>
    <col min="15" max="15" width="8.1796875" customWidth="1"/>
    <col min="16" max="16" width="3.7265625" customWidth="1"/>
    <col min="17" max="17" width="17.1796875" customWidth="1"/>
    <col min="18" max="18" width="6.26953125" customWidth="1"/>
    <col min="19" max="19" width="3.81640625" customWidth="1"/>
    <col min="20" max="20" width="25.54296875" customWidth="1"/>
  </cols>
  <sheetData>
    <row r="1" spans="1:20" ht="12" customHeight="1" x14ac:dyDescent="0.25">
      <c r="A1" s="453" t="str">
        <f>'UH1'!A1</f>
        <v>ANALISA HASIL PH MATEMATIKA KLS IX  SMT GENAP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5"/>
      <c r="Q1" s="456" t="s">
        <v>40</v>
      </c>
      <c r="R1" s="457"/>
      <c r="S1" s="457"/>
      <c r="T1" s="458"/>
    </row>
    <row r="2" spans="1:20" ht="12" customHeight="1" x14ac:dyDescent="0.25">
      <c r="A2" s="453" t="str">
        <f>'UH1'!A2</f>
        <v>SMP I LIMBANGAN  TH 2025/2026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5"/>
      <c r="Q2" s="453" t="s">
        <v>61</v>
      </c>
      <c r="R2" s="454"/>
      <c r="S2" s="454"/>
      <c r="T2" s="455"/>
    </row>
    <row r="3" spans="1:20" ht="12" customHeight="1" x14ac:dyDescent="0.25"/>
    <row r="4" spans="1:20" ht="12" customHeight="1" x14ac:dyDescent="0.25">
      <c r="A4" s="99" t="s">
        <v>66</v>
      </c>
      <c r="C4" s="102" t="str">
        <f>DATA!B8</f>
        <v>9A</v>
      </c>
      <c r="D4" t="s">
        <v>21</v>
      </c>
      <c r="F4" s="89">
        <v>4</v>
      </c>
      <c r="I4" t="s">
        <v>20</v>
      </c>
      <c r="J4" s="90"/>
      <c r="K4" s="88"/>
      <c r="M4" s="1" t="s">
        <v>60</v>
      </c>
      <c r="N4" s="91">
        <v>1</v>
      </c>
      <c r="Q4" t="s">
        <v>28</v>
      </c>
      <c r="R4" s="470"/>
      <c r="S4" s="470"/>
    </row>
    <row r="5" spans="1:20" ht="12" customHeight="1" x14ac:dyDescent="0.25">
      <c r="A5" s="2"/>
      <c r="B5" s="2"/>
      <c r="C5" s="3" t="s">
        <v>7</v>
      </c>
      <c r="D5" s="32">
        <v>1</v>
      </c>
      <c r="E5" s="33">
        <v>2</v>
      </c>
      <c r="F5" s="33">
        <v>3</v>
      </c>
      <c r="G5" s="33">
        <v>4</v>
      </c>
      <c r="H5" s="34">
        <v>5</v>
      </c>
      <c r="I5" s="35" t="s">
        <v>3</v>
      </c>
      <c r="J5" s="4" t="s">
        <v>4</v>
      </c>
      <c r="K5" s="53" t="s">
        <v>83</v>
      </c>
      <c r="L5" s="35" t="s">
        <v>43</v>
      </c>
      <c r="M5" s="459" t="s">
        <v>9</v>
      </c>
      <c r="N5" s="460"/>
      <c r="O5" s="461"/>
      <c r="Q5" s="2"/>
      <c r="R5" s="35" t="s">
        <v>24</v>
      </c>
      <c r="S5" s="60"/>
      <c r="T5" s="61"/>
    </row>
    <row r="6" spans="1:20" ht="12" customHeight="1" x14ac:dyDescent="0.25">
      <c r="A6" s="6" t="s">
        <v>0</v>
      </c>
      <c r="B6" s="6" t="s">
        <v>1</v>
      </c>
      <c r="C6" s="5" t="s">
        <v>8</v>
      </c>
      <c r="D6" s="55">
        <v>20</v>
      </c>
      <c r="E6" s="56">
        <v>20</v>
      </c>
      <c r="F6" s="56">
        <v>20</v>
      </c>
      <c r="G6" s="56">
        <v>20</v>
      </c>
      <c r="H6" s="57">
        <v>20</v>
      </c>
      <c r="I6" s="21">
        <f>SUM(D6:H6)</f>
        <v>100</v>
      </c>
      <c r="J6" s="6" t="s">
        <v>5</v>
      </c>
      <c r="K6" s="52" t="s">
        <v>22</v>
      </c>
      <c r="L6" s="11" t="s">
        <v>44</v>
      </c>
      <c r="M6" s="462"/>
      <c r="N6" s="463"/>
      <c r="O6" s="464"/>
      <c r="Q6" s="6" t="s">
        <v>2</v>
      </c>
      <c r="R6" s="11" t="s">
        <v>25</v>
      </c>
      <c r="S6" s="468" t="s">
        <v>27</v>
      </c>
      <c r="T6" s="469"/>
    </row>
    <row r="7" spans="1:20" ht="12" customHeight="1" x14ac:dyDescent="0.25">
      <c r="A7" s="6"/>
      <c r="B7" s="6"/>
      <c r="C7" s="51" t="s">
        <v>2</v>
      </c>
      <c r="D7" s="36"/>
      <c r="E7" s="37"/>
      <c r="F7" s="37"/>
      <c r="G7" s="37"/>
      <c r="H7" s="38"/>
      <c r="I7" s="11"/>
      <c r="J7" s="6" t="s">
        <v>6</v>
      </c>
      <c r="K7" s="54"/>
      <c r="L7" s="59" t="s">
        <v>45</v>
      </c>
      <c r="M7" s="465"/>
      <c r="N7" s="466"/>
      <c r="O7" s="467"/>
      <c r="Q7" s="7"/>
      <c r="R7" s="59" t="s">
        <v>26</v>
      </c>
      <c r="S7" s="8"/>
      <c r="T7" s="9"/>
    </row>
    <row r="8" spans="1:20" ht="12" customHeight="1" x14ac:dyDescent="0.25">
      <c r="A8" s="20">
        <v>1</v>
      </c>
      <c r="B8" s="18"/>
      <c r="C8" s="81" t="str">
        <f>DATA!B10</f>
        <v>Affan Bagus Ramadhani</v>
      </c>
      <c r="D8" s="39" t="s">
        <v>63</v>
      </c>
      <c r="E8" s="40"/>
      <c r="F8" s="40"/>
      <c r="G8" s="40"/>
      <c r="H8" s="41"/>
      <c r="I8" s="20">
        <f>SUM(D8:H8)</f>
        <v>0</v>
      </c>
      <c r="J8" s="46">
        <f>I8</f>
        <v>0</v>
      </c>
      <c r="K8" s="21" t="str">
        <f>IF(J8&lt;$N$10,"tdk tuntas","tuntas")</f>
        <v>tdk tuntas</v>
      </c>
      <c r="L8" s="132" t="str">
        <f>IF(J8&lt;=39.9,"77",IF(J8&lt;=59.9,"78",IF(J8&lt;=69.9,"79",IF(J8&lt;=74.9,"79",IF(J8&lt;=78.9,"79",IF(J8&lt;=78.9,"79",IF(J8&gt;=78.9,J8," ")))))))</f>
        <v>77</v>
      </c>
      <c r="M8" s="141" t="s">
        <v>63</v>
      </c>
      <c r="N8" s="23"/>
      <c r="O8" s="13"/>
      <c r="Q8" s="67" t="str">
        <f>C8</f>
        <v>Affan Bagus Ramadhani</v>
      </c>
      <c r="R8" s="21" t="str">
        <f>IF(I8&lt;$N$10,"80","")</f>
        <v>80</v>
      </c>
      <c r="S8" s="12"/>
      <c r="T8" s="13"/>
    </row>
    <row r="9" spans="1:20" ht="12" customHeight="1" x14ac:dyDescent="0.25">
      <c r="A9" s="21">
        <v>2</v>
      </c>
      <c r="B9" s="19"/>
      <c r="C9" s="82" t="str">
        <f>DATA!B11</f>
        <v>Affansa Rayya Assalafi</v>
      </c>
      <c r="D9" s="42" t="s">
        <v>63</v>
      </c>
      <c r="E9" s="43"/>
      <c r="F9" s="43"/>
      <c r="G9" s="43"/>
      <c r="H9" s="44"/>
      <c r="I9" s="21">
        <f t="shared" ref="I9:I41" si="0">SUM(D9:H9)</f>
        <v>0</v>
      </c>
      <c r="J9" s="45">
        <f t="shared" ref="J9:J34" si="1">I9</f>
        <v>0</v>
      </c>
      <c r="K9" s="21" t="str">
        <f t="shared" ref="K9:K34" si="2">IF(J9&lt;$N$10,"tdk tuntas","tuntas")</f>
        <v>tdk tuntas</v>
      </c>
      <c r="L9" s="135" t="str">
        <f t="shared" ref="L9:L42" si="3">IF(J9&lt;=39.9,"77",IF(J9&lt;=59.9,"78",IF(J9&lt;=69.9,"79",IF(J9&lt;=74.9,"79",IF(J9&lt;=78.9,"79",IF(J9&lt;=78.9,"79",IF(J9&gt;=78.9,J9," ")))))))</f>
        <v>77</v>
      </c>
      <c r="M9" s="14"/>
      <c r="N9" s="24"/>
      <c r="O9" s="15"/>
      <c r="Q9" s="68" t="str">
        <f t="shared" ref="Q9:Q42" si="4">C9</f>
        <v>Affansa Rayya Assalafi</v>
      </c>
      <c r="R9" s="21" t="str">
        <f>IF(I9&lt;$N$10,"79","")</f>
        <v>79</v>
      </c>
      <c r="S9" s="14" t="s">
        <v>29</v>
      </c>
      <c r="T9" s="15"/>
    </row>
    <row r="10" spans="1:20" ht="12" customHeight="1" thickBot="1" x14ac:dyDescent="0.35">
      <c r="A10" s="21">
        <v>3</v>
      </c>
      <c r="B10" s="19"/>
      <c r="C10" s="82" t="str">
        <f>DATA!B12</f>
        <v>Agel Fransiska</v>
      </c>
      <c r="D10" s="42" t="s">
        <v>63</v>
      </c>
      <c r="E10" s="43"/>
      <c r="F10" s="43"/>
      <c r="G10" s="43"/>
      <c r="H10" s="44"/>
      <c r="I10" s="21">
        <f t="shared" si="0"/>
        <v>0</v>
      </c>
      <c r="J10" s="45">
        <f t="shared" si="1"/>
        <v>0</v>
      </c>
      <c r="K10" s="21" t="str">
        <f t="shared" si="2"/>
        <v>tdk tuntas</v>
      </c>
      <c r="L10" s="135" t="str">
        <f t="shared" si="3"/>
        <v>77</v>
      </c>
      <c r="M10" s="70" t="s">
        <v>62</v>
      </c>
      <c r="N10" s="76">
        <f>DATA!F4</f>
        <v>80</v>
      </c>
      <c r="O10" s="15"/>
      <c r="Q10" s="68" t="str">
        <f t="shared" si="4"/>
        <v>Agel Fransiska</v>
      </c>
      <c r="R10" s="21" t="str">
        <f>IF(I10&lt;$N$10,"81","")</f>
        <v>81</v>
      </c>
      <c r="S10" s="26"/>
      <c r="T10" s="15"/>
    </row>
    <row r="11" spans="1:20" ht="12" customHeight="1" thickTop="1" thickBot="1" x14ac:dyDescent="0.3">
      <c r="A11" s="21">
        <v>4</v>
      </c>
      <c r="B11" s="19"/>
      <c r="C11" s="82" t="str">
        <f>DATA!B13</f>
        <v>Alfin Putra Firmansyah</v>
      </c>
      <c r="D11" s="42" t="s">
        <v>63</v>
      </c>
      <c r="E11" s="43"/>
      <c r="F11" s="43"/>
      <c r="G11" s="43"/>
      <c r="H11" s="44"/>
      <c r="I11" s="21">
        <f t="shared" si="0"/>
        <v>0</v>
      </c>
      <c r="J11" s="45">
        <f t="shared" si="1"/>
        <v>0</v>
      </c>
      <c r="K11" s="21" t="str">
        <f t="shared" si="2"/>
        <v>tdk tuntas</v>
      </c>
      <c r="L11" s="135" t="str">
        <f t="shared" si="3"/>
        <v>77</v>
      </c>
      <c r="M11" s="14"/>
      <c r="N11" s="24"/>
      <c r="O11" s="15"/>
      <c r="Q11" s="68" t="str">
        <f t="shared" si="4"/>
        <v>Alfin Putra Firmansyah</v>
      </c>
      <c r="R11" s="21" t="str">
        <f t="shared" ref="R11:R16" si="5">IF(I11&lt;$N$10,"79","")</f>
        <v>79</v>
      </c>
      <c r="S11" s="62"/>
      <c r="T11" s="15" t="s">
        <v>35</v>
      </c>
    </row>
    <row r="12" spans="1:20" ht="12" customHeight="1" thickTop="1" thickBot="1" x14ac:dyDescent="0.3">
      <c r="A12" s="21">
        <v>5</v>
      </c>
      <c r="B12" s="19"/>
      <c r="C12" s="82" t="str">
        <f>DATA!B14</f>
        <v>Almira Sadia Qonitah</v>
      </c>
      <c r="D12" s="42" t="s">
        <v>63</v>
      </c>
      <c r="E12" s="43"/>
      <c r="F12" s="43"/>
      <c r="G12" s="43"/>
      <c r="H12" s="44"/>
      <c r="I12" s="21">
        <f t="shared" si="0"/>
        <v>0</v>
      </c>
      <c r="J12" s="45">
        <f t="shared" si="1"/>
        <v>0</v>
      </c>
      <c r="K12" s="21" t="str">
        <f t="shared" si="2"/>
        <v>tdk tuntas</v>
      </c>
      <c r="L12" s="135" t="str">
        <f t="shared" si="3"/>
        <v>77</v>
      </c>
      <c r="M12" s="14"/>
      <c r="N12" s="24"/>
      <c r="O12" s="15"/>
      <c r="Q12" s="68" t="str">
        <f t="shared" si="4"/>
        <v>Almira Sadia Qonitah</v>
      </c>
      <c r="R12" s="21" t="str">
        <f t="shared" si="5"/>
        <v>79</v>
      </c>
      <c r="S12" s="62"/>
      <c r="T12" s="15" t="s">
        <v>38</v>
      </c>
    </row>
    <row r="13" spans="1:20" ht="12" customHeight="1" thickTop="1" thickBot="1" x14ac:dyDescent="0.3">
      <c r="A13" s="21">
        <v>6</v>
      </c>
      <c r="B13" s="19"/>
      <c r="C13" s="82" t="str">
        <f>DATA!B15</f>
        <v>Arif Perdana Putra</v>
      </c>
      <c r="D13" s="42" t="s">
        <v>63</v>
      </c>
      <c r="E13" s="43"/>
      <c r="F13" s="43"/>
      <c r="G13" s="43"/>
      <c r="H13" s="44"/>
      <c r="I13" s="21">
        <f t="shared" si="0"/>
        <v>0</v>
      </c>
      <c r="J13" s="45">
        <f t="shared" si="1"/>
        <v>0</v>
      </c>
      <c r="K13" s="21" t="str">
        <f t="shared" si="2"/>
        <v>tdk tuntas</v>
      </c>
      <c r="L13" s="135" t="str">
        <f t="shared" si="3"/>
        <v>77</v>
      </c>
      <c r="M13" s="14" t="s">
        <v>10</v>
      </c>
      <c r="N13" s="24"/>
      <c r="O13" s="15"/>
      <c r="Q13" s="68" t="str">
        <f t="shared" si="4"/>
        <v>Arif Perdana Putra</v>
      </c>
      <c r="R13" s="21" t="str">
        <f t="shared" si="5"/>
        <v>79</v>
      </c>
      <c r="S13" s="14"/>
      <c r="T13" s="15" t="s">
        <v>39</v>
      </c>
    </row>
    <row r="14" spans="1:20" ht="12" customHeight="1" thickTop="1" thickBot="1" x14ac:dyDescent="0.35">
      <c r="A14" s="21">
        <v>7</v>
      </c>
      <c r="B14" s="19"/>
      <c r="C14" s="82" t="str">
        <f>DATA!B16</f>
        <v>Asifa Nariyati</v>
      </c>
      <c r="D14" s="42" t="s">
        <v>63</v>
      </c>
      <c r="E14" s="43"/>
      <c r="F14" s="43"/>
      <c r="G14" s="43"/>
      <c r="H14" s="44"/>
      <c r="I14" s="21">
        <f t="shared" si="0"/>
        <v>0</v>
      </c>
      <c r="J14" s="45">
        <f t="shared" si="1"/>
        <v>0</v>
      </c>
      <c r="K14" s="21" t="str">
        <f t="shared" si="2"/>
        <v>tdk tuntas</v>
      </c>
      <c r="L14" s="135" t="str">
        <f t="shared" si="3"/>
        <v>77</v>
      </c>
      <c r="M14" s="14"/>
      <c r="N14" s="24"/>
      <c r="O14" s="15"/>
      <c r="Q14" s="68" t="str">
        <f t="shared" si="4"/>
        <v>Asifa Nariyati</v>
      </c>
      <c r="R14" s="21" t="str">
        <f t="shared" si="5"/>
        <v>79</v>
      </c>
      <c r="S14" s="71" t="s">
        <v>46</v>
      </c>
      <c r="T14" s="73" t="s">
        <v>36</v>
      </c>
    </row>
    <row r="15" spans="1:20" ht="12" customHeight="1" thickTop="1" x14ac:dyDescent="0.3">
      <c r="A15" s="21">
        <v>8</v>
      </c>
      <c r="B15" s="19"/>
      <c r="C15" s="82" t="str">
        <f>DATA!B17</f>
        <v>Calvin Mandala Putra</v>
      </c>
      <c r="D15" s="42" t="s">
        <v>63</v>
      </c>
      <c r="E15" s="43"/>
      <c r="F15" s="43"/>
      <c r="G15" s="43"/>
      <c r="H15" s="44"/>
      <c r="I15" s="21">
        <f t="shared" si="0"/>
        <v>0</v>
      </c>
      <c r="J15" s="45">
        <f t="shared" si="1"/>
        <v>0</v>
      </c>
      <c r="K15" s="21" t="str">
        <f t="shared" si="2"/>
        <v>tdk tuntas</v>
      </c>
      <c r="L15" s="135" t="str">
        <f t="shared" si="3"/>
        <v>77</v>
      </c>
      <c r="M15" s="77" t="s">
        <v>51</v>
      </c>
      <c r="N15" s="24"/>
      <c r="O15" s="15"/>
      <c r="Q15" s="68" t="str">
        <f t="shared" si="4"/>
        <v>Calvin Mandala Putra</v>
      </c>
      <c r="R15" s="21" t="str">
        <f t="shared" si="5"/>
        <v>79</v>
      </c>
      <c r="S15" s="70"/>
      <c r="T15" s="73" t="s">
        <v>37</v>
      </c>
    </row>
    <row r="16" spans="1:20" ht="12" customHeight="1" x14ac:dyDescent="0.25">
      <c r="A16" s="21">
        <v>9</v>
      </c>
      <c r="B16" s="19"/>
      <c r="C16" s="82" t="str">
        <f>DATA!B18</f>
        <v>Decha Rifqoh Alma Dhini</v>
      </c>
      <c r="D16" s="42" t="s">
        <v>63</v>
      </c>
      <c r="E16" s="43"/>
      <c r="F16" s="43"/>
      <c r="G16" s="43"/>
      <c r="H16" s="44"/>
      <c r="I16" s="21">
        <f t="shared" si="0"/>
        <v>0</v>
      </c>
      <c r="J16" s="45">
        <f t="shared" si="1"/>
        <v>0</v>
      </c>
      <c r="K16" s="21" t="str">
        <f t="shared" si="2"/>
        <v>tdk tuntas</v>
      </c>
      <c r="L16" s="135" t="str">
        <f t="shared" si="3"/>
        <v>77</v>
      </c>
      <c r="N16" s="24"/>
      <c r="O16" s="15"/>
      <c r="Q16" s="68" t="str">
        <f t="shared" si="4"/>
        <v>Decha Rifqoh Alma Dhini</v>
      </c>
      <c r="R16" s="21" t="str">
        <f t="shared" si="5"/>
        <v>79</v>
      </c>
      <c r="S16" s="14"/>
      <c r="T16" s="15"/>
    </row>
    <row r="17" spans="1:20" ht="12" customHeight="1" x14ac:dyDescent="0.25">
      <c r="A17" s="21">
        <v>10</v>
      </c>
      <c r="B17" s="19"/>
      <c r="C17" s="82" t="str">
        <f>DATA!B19</f>
        <v>Fathir Hibatullah Harahap</v>
      </c>
      <c r="D17" s="42" t="s">
        <v>63</v>
      </c>
      <c r="E17" s="43"/>
      <c r="F17" s="43"/>
      <c r="G17" s="43"/>
      <c r="H17" s="44"/>
      <c r="I17" s="21">
        <f t="shared" si="0"/>
        <v>0</v>
      </c>
      <c r="J17" s="45">
        <f t="shared" si="1"/>
        <v>0</v>
      </c>
      <c r="K17" s="21" t="str">
        <f t="shared" si="2"/>
        <v>tdk tuntas</v>
      </c>
      <c r="L17" s="135" t="str">
        <f t="shared" si="3"/>
        <v>77</v>
      </c>
      <c r="M17" s="14"/>
      <c r="N17" s="24"/>
      <c r="O17" s="15"/>
      <c r="Q17" s="68" t="str">
        <f t="shared" si="4"/>
        <v>Fathir Hibatullah Harahap</v>
      </c>
      <c r="R17" s="21" t="str">
        <f t="shared" ref="R17:R22" si="6">IF(I17&lt;$N$10,"85","")</f>
        <v>85</v>
      </c>
      <c r="S17" s="14" t="s">
        <v>30</v>
      </c>
      <c r="T17" s="15"/>
    </row>
    <row r="18" spans="1:20" ht="12" customHeight="1" thickBot="1" x14ac:dyDescent="0.3">
      <c r="A18" s="21">
        <v>11</v>
      </c>
      <c r="B18" s="19"/>
      <c r="C18" s="82" t="str">
        <f>DATA!B20</f>
        <v>Gendhis Putri Ayreanti</v>
      </c>
      <c r="D18" s="42" t="s">
        <v>63</v>
      </c>
      <c r="E18" s="43"/>
      <c r="F18" s="43"/>
      <c r="G18" s="43"/>
      <c r="H18" s="44"/>
      <c r="I18" s="21">
        <f t="shared" si="0"/>
        <v>0</v>
      </c>
      <c r="J18" s="45">
        <f t="shared" si="1"/>
        <v>0</v>
      </c>
      <c r="K18" s="21" t="str">
        <f t="shared" si="2"/>
        <v>tdk tuntas</v>
      </c>
      <c r="L18" s="135" t="str">
        <f t="shared" si="3"/>
        <v>77</v>
      </c>
      <c r="M18" s="14"/>
      <c r="N18" s="24"/>
      <c r="O18" s="15"/>
      <c r="Q18" s="68" t="str">
        <f t="shared" si="4"/>
        <v>Gendhis Putri Ayreanti</v>
      </c>
      <c r="R18" s="21" t="str">
        <f t="shared" si="6"/>
        <v>85</v>
      </c>
      <c r="T18" s="15"/>
    </row>
    <row r="19" spans="1:20" ht="12" customHeight="1" thickTop="1" thickBot="1" x14ac:dyDescent="0.35">
      <c r="A19" s="21">
        <v>12</v>
      </c>
      <c r="B19" s="19"/>
      <c r="C19" s="82" t="str">
        <f>DATA!B21</f>
        <v>Habibi Lazuardi</v>
      </c>
      <c r="D19" s="42" t="s">
        <v>63</v>
      </c>
      <c r="E19" s="43"/>
      <c r="F19" s="43"/>
      <c r="G19" s="43"/>
      <c r="H19" s="44"/>
      <c r="I19" s="21">
        <f t="shared" si="0"/>
        <v>0</v>
      </c>
      <c r="J19" s="45">
        <f t="shared" si="1"/>
        <v>0</v>
      </c>
      <c r="K19" s="21" t="str">
        <f t="shared" si="2"/>
        <v>tdk tuntas</v>
      </c>
      <c r="L19" s="135" t="str">
        <f t="shared" si="3"/>
        <v>77</v>
      </c>
      <c r="M19" s="14" t="s">
        <v>11</v>
      </c>
      <c r="N19" s="58">
        <f>K46</f>
        <v>34</v>
      </c>
      <c r="O19" s="15"/>
      <c r="Q19" s="68" t="str">
        <f t="shared" si="4"/>
        <v>Habibi Lazuardi</v>
      </c>
      <c r="R19" s="21" t="str">
        <f t="shared" si="6"/>
        <v>85</v>
      </c>
      <c r="S19" s="71" t="s">
        <v>46</v>
      </c>
      <c r="T19" s="73" t="s">
        <v>31</v>
      </c>
    </row>
    <row r="20" spans="1:20" ht="12" customHeight="1" thickTop="1" thickBot="1" x14ac:dyDescent="0.35">
      <c r="A20" s="21">
        <v>13</v>
      </c>
      <c r="B20" s="19"/>
      <c r="C20" s="82" t="str">
        <f>DATA!B22</f>
        <v>Herina Sasha Rasati</v>
      </c>
      <c r="D20" s="42" t="s">
        <v>63</v>
      </c>
      <c r="E20" s="43"/>
      <c r="F20" s="43"/>
      <c r="G20" s="43"/>
      <c r="H20" s="44"/>
      <c r="I20" s="21">
        <f t="shared" si="0"/>
        <v>0</v>
      </c>
      <c r="J20" s="45">
        <f t="shared" si="1"/>
        <v>0</v>
      </c>
      <c r="K20" s="21" t="str">
        <f t="shared" si="2"/>
        <v>tdk tuntas</v>
      </c>
      <c r="L20" s="135" t="str">
        <f t="shared" si="3"/>
        <v>77</v>
      </c>
      <c r="M20" s="14" t="s">
        <v>12</v>
      </c>
      <c r="N20" s="58">
        <f>K44</f>
        <v>0</v>
      </c>
      <c r="O20" s="15"/>
      <c r="Q20" s="68" t="str">
        <f t="shared" si="4"/>
        <v>Herina Sasha Rasati</v>
      </c>
      <c r="R20" s="21" t="str">
        <f t="shared" si="6"/>
        <v>85</v>
      </c>
      <c r="S20" s="70"/>
      <c r="T20" s="73" t="s">
        <v>32</v>
      </c>
    </row>
    <row r="21" spans="1:20" ht="12" customHeight="1" thickTop="1" thickBot="1" x14ac:dyDescent="0.35">
      <c r="A21" s="21">
        <v>14</v>
      </c>
      <c r="B21" s="19"/>
      <c r="C21" s="82" t="str">
        <f>DATA!B23</f>
        <v>Ivan Adi Saputra</v>
      </c>
      <c r="D21" s="42" t="s">
        <v>63</v>
      </c>
      <c r="E21" s="43"/>
      <c r="F21" s="43"/>
      <c r="G21" s="43"/>
      <c r="H21" s="44"/>
      <c r="I21" s="21">
        <f t="shared" si="0"/>
        <v>0</v>
      </c>
      <c r="J21" s="45">
        <f t="shared" si="1"/>
        <v>0</v>
      </c>
      <c r="K21" s="21" t="str">
        <f t="shared" si="2"/>
        <v>tdk tuntas</v>
      </c>
      <c r="L21" s="135" t="str">
        <f t="shared" si="3"/>
        <v>77</v>
      </c>
      <c r="M21" s="14" t="s">
        <v>13</v>
      </c>
      <c r="N21" s="58">
        <f>N20/N19*100</f>
        <v>0</v>
      </c>
      <c r="O21" s="15" t="s">
        <v>4</v>
      </c>
      <c r="Q21" s="68" t="str">
        <f t="shared" si="4"/>
        <v>Ivan Adi Saputra</v>
      </c>
      <c r="R21" s="21" t="str">
        <f t="shared" si="6"/>
        <v>85</v>
      </c>
      <c r="S21" s="62"/>
      <c r="T21" s="15" t="s">
        <v>33</v>
      </c>
    </row>
    <row r="22" spans="1:20" ht="12" customHeight="1" thickTop="1" x14ac:dyDescent="0.25">
      <c r="A22" s="21">
        <v>15</v>
      </c>
      <c r="B22" s="19"/>
      <c r="C22" s="82" t="str">
        <f>DATA!B24</f>
        <v>Ivander Veda Ardyanta</v>
      </c>
      <c r="D22" s="42" t="s">
        <v>63</v>
      </c>
      <c r="E22" s="43"/>
      <c r="F22" s="43"/>
      <c r="G22" s="43"/>
      <c r="H22" s="44"/>
      <c r="I22" s="21">
        <f t="shared" si="0"/>
        <v>0</v>
      </c>
      <c r="J22" s="45">
        <f t="shared" si="1"/>
        <v>0</v>
      </c>
      <c r="K22" s="21" t="str">
        <f t="shared" si="2"/>
        <v>tdk tuntas</v>
      </c>
      <c r="L22" s="135" t="str">
        <f t="shared" si="3"/>
        <v>77</v>
      </c>
      <c r="M22" s="14"/>
      <c r="N22" s="24"/>
      <c r="O22" s="15"/>
      <c r="Q22" s="68" t="str">
        <f t="shared" si="4"/>
        <v>Ivander Veda Ardyanta</v>
      </c>
      <c r="R22" s="21" t="str">
        <f t="shared" si="6"/>
        <v>85</v>
      </c>
      <c r="S22" s="14"/>
      <c r="T22" s="15" t="s">
        <v>34</v>
      </c>
    </row>
    <row r="23" spans="1:20" ht="12" customHeight="1" x14ac:dyDescent="0.25">
      <c r="A23" s="21">
        <v>16</v>
      </c>
      <c r="B23" s="19"/>
      <c r="C23" s="82" t="str">
        <f>DATA!B25</f>
        <v>Keysa Lutfi Yana Putri</v>
      </c>
      <c r="D23" s="42" t="s">
        <v>63</v>
      </c>
      <c r="E23" s="43"/>
      <c r="F23" s="43"/>
      <c r="G23" s="43"/>
      <c r="H23" s="44"/>
      <c r="I23" s="21">
        <f t="shared" si="0"/>
        <v>0</v>
      </c>
      <c r="J23" s="45">
        <f t="shared" si="1"/>
        <v>0</v>
      </c>
      <c r="K23" s="21" t="str">
        <f t="shared" si="2"/>
        <v>tdk tuntas</v>
      </c>
      <c r="L23" s="135" t="str">
        <f t="shared" si="3"/>
        <v>77</v>
      </c>
      <c r="M23" s="14" t="s">
        <v>52</v>
      </c>
      <c r="N23" s="24"/>
      <c r="O23" s="15"/>
      <c r="Q23" s="68" t="str">
        <f t="shared" si="4"/>
        <v>Keysa Lutfi Yana Putri</v>
      </c>
      <c r="R23" s="21" t="str">
        <f>IF(I23&lt;$N$10,"84","")</f>
        <v>84</v>
      </c>
      <c r="S23" s="14"/>
      <c r="T23" s="15"/>
    </row>
    <row r="24" spans="1:20" ht="12" customHeight="1" x14ac:dyDescent="0.25">
      <c r="A24" s="21">
        <v>17</v>
      </c>
      <c r="B24" s="19"/>
      <c r="C24" s="82" t="str">
        <f>DATA!B26</f>
        <v>Khanaya Putri Emeyliana</v>
      </c>
      <c r="D24" s="42" t="s">
        <v>63</v>
      </c>
      <c r="E24" s="43"/>
      <c r="F24" s="43"/>
      <c r="G24" s="43"/>
      <c r="H24" s="44"/>
      <c r="I24" s="21">
        <f t="shared" si="0"/>
        <v>0</v>
      </c>
      <c r="J24" s="45">
        <f t="shared" si="1"/>
        <v>0</v>
      </c>
      <c r="K24" s="21" t="str">
        <f t="shared" si="2"/>
        <v>tdk tuntas</v>
      </c>
      <c r="L24" s="135" t="str">
        <f t="shared" si="3"/>
        <v>77</v>
      </c>
      <c r="N24" s="24"/>
      <c r="O24" s="15"/>
      <c r="Q24" s="68" t="str">
        <f t="shared" si="4"/>
        <v>Khanaya Putri Emeyliana</v>
      </c>
      <c r="R24" s="21" t="str">
        <f t="shared" ref="R24:R30" si="7">IF(I24&lt;$N$10,"82","")</f>
        <v>82</v>
      </c>
      <c r="S24" s="14"/>
      <c r="T24" s="63" t="s">
        <v>41</v>
      </c>
    </row>
    <row r="25" spans="1:20" ht="12" customHeight="1" x14ac:dyDescent="0.25">
      <c r="A25" s="21">
        <v>18</v>
      </c>
      <c r="B25" s="19"/>
      <c r="C25" s="82" t="str">
        <f>DATA!B27</f>
        <v>Khoirul Rodzikin</v>
      </c>
      <c r="D25" s="42" t="s">
        <v>63</v>
      </c>
      <c r="E25" s="43"/>
      <c r="F25" s="43"/>
      <c r="G25" s="43"/>
      <c r="H25" s="44"/>
      <c r="I25" s="21">
        <f t="shared" si="0"/>
        <v>0</v>
      </c>
      <c r="J25" s="45">
        <f t="shared" si="1"/>
        <v>0</v>
      </c>
      <c r="K25" s="21" t="str">
        <f t="shared" si="2"/>
        <v>tdk tuntas</v>
      </c>
      <c r="L25" s="135" t="str">
        <f t="shared" si="3"/>
        <v>77</v>
      </c>
      <c r="M25" s="14"/>
      <c r="N25" s="24"/>
      <c r="O25" s="15"/>
      <c r="Q25" s="68" t="str">
        <f t="shared" si="4"/>
        <v>Khoirul Rodzikin</v>
      </c>
      <c r="R25" s="21" t="str">
        <f t="shared" si="7"/>
        <v>82</v>
      </c>
      <c r="S25" s="14"/>
      <c r="T25" s="63"/>
    </row>
    <row r="26" spans="1:20" ht="12" customHeight="1" x14ac:dyDescent="0.25">
      <c r="A26" s="21">
        <v>19</v>
      </c>
      <c r="B26" s="19"/>
      <c r="C26" s="82" t="str">
        <f>DATA!B28</f>
        <v>Livia Mozavina</v>
      </c>
      <c r="D26" s="42" t="s">
        <v>63</v>
      </c>
      <c r="E26" s="43"/>
      <c r="F26" s="43"/>
      <c r="G26" s="43"/>
      <c r="H26" s="44"/>
      <c r="I26" s="21">
        <f t="shared" si="0"/>
        <v>0</v>
      </c>
      <c r="J26" s="45">
        <f t="shared" si="1"/>
        <v>0</v>
      </c>
      <c r="K26" s="21" t="str">
        <f t="shared" si="2"/>
        <v>tdk tuntas</v>
      </c>
      <c r="L26" s="135" t="str">
        <f t="shared" si="3"/>
        <v>77</v>
      </c>
      <c r="M26" s="14"/>
      <c r="N26" s="24"/>
      <c r="O26" s="15"/>
      <c r="Q26" s="68" t="str">
        <f t="shared" si="4"/>
        <v>Livia Mozavina</v>
      </c>
      <c r="R26" s="21" t="str">
        <f t="shared" si="7"/>
        <v>82</v>
      </c>
      <c r="S26" s="14"/>
      <c r="T26" s="63"/>
    </row>
    <row r="27" spans="1:20" ht="12" customHeight="1" x14ac:dyDescent="0.25">
      <c r="A27" s="21">
        <v>20</v>
      </c>
      <c r="B27" s="19"/>
      <c r="C27" s="82" t="str">
        <f>DATA!B29</f>
        <v>Milatul Ulya Azzahra</v>
      </c>
      <c r="D27" s="42" t="s">
        <v>63</v>
      </c>
      <c r="E27" s="43"/>
      <c r="F27" s="43"/>
      <c r="G27" s="43"/>
      <c r="H27" s="44"/>
      <c r="I27" s="21">
        <f t="shared" si="0"/>
        <v>0</v>
      </c>
      <c r="J27" s="45">
        <f t="shared" si="1"/>
        <v>0</v>
      </c>
      <c r="K27" s="21" t="str">
        <f t="shared" si="2"/>
        <v>tdk tuntas</v>
      </c>
      <c r="L27" s="135" t="str">
        <f t="shared" si="3"/>
        <v>77</v>
      </c>
      <c r="M27" s="14" t="s">
        <v>53</v>
      </c>
      <c r="N27" s="78">
        <f>I44</f>
        <v>0</v>
      </c>
      <c r="O27" s="15"/>
      <c r="Q27" s="68" t="str">
        <f t="shared" si="4"/>
        <v>Milatul Ulya Azzahra</v>
      </c>
      <c r="R27" s="21" t="str">
        <f t="shared" si="7"/>
        <v>82</v>
      </c>
      <c r="S27" s="14"/>
      <c r="T27" s="63"/>
    </row>
    <row r="28" spans="1:20" ht="12" customHeight="1" x14ac:dyDescent="0.25">
      <c r="A28" s="21">
        <v>21</v>
      </c>
      <c r="B28" s="19"/>
      <c r="C28" s="82" t="str">
        <f>DATA!B30</f>
        <v>Muhammad Arif Pratama</v>
      </c>
      <c r="D28" s="42" t="s">
        <v>63</v>
      </c>
      <c r="E28" s="43"/>
      <c r="F28" s="43"/>
      <c r="G28" s="43"/>
      <c r="H28" s="44"/>
      <c r="I28" s="21">
        <f t="shared" si="0"/>
        <v>0</v>
      </c>
      <c r="J28" s="45">
        <f t="shared" si="1"/>
        <v>0</v>
      </c>
      <c r="K28" s="21" t="str">
        <f t="shared" si="2"/>
        <v>tdk tuntas</v>
      </c>
      <c r="L28" s="135" t="str">
        <f t="shared" si="3"/>
        <v>77</v>
      </c>
      <c r="M28" s="14" t="s">
        <v>54</v>
      </c>
      <c r="N28" s="78">
        <f>I45</f>
        <v>3400</v>
      </c>
      <c r="O28" s="15"/>
      <c r="Q28" s="68" t="str">
        <f t="shared" si="4"/>
        <v>Muhammad Arif Pratama</v>
      </c>
      <c r="R28" s="21" t="str">
        <f t="shared" si="7"/>
        <v>82</v>
      </c>
      <c r="S28" s="14"/>
      <c r="T28" s="63" t="str">
        <f>DATA!B3</f>
        <v>KASMIN, S.Pd</v>
      </c>
    </row>
    <row r="29" spans="1:20" ht="12" customHeight="1" x14ac:dyDescent="0.25">
      <c r="A29" s="21">
        <v>22</v>
      </c>
      <c r="B29" s="19"/>
      <c r="C29" s="82" t="str">
        <f>DATA!B31</f>
        <v>Muhammad Fahri Khoirudin</v>
      </c>
      <c r="D29" s="42" t="s">
        <v>63</v>
      </c>
      <c r="E29" s="43"/>
      <c r="F29" s="43"/>
      <c r="G29" s="43"/>
      <c r="H29" s="44"/>
      <c r="I29" s="21">
        <f t="shared" si="0"/>
        <v>0</v>
      </c>
      <c r="J29" s="45">
        <f t="shared" si="1"/>
        <v>0</v>
      </c>
      <c r="K29" s="21" t="str">
        <f t="shared" si="2"/>
        <v>tdk tuntas</v>
      </c>
      <c r="L29" s="135" t="str">
        <f t="shared" si="3"/>
        <v>77</v>
      </c>
      <c r="M29" s="14" t="s">
        <v>13</v>
      </c>
      <c r="N29" s="84">
        <f>N27/N28*100</f>
        <v>0</v>
      </c>
      <c r="O29" s="79" t="s">
        <v>4</v>
      </c>
      <c r="Q29" s="68" t="str">
        <f t="shared" si="4"/>
        <v>Muhammad Fahri Khoirudin</v>
      </c>
      <c r="R29" s="21" t="str">
        <f t="shared" si="7"/>
        <v>82</v>
      </c>
      <c r="S29" s="14"/>
      <c r="T29" s="63" t="str">
        <f>DATA!B4</f>
        <v>NIP : 196609141990031007</v>
      </c>
    </row>
    <row r="30" spans="1:20" ht="12" customHeight="1" x14ac:dyDescent="0.25">
      <c r="A30" s="21">
        <v>23</v>
      </c>
      <c r="B30" s="19"/>
      <c r="C30" s="82" t="str">
        <f>DATA!B32</f>
        <v>Muhammad Rakha Razansyah</v>
      </c>
      <c r="D30" s="42" t="s">
        <v>63</v>
      </c>
      <c r="E30" s="43"/>
      <c r="F30" s="43"/>
      <c r="G30" s="43"/>
      <c r="H30" s="44"/>
      <c r="I30" s="21">
        <f t="shared" si="0"/>
        <v>0</v>
      </c>
      <c r="J30" s="45">
        <f t="shared" si="1"/>
        <v>0</v>
      </c>
      <c r="K30" s="21" t="str">
        <f t="shared" si="2"/>
        <v>tdk tuntas</v>
      </c>
      <c r="L30" s="135" t="str">
        <f t="shared" si="3"/>
        <v>77</v>
      </c>
      <c r="M30" s="14"/>
      <c r="N30" s="24"/>
      <c r="O30" s="15"/>
      <c r="Q30" s="68" t="str">
        <f t="shared" si="4"/>
        <v>Muhammad Rakha Razansyah</v>
      </c>
      <c r="R30" s="21" t="str">
        <f t="shared" si="7"/>
        <v>82</v>
      </c>
      <c r="S30" s="14"/>
      <c r="T30" s="15"/>
    </row>
    <row r="31" spans="1:20" ht="12" customHeight="1" x14ac:dyDescent="0.25">
      <c r="A31" s="21">
        <v>24</v>
      </c>
      <c r="B31" s="19"/>
      <c r="C31" s="82" t="str">
        <f>DATA!B33</f>
        <v>Mutiara Dewi Khusna</v>
      </c>
      <c r="D31" s="42" t="s">
        <v>63</v>
      </c>
      <c r="E31" s="43"/>
      <c r="F31" s="43"/>
      <c r="G31" s="43"/>
      <c r="H31" s="44"/>
      <c r="I31" s="21">
        <f>SUM(D31:H31)</f>
        <v>0</v>
      </c>
      <c r="J31" s="45">
        <f>I31</f>
        <v>0</v>
      </c>
      <c r="K31" s="21" t="str">
        <f t="shared" si="2"/>
        <v>tdk tuntas</v>
      </c>
      <c r="L31" s="135" t="str">
        <f t="shared" si="3"/>
        <v>77</v>
      </c>
      <c r="M31" s="14"/>
      <c r="N31" s="24"/>
      <c r="O31" s="15"/>
      <c r="Q31" s="68" t="str">
        <f t="shared" si="4"/>
        <v>Mutiara Dewi Khusna</v>
      </c>
      <c r="R31" s="21" t="str">
        <f>IF(I31&lt;$N$10,"79","")</f>
        <v>79</v>
      </c>
      <c r="S31" s="14"/>
      <c r="T31" s="63" t="s">
        <v>42</v>
      </c>
    </row>
    <row r="32" spans="1:20" ht="12" customHeight="1" x14ac:dyDescent="0.25">
      <c r="A32" s="21">
        <v>25</v>
      </c>
      <c r="B32" s="19"/>
      <c r="C32" s="82" t="str">
        <f>DATA!B34</f>
        <v>Qeysya Nabila Maharani</v>
      </c>
      <c r="D32" s="42" t="s">
        <v>63</v>
      </c>
      <c r="E32" s="43"/>
      <c r="F32" s="43"/>
      <c r="G32" s="43"/>
      <c r="H32" s="44"/>
      <c r="I32" s="21">
        <f t="shared" si="0"/>
        <v>0</v>
      </c>
      <c r="J32" s="45">
        <f t="shared" si="1"/>
        <v>0</v>
      </c>
      <c r="K32" s="21" t="str">
        <f t="shared" si="2"/>
        <v>tdk tuntas</v>
      </c>
      <c r="L32" s="135" t="str">
        <f t="shared" si="3"/>
        <v>77</v>
      </c>
      <c r="M32" s="14" t="s">
        <v>14</v>
      </c>
      <c r="N32" s="24"/>
      <c r="O32" s="15"/>
      <c r="Q32" s="68" t="str">
        <f t="shared" si="4"/>
        <v>Qeysya Nabila Maharani</v>
      </c>
      <c r="R32" s="21" t="str">
        <f>IF(I32&lt;$N$10,"79","")</f>
        <v>79</v>
      </c>
      <c r="S32" s="14"/>
      <c r="T32" s="63"/>
    </row>
    <row r="33" spans="1:20" ht="12" customHeight="1" x14ac:dyDescent="0.25">
      <c r="A33" s="21">
        <v>26</v>
      </c>
      <c r="B33" s="19"/>
      <c r="C33" s="82" t="str">
        <f>DATA!B35</f>
        <v>Raihan Akbar Ramadhan</v>
      </c>
      <c r="D33" s="42" t="s">
        <v>63</v>
      </c>
      <c r="E33" s="43"/>
      <c r="F33" s="43"/>
      <c r="G33" s="43"/>
      <c r="H33" s="44"/>
      <c r="I33" s="21">
        <f t="shared" si="0"/>
        <v>0</v>
      </c>
      <c r="J33" s="45">
        <f t="shared" si="1"/>
        <v>0</v>
      </c>
      <c r="K33" s="21" t="str">
        <f t="shared" si="2"/>
        <v>tdk tuntas</v>
      </c>
      <c r="L33" s="135" t="str">
        <f t="shared" si="3"/>
        <v>77</v>
      </c>
      <c r="M33" s="14" t="s">
        <v>15</v>
      </c>
      <c r="N33" s="24"/>
      <c r="O33" s="15"/>
      <c r="Q33" s="68" t="str">
        <f t="shared" si="4"/>
        <v>Raihan Akbar Ramadhan</v>
      </c>
      <c r="R33" s="21" t="str">
        <f>IF(I33&lt;$N$10,"79","")</f>
        <v>79</v>
      </c>
      <c r="S33" s="14"/>
      <c r="T33" s="63"/>
    </row>
    <row r="34" spans="1:20" ht="12" customHeight="1" x14ac:dyDescent="0.3">
      <c r="A34" s="21">
        <v>27</v>
      </c>
      <c r="B34" s="19"/>
      <c r="C34" s="82" t="str">
        <f>DATA!B36</f>
        <v>Ramadhani</v>
      </c>
      <c r="D34" s="42" t="s">
        <v>63</v>
      </c>
      <c r="E34" s="43"/>
      <c r="F34" s="43"/>
      <c r="G34" s="43"/>
      <c r="H34" s="44"/>
      <c r="I34" s="21">
        <f t="shared" si="0"/>
        <v>0</v>
      </c>
      <c r="J34" s="45">
        <f t="shared" si="1"/>
        <v>0</v>
      </c>
      <c r="K34" s="21" t="str">
        <f t="shared" si="2"/>
        <v>tdk tuntas</v>
      </c>
      <c r="L34" s="135" t="str">
        <f t="shared" si="3"/>
        <v>77</v>
      </c>
      <c r="M34" s="155" t="s">
        <v>80</v>
      </c>
      <c r="N34" s="24"/>
      <c r="O34" s="15"/>
      <c r="Q34" s="68" t="str">
        <f t="shared" si="4"/>
        <v>Ramadhani</v>
      </c>
      <c r="R34" s="21" t="str">
        <f>IF(I34&lt;$N$10,"79","")</f>
        <v>79</v>
      </c>
      <c r="S34" s="14"/>
      <c r="T34" s="63"/>
    </row>
    <row r="35" spans="1:20" ht="12" customHeight="1" x14ac:dyDescent="0.25">
      <c r="A35" s="21">
        <v>28</v>
      </c>
      <c r="B35" s="19"/>
      <c r="C35" s="82" t="str">
        <f>DATA!B37</f>
        <v>Rangga Putra Raditya</v>
      </c>
      <c r="D35" s="42" t="s">
        <v>63</v>
      </c>
      <c r="E35" s="43"/>
      <c r="F35" s="43"/>
      <c r="G35" s="43"/>
      <c r="H35" s="44"/>
      <c r="I35" s="21">
        <f t="shared" si="0"/>
        <v>0</v>
      </c>
      <c r="J35" s="45">
        <f t="shared" ref="J35:J41" si="8">I35</f>
        <v>0</v>
      </c>
      <c r="K35" s="21" t="str">
        <f t="shared" ref="K35:K41" si="9">IF(J35&lt;$N$10,"tdk tuntas","tuntas")</f>
        <v>tdk tuntas</v>
      </c>
      <c r="L35" s="135" t="str">
        <f t="shared" si="3"/>
        <v>77</v>
      </c>
      <c r="M35" s="14"/>
      <c r="N35" s="24"/>
      <c r="O35" s="15"/>
      <c r="Q35" s="68" t="str">
        <f t="shared" si="4"/>
        <v>Rangga Putra Raditya</v>
      </c>
      <c r="R35" s="21" t="str">
        <f>IF(I35&lt;$N$10,"81","")</f>
        <v>81</v>
      </c>
      <c r="S35" s="14"/>
      <c r="T35" s="63"/>
    </row>
    <row r="36" spans="1:20" ht="12" customHeight="1" x14ac:dyDescent="0.25">
      <c r="A36" s="21">
        <v>29</v>
      </c>
      <c r="B36" s="19"/>
      <c r="C36" s="82" t="str">
        <f>DATA!B38</f>
        <v>Safa Nasila Anajwa</v>
      </c>
      <c r="D36" s="42" t="s">
        <v>63</v>
      </c>
      <c r="E36" s="43"/>
      <c r="F36" s="43"/>
      <c r="G36" s="43"/>
      <c r="H36" s="44"/>
      <c r="I36" s="21">
        <f t="shared" si="0"/>
        <v>0</v>
      </c>
      <c r="J36" s="45">
        <f t="shared" si="8"/>
        <v>0</v>
      </c>
      <c r="K36" s="21" t="str">
        <f t="shared" si="9"/>
        <v>tdk tuntas</v>
      </c>
      <c r="L36" s="135" t="str">
        <f t="shared" si="3"/>
        <v>77</v>
      </c>
      <c r="M36" s="14"/>
      <c r="N36" s="24"/>
      <c r="O36" s="15"/>
      <c r="Q36" s="68" t="str">
        <f t="shared" si="4"/>
        <v>Safa Nasila Anajwa</v>
      </c>
      <c r="R36" s="21" t="str">
        <f>IF(I36&lt;$N$10,"85","")</f>
        <v>85</v>
      </c>
      <c r="S36" s="14"/>
      <c r="T36" s="63"/>
    </row>
    <row r="37" spans="1:20" ht="12" customHeight="1" x14ac:dyDescent="0.25">
      <c r="A37" s="21">
        <v>30</v>
      </c>
      <c r="B37" s="19"/>
      <c r="C37" s="82" t="str">
        <f>DATA!B39</f>
        <v>Sila Ayu Kurnia</v>
      </c>
      <c r="D37" s="42" t="s">
        <v>63</v>
      </c>
      <c r="E37" s="43"/>
      <c r="F37" s="43"/>
      <c r="G37" s="43"/>
      <c r="H37" s="44"/>
      <c r="I37" s="21">
        <f t="shared" si="0"/>
        <v>0</v>
      </c>
      <c r="J37" s="45">
        <f t="shared" si="8"/>
        <v>0</v>
      </c>
      <c r="K37" s="21" t="str">
        <f t="shared" si="9"/>
        <v>tdk tuntas</v>
      </c>
      <c r="L37" s="135" t="str">
        <f t="shared" si="3"/>
        <v>77</v>
      </c>
      <c r="M37" s="14"/>
      <c r="N37" s="24"/>
      <c r="O37" s="15"/>
      <c r="Q37" s="68" t="str">
        <f t="shared" si="4"/>
        <v>Sila Ayu Kurnia</v>
      </c>
      <c r="R37" s="21" t="str">
        <f>IF(I37&lt;$N$10,"78","")</f>
        <v>78</v>
      </c>
      <c r="S37" s="14"/>
      <c r="T37" s="63" t="str">
        <f>DATA!D3</f>
        <v>Dra. BAROKAH GUNIARTI</v>
      </c>
    </row>
    <row r="38" spans="1:20" ht="12" customHeight="1" x14ac:dyDescent="0.25">
      <c r="A38" s="21">
        <v>31</v>
      </c>
      <c r="B38" s="19"/>
      <c r="C38" s="82" t="str">
        <f>DATA!B40</f>
        <v>Sindhi Nandha Lusia</v>
      </c>
      <c r="D38" s="42" t="s">
        <v>63</v>
      </c>
      <c r="E38" s="43"/>
      <c r="F38" s="43"/>
      <c r="G38" s="43"/>
      <c r="H38" s="44"/>
      <c r="I38" s="21">
        <f t="shared" si="0"/>
        <v>0</v>
      </c>
      <c r="J38" s="45">
        <f t="shared" si="8"/>
        <v>0</v>
      </c>
      <c r="K38" s="21" t="str">
        <f t="shared" si="9"/>
        <v>tdk tuntas</v>
      </c>
      <c r="L38" s="135" t="str">
        <f t="shared" si="3"/>
        <v>77</v>
      </c>
      <c r="M38" s="14" t="s">
        <v>56</v>
      </c>
      <c r="N38" s="24"/>
      <c r="O38" s="15"/>
      <c r="Q38" s="68" t="str">
        <f t="shared" si="4"/>
        <v>Sindhi Nandha Lusia</v>
      </c>
      <c r="R38" s="21" t="str">
        <f>IF(I38&lt;$N$10,"84","")</f>
        <v>84</v>
      </c>
      <c r="S38" s="14"/>
      <c r="T38" s="63" t="str">
        <f>DATA!D4</f>
        <v>NIP : 196901081996122004</v>
      </c>
    </row>
    <row r="39" spans="1:20" ht="12" customHeight="1" x14ac:dyDescent="0.25">
      <c r="A39" s="21">
        <v>32</v>
      </c>
      <c r="B39" s="19"/>
      <c r="C39" s="82" t="str">
        <f>DATA!B41</f>
        <v>Siti Alfiani</v>
      </c>
      <c r="D39" s="42" t="s">
        <v>63</v>
      </c>
      <c r="E39" s="43"/>
      <c r="F39" s="43"/>
      <c r="G39" s="43"/>
      <c r="H39" s="44"/>
      <c r="I39" s="21">
        <f t="shared" si="0"/>
        <v>0</v>
      </c>
      <c r="J39" s="45">
        <f t="shared" si="8"/>
        <v>0</v>
      </c>
      <c r="K39" s="21" t="str">
        <f t="shared" si="9"/>
        <v>tdk tuntas</v>
      </c>
      <c r="L39" s="135" t="str">
        <f t="shared" si="3"/>
        <v>77</v>
      </c>
      <c r="M39" s="14"/>
      <c r="N39" s="24"/>
      <c r="O39" s="15"/>
      <c r="Q39" s="68" t="str">
        <f t="shared" si="4"/>
        <v>Siti Alfiani</v>
      </c>
      <c r="R39" s="21" t="str">
        <f>IF(I39&lt;$N$10,"85","")</f>
        <v>85</v>
      </c>
      <c r="S39" s="14"/>
      <c r="T39" s="15"/>
    </row>
    <row r="40" spans="1:20" ht="12" customHeight="1" x14ac:dyDescent="0.25">
      <c r="A40" s="21">
        <v>33</v>
      </c>
      <c r="B40" s="19"/>
      <c r="C40" s="82">
        <f>DATA!B42</f>
        <v>0</v>
      </c>
      <c r="D40" s="42" t="s">
        <v>63</v>
      </c>
      <c r="E40" s="43"/>
      <c r="F40" s="43"/>
      <c r="G40" s="43"/>
      <c r="H40" s="44"/>
      <c r="I40" s="21">
        <f t="shared" si="0"/>
        <v>0</v>
      </c>
      <c r="J40" s="45">
        <f t="shared" si="8"/>
        <v>0</v>
      </c>
      <c r="K40" s="21" t="str">
        <f t="shared" si="9"/>
        <v>tdk tuntas</v>
      </c>
      <c r="L40" s="135" t="str">
        <f t="shared" si="3"/>
        <v>77</v>
      </c>
      <c r="M40" s="14" t="s">
        <v>16</v>
      </c>
      <c r="N40" s="24"/>
      <c r="O40" s="15"/>
      <c r="Q40" s="68">
        <f t="shared" si="4"/>
        <v>0</v>
      </c>
      <c r="R40" s="21" t="str">
        <f>IF(I40&lt;$N$10,"83","")</f>
        <v>83</v>
      </c>
      <c r="S40" s="14"/>
      <c r="T40" s="15"/>
    </row>
    <row r="41" spans="1:20" ht="12" customHeight="1" x14ac:dyDescent="0.25">
      <c r="A41" s="21">
        <v>34</v>
      </c>
      <c r="B41" s="19"/>
      <c r="C41" s="82">
        <f>DATA!B43</f>
        <v>0</v>
      </c>
      <c r="D41" s="42" t="s">
        <v>63</v>
      </c>
      <c r="E41" s="43"/>
      <c r="F41" s="43"/>
      <c r="G41" s="43"/>
      <c r="H41" s="44"/>
      <c r="I41" s="21">
        <f t="shared" si="0"/>
        <v>0</v>
      </c>
      <c r="J41" s="45">
        <f t="shared" si="8"/>
        <v>0</v>
      </c>
      <c r="K41" s="21" t="str">
        <f t="shared" si="9"/>
        <v>tdk tuntas</v>
      </c>
      <c r="L41" s="135" t="str">
        <f t="shared" si="3"/>
        <v>77</v>
      </c>
      <c r="M41" s="14" t="s">
        <v>59</v>
      </c>
      <c r="N41" s="24"/>
      <c r="O41" s="15"/>
      <c r="Q41" s="68">
        <f t="shared" si="4"/>
        <v>0</v>
      </c>
      <c r="R41" s="21" t="str">
        <f>IF(I41&lt;$N$10,"80","")</f>
        <v>80</v>
      </c>
      <c r="S41" s="14"/>
      <c r="T41" s="15"/>
    </row>
    <row r="42" spans="1:20" ht="12" customHeight="1" x14ac:dyDescent="0.25">
      <c r="A42" s="21">
        <v>35</v>
      </c>
      <c r="B42" s="22"/>
      <c r="C42" s="162" t="e">
        <f>DATA!#REF!</f>
        <v>#REF!</v>
      </c>
      <c r="D42" s="136"/>
      <c r="E42" s="137"/>
      <c r="F42" s="137"/>
      <c r="G42" s="137"/>
      <c r="H42" s="138"/>
      <c r="I42" s="21"/>
      <c r="J42" s="45"/>
      <c r="K42" s="21"/>
      <c r="L42" s="139" t="str">
        <f t="shared" si="3"/>
        <v>77</v>
      </c>
      <c r="M42" s="14" t="s">
        <v>23</v>
      </c>
      <c r="N42" s="24"/>
      <c r="O42" s="15"/>
      <c r="Q42" s="68" t="e">
        <f t="shared" si="4"/>
        <v>#REF!</v>
      </c>
      <c r="R42" s="21"/>
      <c r="S42" s="16"/>
      <c r="T42" s="17"/>
    </row>
    <row r="43" spans="1:20" ht="12" customHeight="1" x14ac:dyDescent="0.25">
      <c r="A43" s="101" t="s">
        <v>64</v>
      </c>
      <c r="B43" s="96"/>
      <c r="C43" s="97"/>
      <c r="D43" s="93"/>
      <c r="E43" s="94"/>
      <c r="F43" s="94"/>
      <c r="G43" s="94"/>
      <c r="H43" s="95"/>
      <c r="I43" s="98">
        <f>AVERAGE(I8:I42)</f>
        <v>0</v>
      </c>
      <c r="J43" s="74"/>
      <c r="K43" s="47"/>
      <c r="L43" s="65"/>
      <c r="M43" s="14"/>
      <c r="N43" s="24"/>
      <c r="O43" s="15"/>
      <c r="Q43" s="60" t="s">
        <v>63</v>
      </c>
      <c r="R43" s="471" t="str">
        <f>C4</f>
        <v>9A</v>
      </c>
      <c r="S43" s="471"/>
      <c r="T43" s="61"/>
    </row>
    <row r="44" spans="1:20" ht="12" customHeight="1" x14ac:dyDescent="0.25">
      <c r="A44" s="14" t="s">
        <v>17</v>
      </c>
      <c r="B44" s="24"/>
      <c r="C44" s="15"/>
      <c r="D44" s="42">
        <f>SUM(D8:D42)</f>
        <v>0</v>
      </c>
      <c r="E44" s="43">
        <f>SUM(E8:E42)</f>
        <v>0</v>
      </c>
      <c r="F44" s="43">
        <f>SUM(F8:F42)</f>
        <v>0</v>
      </c>
      <c r="G44" s="43">
        <f>SUM(G8:G42)</f>
        <v>0</v>
      </c>
      <c r="H44" s="44">
        <f>SUM(H8:H42)</f>
        <v>0</v>
      </c>
      <c r="I44" s="80">
        <f>SUM(D44:H44)</f>
        <v>0</v>
      </c>
      <c r="J44" s="85" t="s">
        <v>49</v>
      </c>
      <c r="K44" s="48">
        <f>COUNTIF(K8:K42,J44)</f>
        <v>0</v>
      </c>
      <c r="L44" s="64"/>
      <c r="M44" s="14"/>
      <c r="N44" s="24"/>
      <c r="O44" s="15"/>
      <c r="Q44" s="30"/>
      <c r="R44" s="472"/>
      <c r="S44" s="472"/>
      <c r="T44" s="31"/>
    </row>
    <row r="45" spans="1:20" ht="12" customHeight="1" x14ac:dyDescent="0.25">
      <c r="A45" s="14" t="s">
        <v>18</v>
      </c>
      <c r="B45" s="24"/>
      <c r="C45" s="15"/>
      <c r="D45" s="42">
        <f>D6*K46</f>
        <v>680</v>
      </c>
      <c r="E45" s="42">
        <f>E6*K46</f>
        <v>680</v>
      </c>
      <c r="F45" s="42">
        <f>F6*K46</f>
        <v>680</v>
      </c>
      <c r="G45" s="42">
        <f>G6*K46</f>
        <v>680</v>
      </c>
      <c r="H45" s="42">
        <f>H6*K46</f>
        <v>680</v>
      </c>
      <c r="I45" s="80">
        <f>SUM(D45:H45)</f>
        <v>3400</v>
      </c>
      <c r="J45" s="86" t="s">
        <v>50</v>
      </c>
      <c r="K45" s="48">
        <f>COUNTIF(K8:K42,J45)</f>
        <v>34</v>
      </c>
      <c r="L45" s="64"/>
      <c r="M45" s="14"/>
      <c r="N45" s="100"/>
      <c r="O45" s="15"/>
      <c r="Q45" s="30"/>
      <c r="R45" s="472"/>
      <c r="S45" s="472"/>
      <c r="T45" s="31"/>
    </row>
    <row r="46" spans="1:20" ht="12" customHeight="1" x14ac:dyDescent="0.25">
      <c r="A46" s="26" t="s">
        <v>19</v>
      </c>
      <c r="B46" s="27"/>
      <c r="C46" s="28"/>
      <c r="D46" s="136">
        <f t="shared" ref="D46:I46" si="10">D44/D45*100</f>
        <v>0</v>
      </c>
      <c r="E46" s="136">
        <f t="shared" si="10"/>
        <v>0</v>
      </c>
      <c r="F46" s="136">
        <f t="shared" si="10"/>
        <v>0</v>
      </c>
      <c r="G46" s="136">
        <f t="shared" si="10"/>
        <v>0</v>
      </c>
      <c r="H46" s="136">
        <f t="shared" si="10"/>
        <v>0</v>
      </c>
      <c r="I46" s="50">
        <f t="shared" si="10"/>
        <v>0</v>
      </c>
      <c r="J46" s="75" t="s">
        <v>57</v>
      </c>
      <c r="K46" s="49">
        <f>SUM(K44:K45)</f>
        <v>34</v>
      </c>
      <c r="L46" s="66"/>
      <c r="M46" s="16"/>
      <c r="N46" s="25"/>
      <c r="O46" s="17"/>
      <c r="Q46" s="8"/>
      <c r="R46" s="473"/>
      <c r="S46" s="473"/>
      <c r="T46" s="9"/>
    </row>
    <row r="47" spans="1:20" ht="12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20" ht="12" customHeight="1" x14ac:dyDescent="0.25">
      <c r="A48" s="453" t="str">
        <f>'UH1'!A48</f>
        <v>ANALISA HASIL PH MATEMATIKA KLS IX  SMT GENAP</v>
      </c>
      <c r="B48" s="454"/>
      <c r="C48" s="454"/>
      <c r="D48" s="454"/>
      <c r="E48" s="454"/>
      <c r="F48" s="454"/>
      <c r="G48" s="454"/>
      <c r="H48" s="454"/>
      <c r="I48" s="454"/>
      <c r="J48" s="454"/>
      <c r="K48" s="454"/>
      <c r="L48" s="454"/>
      <c r="M48" s="454"/>
      <c r="N48" s="454"/>
      <c r="O48" s="455"/>
      <c r="Q48" s="456" t="s">
        <v>40</v>
      </c>
      <c r="R48" s="457"/>
      <c r="S48" s="457"/>
      <c r="T48" s="458"/>
    </row>
    <row r="49" spans="1:20" ht="12" customHeight="1" x14ac:dyDescent="0.25">
      <c r="A49" s="453" t="str">
        <f>A2</f>
        <v>SMP I LIMBANGAN  TH 2025/2026</v>
      </c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  <c r="O49" s="455"/>
      <c r="Q49" s="453" t="s">
        <v>61</v>
      </c>
      <c r="R49" s="454"/>
      <c r="S49" s="454"/>
      <c r="T49" s="455"/>
    </row>
    <row r="50" spans="1:20" ht="12" customHeight="1" x14ac:dyDescent="0.25"/>
    <row r="51" spans="1:20" ht="12" customHeight="1" x14ac:dyDescent="0.25">
      <c r="A51" s="99" t="s">
        <v>66</v>
      </c>
      <c r="C51" s="102" t="str">
        <f>DATA!D8</f>
        <v>9B</v>
      </c>
      <c r="D51" t="s">
        <v>21</v>
      </c>
      <c r="F51" s="87">
        <f>F4</f>
        <v>4</v>
      </c>
      <c r="I51" t="s">
        <v>20</v>
      </c>
      <c r="K51" s="72"/>
      <c r="M51" s="1" t="s">
        <v>60</v>
      </c>
      <c r="N51" s="87">
        <f>N4</f>
        <v>1</v>
      </c>
      <c r="Q51" t="s">
        <v>28</v>
      </c>
      <c r="R51" s="470"/>
      <c r="S51" s="470"/>
    </row>
    <row r="52" spans="1:20" ht="12" customHeight="1" x14ac:dyDescent="0.25">
      <c r="A52" s="2"/>
      <c r="B52" s="2"/>
      <c r="C52" s="3" t="s">
        <v>7</v>
      </c>
      <c r="D52" s="32">
        <v>1</v>
      </c>
      <c r="E52" s="33">
        <v>2</v>
      </c>
      <c r="F52" s="33">
        <v>3</v>
      </c>
      <c r="G52" s="33">
        <v>4</v>
      </c>
      <c r="H52" s="34">
        <v>5</v>
      </c>
      <c r="I52" s="35" t="s">
        <v>3</v>
      </c>
      <c r="J52" s="4" t="s">
        <v>4</v>
      </c>
      <c r="K52" s="53" t="s">
        <v>83</v>
      </c>
      <c r="L52" s="35" t="s">
        <v>43</v>
      </c>
      <c r="M52" s="459" t="s">
        <v>9</v>
      </c>
      <c r="N52" s="460"/>
      <c r="O52" s="461"/>
      <c r="Q52" s="2"/>
      <c r="R52" s="35" t="s">
        <v>24</v>
      </c>
      <c r="S52" s="60"/>
      <c r="T52" s="61"/>
    </row>
    <row r="53" spans="1:20" ht="12" customHeight="1" x14ac:dyDescent="0.25">
      <c r="A53" s="6" t="s">
        <v>0</v>
      </c>
      <c r="B53" s="6" t="s">
        <v>1</v>
      </c>
      <c r="C53" s="5" t="s">
        <v>8</v>
      </c>
      <c r="D53" s="55">
        <f>D6</f>
        <v>20</v>
      </c>
      <c r="E53" s="56">
        <f>E6</f>
        <v>20</v>
      </c>
      <c r="F53" s="56">
        <f>F6</f>
        <v>20</v>
      </c>
      <c r="G53" s="56">
        <f>G6</f>
        <v>20</v>
      </c>
      <c r="H53" s="105">
        <f>H6</f>
        <v>20</v>
      </c>
      <c r="I53" s="21">
        <f>SUM(D53:H53)</f>
        <v>100</v>
      </c>
      <c r="J53" s="6" t="s">
        <v>5</v>
      </c>
      <c r="K53" s="52" t="s">
        <v>22</v>
      </c>
      <c r="L53" s="11" t="s">
        <v>44</v>
      </c>
      <c r="M53" s="462"/>
      <c r="N53" s="463"/>
      <c r="O53" s="464"/>
      <c r="Q53" s="6" t="s">
        <v>2</v>
      </c>
      <c r="R53" s="11" t="s">
        <v>25</v>
      </c>
      <c r="S53" s="468" t="s">
        <v>27</v>
      </c>
      <c r="T53" s="469"/>
    </row>
    <row r="54" spans="1:20" ht="12" customHeight="1" x14ac:dyDescent="0.25">
      <c r="A54" s="6"/>
      <c r="B54" s="6"/>
      <c r="C54" s="51" t="s">
        <v>2</v>
      </c>
      <c r="D54" s="36"/>
      <c r="E54" s="37"/>
      <c r="F54" s="37"/>
      <c r="G54" s="37"/>
      <c r="H54" s="38"/>
      <c r="I54" s="11"/>
      <c r="J54" s="6" t="s">
        <v>6</v>
      </c>
      <c r="K54" s="54"/>
      <c r="L54" s="59" t="s">
        <v>45</v>
      </c>
      <c r="M54" s="465"/>
      <c r="N54" s="466"/>
      <c r="O54" s="467"/>
      <c r="Q54" s="7"/>
      <c r="R54" s="59" t="s">
        <v>26</v>
      </c>
      <c r="S54" s="8"/>
      <c r="T54" s="9"/>
    </row>
    <row r="55" spans="1:20" ht="12" customHeight="1" x14ac:dyDescent="0.25">
      <c r="A55" s="20">
        <v>1</v>
      </c>
      <c r="B55" s="18"/>
      <c r="C55" s="81" t="str">
        <f>DATA!D10</f>
        <v>Abid Lionel Abdillah</v>
      </c>
      <c r="D55" s="39" t="s">
        <v>63</v>
      </c>
      <c r="E55" s="40"/>
      <c r="F55" s="40"/>
      <c r="G55" s="40"/>
      <c r="H55" s="41"/>
      <c r="I55" s="20">
        <f>SUM(D55:H55)</f>
        <v>0</v>
      </c>
      <c r="J55" s="46">
        <f>I55</f>
        <v>0</v>
      </c>
      <c r="K55" s="21" t="str">
        <f>IF(J55&lt;$N$10,"tdk tuntas","tuntas")</f>
        <v>tdk tuntas</v>
      </c>
      <c r="L55" s="132" t="str">
        <f>IF(J55&lt;=39.9,"77",IF(J55&lt;=59.9,"78",IF(J55&lt;=69.9,"79",IF(J55&lt;=74.9,"79",IF(J55&lt;=78.9,"79",IF(J55&lt;=78.9,"79",IF(J55&gt;=78.9,J55," ")))))))</f>
        <v>77</v>
      </c>
      <c r="M55" s="12"/>
      <c r="N55" s="23"/>
      <c r="O55" s="13"/>
      <c r="Q55" s="67" t="str">
        <f>C55</f>
        <v>Abid Lionel Abdillah</v>
      </c>
      <c r="R55" s="21" t="str">
        <f>IF(I55&lt;$N$10,"80","")</f>
        <v>80</v>
      </c>
      <c r="S55" s="12"/>
      <c r="T55" s="13"/>
    </row>
    <row r="56" spans="1:20" ht="12" customHeight="1" x14ac:dyDescent="0.25">
      <c r="A56" s="21">
        <v>2</v>
      </c>
      <c r="B56" s="19"/>
      <c r="C56" s="82" t="str">
        <f>DATA!D11</f>
        <v>Aditria Bintang Mustofa</v>
      </c>
      <c r="D56" s="42" t="s">
        <v>63</v>
      </c>
      <c r="E56" s="43"/>
      <c r="F56" s="43"/>
      <c r="G56" s="43"/>
      <c r="H56" s="44"/>
      <c r="I56" s="21">
        <f t="shared" ref="I56:I88" si="11">SUM(D56:H56)</f>
        <v>0</v>
      </c>
      <c r="J56" s="45">
        <f t="shared" ref="J56:J88" si="12">I56</f>
        <v>0</v>
      </c>
      <c r="K56" s="21" t="str">
        <f t="shared" ref="K56:K88" si="13">IF(J56&lt;$N$10,"tdk tuntas","tuntas")</f>
        <v>tdk tuntas</v>
      </c>
      <c r="L56" s="135" t="str">
        <f t="shared" ref="L56:L89" si="14">IF(J56&lt;=39.9,"77",IF(J56&lt;=59.9,"78",IF(J56&lt;=69.9,"79",IF(J56&lt;=74.9,"79",IF(J56&lt;=78.9,"79",IF(J56&lt;=78.9,"79",IF(J56&gt;=78.9,J56," ")))))))</f>
        <v>77</v>
      </c>
      <c r="M56" s="14"/>
      <c r="N56" s="24"/>
      <c r="O56" s="15"/>
      <c r="Q56" s="68" t="str">
        <f t="shared" ref="Q56:Q88" si="15">C56</f>
        <v>Aditria Bintang Mustofa</v>
      </c>
      <c r="R56" s="21" t="str">
        <f>IF(I56&lt;$N$10,"79","")</f>
        <v>79</v>
      </c>
      <c r="S56" s="14" t="s">
        <v>29</v>
      </c>
      <c r="T56" s="15"/>
    </row>
    <row r="57" spans="1:20" ht="12" customHeight="1" thickBot="1" x14ac:dyDescent="0.35">
      <c r="A57" s="21">
        <v>3</v>
      </c>
      <c r="B57" s="19"/>
      <c r="C57" s="82" t="str">
        <f>DATA!D12</f>
        <v>Agni Wulan Pramesti</v>
      </c>
      <c r="D57" s="42" t="s">
        <v>63</v>
      </c>
      <c r="E57" s="43"/>
      <c r="F57" s="43"/>
      <c r="G57" s="43"/>
      <c r="H57" s="44"/>
      <c r="I57" s="21">
        <f t="shared" si="11"/>
        <v>0</v>
      </c>
      <c r="J57" s="45">
        <f t="shared" si="12"/>
        <v>0</v>
      </c>
      <c r="K57" s="21" t="str">
        <f t="shared" si="13"/>
        <v>tdk tuntas</v>
      </c>
      <c r="L57" s="135" t="str">
        <f t="shared" si="14"/>
        <v>77</v>
      </c>
      <c r="M57" s="70" t="s">
        <v>62</v>
      </c>
      <c r="N57" s="76">
        <f>N10</f>
        <v>80</v>
      </c>
      <c r="O57" s="15"/>
      <c r="Q57" s="68" t="str">
        <f t="shared" si="15"/>
        <v>Agni Wulan Pramesti</v>
      </c>
      <c r="R57" s="21" t="str">
        <f>IF(I57&lt;$N$10,"81","")</f>
        <v>81</v>
      </c>
      <c r="S57" s="26"/>
      <c r="T57" s="15"/>
    </row>
    <row r="58" spans="1:20" ht="12" customHeight="1" thickTop="1" thickBot="1" x14ac:dyDescent="0.3">
      <c r="A58" s="21">
        <v>4</v>
      </c>
      <c r="B58" s="19"/>
      <c r="C58" s="82" t="str">
        <f>DATA!D13</f>
        <v>Ahmad Irfan Annadif</v>
      </c>
      <c r="D58" s="42" t="s">
        <v>63</v>
      </c>
      <c r="E58" s="43"/>
      <c r="F58" s="43"/>
      <c r="G58" s="43"/>
      <c r="H58" s="44"/>
      <c r="I58" s="21">
        <f>SUM(D58:H58)</f>
        <v>0</v>
      </c>
      <c r="J58" s="45">
        <f>I58</f>
        <v>0</v>
      </c>
      <c r="K58" s="21" t="str">
        <f>IF(J58&lt;$N$10,"tdk tuntas","tuntas")</f>
        <v>tdk tuntas</v>
      </c>
      <c r="L58" s="135" t="str">
        <f t="shared" si="14"/>
        <v>77</v>
      </c>
      <c r="M58" s="14"/>
      <c r="N58" s="24"/>
      <c r="O58" s="15"/>
      <c r="Q58" s="68" t="str">
        <f t="shared" si="15"/>
        <v>Ahmad Irfan Annadif</v>
      </c>
      <c r="R58" s="21" t="str">
        <f t="shared" ref="R58:R63" si="16">IF(I58&lt;$N$10,"79","")</f>
        <v>79</v>
      </c>
      <c r="S58" s="62"/>
      <c r="T58" s="15" t="s">
        <v>35</v>
      </c>
    </row>
    <row r="59" spans="1:20" ht="12" customHeight="1" thickTop="1" thickBot="1" x14ac:dyDescent="0.3">
      <c r="A59" s="21">
        <v>5</v>
      </c>
      <c r="B59" s="19"/>
      <c r="C59" s="82" t="str">
        <f>DATA!D14</f>
        <v>Alesha Najwa Adelia</v>
      </c>
      <c r="D59" s="42" t="s">
        <v>63</v>
      </c>
      <c r="E59" s="43"/>
      <c r="F59" s="43"/>
      <c r="G59" s="43"/>
      <c r="H59" s="44"/>
      <c r="I59" s="21">
        <f t="shared" si="11"/>
        <v>0</v>
      </c>
      <c r="J59" s="45">
        <f t="shared" si="12"/>
        <v>0</v>
      </c>
      <c r="K59" s="21" t="str">
        <f t="shared" si="13"/>
        <v>tdk tuntas</v>
      </c>
      <c r="L59" s="135" t="str">
        <f t="shared" si="14"/>
        <v>77</v>
      </c>
      <c r="M59" s="14"/>
      <c r="N59" s="24"/>
      <c r="O59" s="15"/>
      <c r="Q59" s="68" t="str">
        <f t="shared" si="15"/>
        <v>Alesha Najwa Adelia</v>
      </c>
      <c r="R59" s="21" t="str">
        <f t="shared" si="16"/>
        <v>79</v>
      </c>
      <c r="S59" s="62"/>
      <c r="T59" s="15" t="s">
        <v>38</v>
      </c>
    </row>
    <row r="60" spans="1:20" ht="12" customHeight="1" thickTop="1" thickBot="1" x14ac:dyDescent="0.3">
      <c r="A60" s="21">
        <v>6</v>
      </c>
      <c r="B60" s="19"/>
      <c r="C60" s="82" t="str">
        <f>DATA!D15</f>
        <v>Ana Kharisma Wardani</v>
      </c>
      <c r="D60" s="42" t="s">
        <v>63</v>
      </c>
      <c r="E60" s="43"/>
      <c r="F60" s="43"/>
      <c r="G60" s="43"/>
      <c r="H60" s="44"/>
      <c r="I60" s="21">
        <f t="shared" si="11"/>
        <v>0</v>
      </c>
      <c r="J60" s="45">
        <f t="shared" si="12"/>
        <v>0</v>
      </c>
      <c r="K60" s="21" t="str">
        <f t="shared" si="13"/>
        <v>tdk tuntas</v>
      </c>
      <c r="L60" s="135" t="str">
        <f t="shared" si="14"/>
        <v>77</v>
      </c>
      <c r="M60" s="14" t="s">
        <v>10</v>
      </c>
      <c r="N60" s="24"/>
      <c r="O60" s="15"/>
      <c r="Q60" s="68" t="str">
        <f t="shared" si="15"/>
        <v>Ana Kharisma Wardani</v>
      </c>
      <c r="R60" s="21" t="str">
        <f t="shared" si="16"/>
        <v>79</v>
      </c>
      <c r="S60" s="14"/>
      <c r="T60" s="15" t="s">
        <v>39</v>
      </c>
    </row>
    <row r="61" spans="1:20" ht="12" customHeight="1" thickTop="1" thickBot="1" x14ac:dyDescent="0.35">
      <c r="A61" s="21">
        <v>7</v>
      </c>
      <c r="B61" s="19"/>
      <c r="C61" s="82" t="str">
        <f>DATA!D16</f>
        <v>Angga Rizki Satriya Utama</v>
      </c>
      <c r="D61" s="42" t="s">
        <v>63</v>
      </c>
      <c r="E61" s="43"/>
      <c r="F61" s="43"/>
      <c r="G61" s="43"/>
      <c r="H61" s="44"/>
      <c r="I61" s="21">
        <f t="shared" si="11"/>
        <v>0</v>
      </c>
      <c r="J61" s="45">
        <f t="shared" si="12"/>
        <v>0</v>
      </c>
      <c r="K61" s="21" t="str">
        <f t="shared" si="13"/>
        <v>tdk tuntas</v>
      </c>
      <c r="L61" s="135" t="str">
        <f t="shared" si="14"/>
        <v>77</v>
      </c>
      <c r="M61" s="14"/>
      <c r="N61" s="24"/>
      <c r="O61" s="15"/>
      <c r="Q61" s="68" t="str">
        <f t="shared" si="15"/>
        <v>Angga Rizki Satriya Utama</v>
      </c>
      <c r="R61" s="21" t="str">
        <f t="shared" si="16"/>
        <v>79</v>
      </c>
      <c r="S61" s="71" t="s">
        <v>46</v>
      </c>
      <c r="T61" s="73" t="s">
        <v>36</v>
      </c>
    </row>
    <row r="62" spans="1:20" ht="12" customHeight="1" thickTop="1" x14ac:dyDescent="0.3">
      <c r="A62" s="21">
        <v>8</v>
      </c>
      <c r="B62" s="19"/>
      <c r="C62" s="82" t="str">
        <f>DATA!D17</f>
        <v>Ardiyan Vebri Pratama</v>
      </c>
      <c r="D62" s="42" t="s">
        <v>63</v>
      </c>
      <c r="E62" s="43"/>
      <c r="F62" s="43"/>
      <c r="G62" s="43"/>
      <c r="H62" s="44"/>
      <c r="I62" s="21">
        <f t="shared" si="11"/>
        <v>0</v>
      </c>
      <c r="J62" s="45">
        <f t="shared" si="12"/>
        <v>0</v>
      </c>
      <c r="K62" s="21" t="str">
        <f t="shared" si="13"/>
        <v>tdk tuntas</v>
      </c>
      <c r="L62" s="135" t="str">
        <f t="shared" si="14"/>
        <v>77</v>
      </c>
      <c r="M62" s="77" t="s">
        <v>51</v>
      </c>
      <c r="N62" s="24"/>
      <c r="O62" s="15"/>
      <c r="Q62" s="68" t="str">
        <f t="shared" si="15"/>
        <v>Ardiyan Vebri Pratama</v>
      </c>
      <c r="R62" s="21" t="str">
        <f t="shared" si="16"/>
        <v>79</v>
      </c>
      <c r="S62" s="70"/>
      <c r="T62" s="73" t="s">
        <v>37</v>
      </c>
    </row>
    <row r="63" spans="1:20" ht="12" customHeight="1" x14ac:dyDescent="0.25">
      <c r="A63" s="21">
        <v>9</v>
      </c>
      <c r="B63" s="19"/>
      <c r="C63" s="82" t="str">
        <f>DATA!D18</f>
        <v>Aurel Azza Adellia Putri</v>
      </c>
      <c r="D63" s="42" t="s">
        <v>63</v>
      </c>
      <c r="E63" s="43"/>
      <c r="F63" s="43"/>
      <c r="G63" s="43"/>
      <c r="H63" s="44"/>
      <c r="I63" s="21">
        <f t="shared" si="11"/>
        <v>0</v>
      </c>
      <c r="J63" s="45">
        <f t="shared" si="12"/>
        <v>0</v>
      </c>
      <c r="K63" s="21" t="str">
        <f t="shared" si="13"/>
        <v>tdk tuntas</v>
      </c>
      <c r="L63" s="135" t="str">
        <f t="shared" si="14"/>
        <v>77</v>
      </c>
      <c r="N63" s="24"/>
      <c r="O63" s="15"/>
      <c r="Q63" s="68" t="str">
        <f t="shared" si="15"/>
        <v>Aurel Azza Adellia Putri</v>
      </c>
      <c r="R63" s="21" t="str">
        <f t="shared" si="16"/>
        <v>79</v>
      </c>
      <c r="S63" s="14"/>
      <c r="T63" s="15"/>
    </row>
    <row r="64" spans="1:20" ht="12" customHeight="1" x14ac:dyDescent="0.25">
      <c r="A64" s="21">
        <v>10</v>
      </c>
      <c r="B64" s="19"/>
      <c r="C64" s="82" t="str">
        <f>DATA!D19</f>
        <v>Darasti Keyshafa Azumi</v>
      </c>
      <c r="D64" s="42" t="s">
        <v>63</v>
      </c>
      <c r="E64" s="43"/>
      <c r="F64" s="43"/>
      <c r="G64" s="43"/>
      <c r="H64" s="44"/>
      <c r="I64" s="21">
        <f t="shared" si="11"/>
        <v>0</v>
      </c>
      <c r="J64" s="45">
        <f t="shared" si="12"/>
        <v>0</v>
      </c>
      <c r="K64" s="21" t="str">
        <f t="shared" si="13"/>
        <v>tdk tuntas</v>
      </c>
      <c r="L64" s="135" t="str">
        <f t="shared" si="14"/>
        <v>77</v>
      </c>
      <c r="M64" s="14"/>
      <c r="N64" s="24"/>
      <c r="O64" s="15"/>
      <c r="Q64" s="68" t="str">
        <f t="shared" si="15"/>
        <v>Darasti Keyshafa Azumi</v>
      </c>
      <c r="R64" s="21" t="str">
        <f t="shared" ref="R64:R69" si="17">IF(I64&lt;$N$10,"85","")</f>
        <v>85</v>
      </c>
      <c r="S64" s="14" t="s">
        <v>30</v>
      </c>
      <c r="T64" s="15"/>
    </row>
    <row r="65" spans="1:20" ht="12" customHeight="1" thickBot="1" x14ac:dyDescent="0.3">
      <c r="A65" s="21">
        <v>11</v>
      </c>
      <c r="B65" s="19"/>
      <c r="C65" s="82" t="str">
        <f>DATA!D20</f>
        <v>Dea Resti Lian Dana Sari</v>
      </c>
      <c r="D65" s="42" t="s">
        <v>63</v>
      </c>
      <c r="E65" s="43"/>
      <c r="F65" s="43"/>
      <c r="G65" s="43"/>
      <c r="H65" s="44"/>
      <c r="I65" s="21">
        <f t="shared" si="11"/>
        <v>0</v>
      </c>
      <c r="J65" s="45">
        <f t="shared" si="12"/>
        <v>0</v>
      </c>
      <c r="K65" s="21" t="str">
        <f t="shared" si="13"/>
        <v>tdk tuntas</v>
      </c>
      <c r="L65" s="135" t="str">
        <f t="shared" si="14"/>
        <v>77</v>
      </c>
      <c r="M65" s="14"/>
      <c r="N65" s="24"/>
      <c r="O65" s="15"/>
      <c r="Q65" s="68" t="str">
        <f t="shared" si="15"/>
        <v>Dea Resti Lian Dana Sari</v>
      </c>
      <c r="R65" s="21" t="str">
        <f t="shared" si="17"/>
        <v>85</v>
      </c>
      <c r="T65" s="15"/>
    </row>
    <row r="66" spans="1:20" ht="12" customHeight="1" thickTop="1" thickBot="1" x14ac:dyDescent="0.35">
      <c r="A66" s="21">
        <v>12</v>
      </c>
      <c r="B66" s="19"/>
      <c r="C66" s="82" t="str">
        <f>DATA!D21</f>
        <v>Desta Dwi Lestari</v>
      </c>
      <c r="D66" s="42" t="s">
        <v>63</v>
      </c>
      <c r="E66" s="43"/>
      <c r="F66" s="43"/>
      <c r="G66" s="43"/>
      <c r="H66" s="44"/>
      <c r="I66" s="21">
        <f t="shared" si="11"/>
        <v>0</v>
      </c>
      <c r="J66" s="45">
        <f t="shared" si="12"/>
        <v>0</v>
      </c>
      <c r="K66" s="21" t="str">
        <f t="shared" si="13"/>
        <v>tdk tuntas</v>
      </c>
      <c r="L66" s="135" t="str">
        <f t="shared" si="14"/>
        <v>77</v>
      </c>
      <c r="M66" s="14" t="s">
        <v>11</v>
      </c>
      <c r="N66" s="58">
        <f>K93</f>
        <v>34</v>
      </c>
      <c r="O66" s="15"/>
      <c r="Q66" s="68" t="str">
        <f t="shared" si="15"/>
        <v>Desta Dwi Lestari</v>
      </c>
      <c r="R66" s="21" t="str">
        <f t="shared" si="17"/>
        <v>85</v>
      </c>
      <c r="S66" s="71" t="s">
        <v>46</v>
      </c>
      <c r="T66" s="73" t="s">
        <v>31</v>
      </c>
    </row>
    <row r="67" spans="1:20" ht="12" customHeight="1" thickTop="1" thickBot="1" x14ac:dyDescent="0.35">
      <c r="A67" s="21">
        <v>13</v>
      </c>
      <c r="B67" s="19"/>
      <c r="C67" s="82" t="str">
        <f>DATA!D22</f>
        <v>Faaz Nizzar Ardiansyah</v>
      </c>
      <c r="D67" s="42" t="s">
        <v>63</v>
      </c>
      <c r="E67" s="43"/>
      <c r="F67" s="43"/>
      <c r="G67" s="43"/>
      <c r="H67" s="44"/>
      <c r="I67" s="21">
        <f t="shared" si="11"/>
        <v>0</v>
      </c>
      <c r="J67" s="45">
        <f t="shared" si="12"/>
        <v>0</v>
      </c>
      <c r="K67" s="21" t="str">
        <f t="shared" si="13"/>
        <v>tdk tuntas</v>
      </c>
      <c r="L67" s="135" t="str">
        <f t="shared" si="14"/>
        <v>77</v>
      </c>
      <c r="M67" s="14" t="s">
        <v>12</v>
      </c>
      <c r="N67" s="58">
        <f>K91</f>
        <v>0</v>
      </c>
      <c r="O67" s="15"/>
      <c r="Q67" s="68" t="str">
        <f t="shared" si="15"/>
        <v>Faaz Nizzar Ardiansyah</v>
      </c>
      <c r="R67" s="21" t="str">
        <f t="shared" si="17"/>
        <v>85</v>
      </c>
      <c r="S67" s="70"/>
      <c r="T67" s="73" t="s">
        <v>32</v>
      </c>
    </row>
    <row r="68" spans="1:20" ht="12" customHeight="1" thickTop="1" thickBot="1" x14ac:dyDescent="0.35">
      <c r="A68" s="21">
        <v>14</v>
      </c>
      <c r="B68" s="19"/>
      <c r="C68" s="82" t="str">
        <f>DATA!D23</f>
        <v>Hazel Javier Ozora</v>
      </c>
      <c r="D68" s="42" t="s">
        <v>63</v>
      </c>
      <c r="E68" s="43"/>
      <c r="F68" s="43"/>
      <c r="G68" s="43"/>
      <c r="H68" s="44"/>
      <c r="I68" s="21">
        <f t="shared" si="11"/>
        <v>0</v>
      </c>
      <c r="J68" s="45">
        <f t="shared" si="12"/>
        <v>0</v>
      </c>
      <c r="K68" s="21" t="str">
        <f t="shared" si="13"/>
        <v>tdk tuntas</v>
      </c>
      <c r="L68" s="135" t="str">
        <f t="shared" si="14"/>
        <v>77</v>
      </c>
      <c r="M68" s="14" t="s">
        <v>13</v>
      </c>
      <c r="N68" s="58">
        <f>N67/N66*100</f>
        <v>0</v>
      </c>
      <c r="O68" s="15" t="s">
        <v>4</v>
      </c>
      <c r="Q68" s="68" t="str">
        <f t="shared" si="15"/>
        <v>Hazel Javier Ozora</v>
      </c>
      <c r="R68" s="21" t="str">
        <f t="shared" si="17"/>
        <v>85</v>
      </c>
      <c r="S68" s="62"/>
      <c r="T68" s="15" t="s">
        <v>33</v>
      </c>
    </row>
    <row r="69" spans="1:20" ht="12" customHeight="1" thickTop="1" x14ac:dyDescent="0.25">
      <c r="A69" s="21">
        <v>15</v>
      </c>
      <c r="B69" s="19"/>
      <c r="C69" s="82" t="str">
        <f>DATA!D24</f>
        <v>Indika Dwi Laksono</v>
      </c>
      <c r="D69" s="42" t="s">
        <v>63</v>
      </c>
      <c r="E69" s="43"/>
      <c r="F69" s="43"/>
      <c r="G69" s="43"/>
      <c r="H69" s="44"/>
      <c r="I69" s="21">
        <f t="shared" si="11"/>
        <v>0</v>
      </c>
      <c r="J69" s="45">
        <f t="shared" si="12"/>
        <v>0</v>
      </c>
      <c r="K69" s="21" t="str">
        <f t="shared" si="13"/>
        <v>tdk tuntas</v>
      </c>
      <c r="L69" s="135" t="str">
        <f t="shared" si="14"/>
        <v>77</v>
      </c>
      <c r="M69" s="14"/>
      <c r="N69" s="24"/>
      <c r="O69" s="15"/>
      <c r="Q69" s="68" t="str">
        <f t="shared" si="15"/>
        <v>Indika Dwi Laksono</v>
      </c>
      <c r="R69" s="21" t="str">
        <f t="shared" si="17"/>
        <v>85</v>
      </c>
      <c r="S69" s="14"/>
      <c r="T69" s="15" t="s">
        <v>34</v>
      </c>
    </row>
    <row r="70" spans="1:20" ht="12" customHeight="1" x14ac:dyDescent="0.25">
      <c r="A70" s="21">
        <v>16</v>
      </c>
      <c r="B70" s="19"/>
      <c r="C70" s="82" t="str">
        <f>DATA!D25</f>
        <v>Indra Rahma Azzahra</v>
      </c>
      <c r="D70" s="42" t="s">
        <v>63</v>
      </c>
      <c r="E70" s="43"/>
      <c r="F70" s="43"/>
      <c r="G70" s="43"/>
      <c r="H70" s="44"/>
      <c r="I70" s="21">
        <f t="shared" si="11"/>
        <v>0</v>
      </c>
      <c r="J70" s="45">
        <f t="shared" si="12"/>
        <v>0</v>
      </c>
      <c r="K70" s="21" t="str">
        <f t="shared" si="13"/>
        <v>tdk tuntas</v>
      </c>
      <c r="L70" s="135" t="str">
        <f t="shared" si="14"/>
        <v>77</v>
      </c>
      <c r="M70" s="14" t="s">
        <v>52</v>
      </c>
      <c r="N70" s="24"/>
      <c r="O70" s="15"/>
      <c r="Q70" s="68" t="str">
        <f t="shared" si="15"/>
        <v>Indra Rahma Azzahra</v>
      </c>
      <c r="R70" s="21" t="str">
        <f>IF(I70&lt;$N$10,"84","")</f>
        <v>84</v>
      </c>
      <c r="S70" s="14"/>
      <c r="T70" s="15"/>
    </row>
    <row r="71" spans="1:20" ht="12" customHeight="1" x14ac:dyDescent="0.25">
      <c r="A71" s="21">
        <v>17</v>
      </c>
      <c r="B71" s="19"/>
      <c r="C71" s="82" t="str">
        <f>DATA!D26</f>
        <v>Lutfia Asri Wahyuni</v>
      </c>
      <c r="D71" s="42" t="s">
        <v>63</v>
      </c>
      <c r="E71" s="43"/>
      <c r="F71" s="43"/>
      <c r="G71" s="43"/>
      <c r="H71" s="44"/>
      <c r="I71" s="21">
        <f t="shared" si="11"/>
        <v>0</v>
      </c>
      <c r="J71" s="45">
        <f t="shared" si="12"/>
        <v>0</v>
      </c>
      <c r="K71" s="21" t="str">
        <f t="shared" si="13"/>
        <v>tdk tuntas</v>
      </c>
      <c r="L71" s="135" t="str">
        <f t="shared" si="14"/>
        <v>77</v>
      </c>
      <c r="N71" s="24"/>
      <c r="O71" s="15"/>
      <c r="Q71" s="68" t="str">
        <f t="shared" si="15"/>
        <v>Lutfia Asri Wahyuni</v>
      </c>
      <c r="R71" s="21" t="str">
        <f t="shared" ref="R71:R77" si="18">IF(I71&lt;$N$10,"82","")</f>
        <v>82</v>
      </c>
      <c r="S71" s="14"/>
      <c r="T71" s="63" t="s">
        <v>41</v>
      </c>
    </row>
    <row r="72" spans="1:20" ht="12" customHeight="1" x14ac:dyDescent="0.25">
      <c r="A72" s="21">
        <v>18</v>
      </c>
      <c r="B72" s="19"/>
      <c r="C72" s="82" t="str">
        <f>DATA!D27</f>
        <v>Muhamad Fadil Khoiri</v>
      </c>
      <c r="D72" s="42" t="s">
        <v>63</v>
      </c>
      <c r="E72" s="43"/>
      <c r="F72" s="43"/>
      <c r="G72" s="43"/>
      <c r="H72" s="44"/>
      <c r="I72" s="21">
        <f t="shared" si="11"/>
        <v>0</v>
      </c>
      <c r="J72" s="45">
        <f t="shared" si="12"/>
        <v>0</v>
      </c>
      <c r="K72" s="21" t="str">
        <f t="shared" si="13"/>
        <v>tdk tuntas</v>
      </c>
      <c r="L72" s="135" t="str">
        <f t="shared" si="14"/>
        <v>77</v>
      </c>
      <c r="M72" s="14"/>
      <c r="N72" s="24"/>
      <c r="O72" s="15"/>
      <c r="Q72" s="68" t="str">
        <f t="shared" si="15"/>
        <v>Muhamad Fadil Khoiri</v>
      </c>
      <c r="R72" s="21" t="str">
        <f t="shared" si="18"/>
        <v>82</v>
      </c>
      <c r="S72" s="14"/>
      <c r="T72" s="63"/>
    </row>
    <row r="73" spans="1:20" ht="12" customHeight="1" x14ac:dyDescent="0.25">
      <c r="A73" s="21">
        <v>19</v>
      </c>
      <c r="B73" s="19"/>
      <c r="C73" s="82" t="str">
        <f>DATA!D28</f>
        <v>Muhammad Aqil Mufid</v>
      </c>
      <c r="D73" s="42" t="s">
        <v>63</v>
      </c>
      <c r="E73" s="43"/>
      <c r="F73" s="43"/>
      <c r="G73" s="43"/>
      <c r="H73" s="44"/>
      <c r="I73" s="21">
        <f t="shared" si="11"/>
        <v>0</v>
      </c>
      <c r="J73" s="45">
        <f t="shared" si="12"/>
        <v>0</v>
      </c>
      <c r="K73" s="21" t="str">
        <f t="shared" si="13"/>
        <v>tdk tuntas</v>
      </c>
      <c r="L73" s="135" t="str">
        <f t="shared" si="14"/>
        <v>77</v>
      </c>
      <c r="M73" s="14"/>
      <c r="N73" s="24"/>
      <c r="O73" s="15"/>
      <c r="Q73" s="68" t="str">
        <f t="shared" si="15"/>
        <v>Muhammad Aqil Mufid</v>
      </c>
      <c r="R73" s="21" t="str">
        <f t="shared" si="18"/>
        <v>82</v>
      </c>
      <c r="S73" s="14"/>
      <c r="T73" s="63"/>
    </row>
    <row r="74" spans="1:20" ht="12" customHeight="1" x14ac:dyDescent="0.25">
      <c r="A74" s="21">
        <v>20</v>
      </c>
      <c r="B74" s="19"/>
      <c r="C74" s="82" t="str">
        <f>DATA!D29</f>
        <v>Muhammad Danish Alzydan</v>
      </c>
      <c r="D74" s="42" t="s">
        <v>63</v>
      </c>
      <c r="E74" s="43"/>
      <c r="F74" s="43"/>
      <c r="G74" s="43"/>
      <c r="H74" s="44"/>
      <c r="I74" s="21">
        <f t="shared" si="11"/>
        <v>0</v>
      </c>
      <c r="J74" s="45">
        <f t="shared" si="12"/>
        <v>0</v>
      </c>
      <c r="K74" s="21" t="str">
        <f t="shared" si="13"/>
        <v>tdk tuntas</v>
      </c>
      <c r="L74" s="135" t="str">
        <f t="shared" si="14"/>
        <v>77</v>
      </c>
      <c r="M74" s="14" t="s">
        <v>53</v>
      </c>
      <c r="N74" s="78">
        <f>I91</f>
        <v>0</v>
      </c>
      <c r="O74" s="15"/>
      <c r="Q74" s="68" t="str">
        <f t="shared" si="15"/>
        <v>Muhammad Danish Alzydan</v>
      </c>
      <c r="R74" s="21" t="str">
        <f t="shared" si="18"/>
        <v>82</v>
      </c>
      <c r="S74" s="14"/>
      <c r="T74" s="63"/>
    </row>
    <row r="75" spans="1:20" ht="12" customHeight="1" x14ac:dyDescent="0.25">
      <c r="A75" s="21">
        <v>21</v>
      </c>
      <c r="B75" s="19"/>
      <c r="C75" s="82" t="str">
        <f>DATA!D30</f>
        <v>Muhammad Nurul Huda</v>
      </c>
      <c r="D75" s="42" t="s">
        <v>63</v>
      </c>
      <c r="E75" s="43"/>
      <c r="F75" s="43"/>
      <c r="G75" s="43"/>
      <c r="H75" s="44"/>
      <c r="I75" s="21">
        <f t="shared" si="11"/>
        <v>0</v>
      </c>
      <c r="J75" s="45">
        <f t="shared" si="12"/>
        <v>0</v>
      </c>
      <c r="K75" s="21" t="str">
        <f t="shared" si="13"/>
        <v>tdk tuntas</v>
      </c>
      <c r="L75" s="135" t="str">
        <f t="shared" si="14"/>
        <v>77</v>
      </c>
      <c r="M75" s="14" t="s">
        <v>54</v>
      </c>
      <c r="N75" s="78">
        <f>I92</f>
        <v>3400</v>
      </c>
      <c r="O75" s="15"/>
      <c r="Q75" s="68" t="str">
        <f t="shared" si="15"/>
        <v>Muhammad Nurul Huda</v>
      </c>
      <c r="R75" s="21" t="str">
        <f t="shared" si="18"/>
        <v>82</v>
      </c>
      <c r="S75" s="14"/>
      <c r="T75" s="63" t="str">
        <f>T28</f>
        <v>KASMIN, S.Pd</v>
      </c>
    </row>
    <row r="76" spans="1:20" ht="12" customHeight="1" x14ac:dyDescent="0.25">
      <c r="A76" s="21">
        <v>22</v>
      </c>
      <c r="B76" s="19"/>
      <c r="C76" s="82" t="str">
        <f>DATA!D31</f>
        <v>Nada Aprillia Zulfa Fairuz</v>
      </c>
      <c r="D76" s="42" t="s">
        <v>63</v>
      </c>
      <c r="E76" s="43"/>
      <c r="F76" s="43"/>
      <c r="G76" s="43"/>
      <c r="H76" s="44"/>
      <c r="I76" s="21">
        <f t="shared" si="11"/>
        <v>0</v>
      </c>
      <c r="J76" s="45">
        <f t="shared" si="12"/>
        <v>0</v>
      </c>
      <c r="K76" s="21" t="str">
        <f t="shared" si="13"/>
        <v>tdk tuntas</v>
      </c>
      <c r="L76" s="135" t="str">
        <f t="shared" si="14"/>
        <v>77</v>
      </c>
      <c r="M76" s="14" t="s">
        <v>13</v>
      </c>
      <c r="N76" s="84">
        <f>N74/N75*100</f>
        <v>0</v>
      </c>
      <c r="O76" s="79" t="s">
        <v>4</v>
      </c>
      <c r="Q76" s="68" t="str">
        <f t="shared" si="15"/>
        <v>Nada Aprillia Zulfa Fairuz</v>
      </c>
      <c r="R76" s="21" t="str">
        <f t="shared" si="18"/>
        <v>82</v>
      </c>
      <c r="S76" s="14"/>
      <c r="T76" s="63" t="str">
        <f>T29</f>
        <v>NIP : 196609141990031007</v>
      </c>
    </row>
    <row r="77" spans="1:20" ht="12" customHeight="1" x14ac:dyDescent="0.25">
      <c r="A77" s="21">
        <v>23</v>
      </c>
      <c r="B77" s="19"/>
      <c r="C77" s="82" t="str">
        <f>DATA!D32</f>
        <v>Nadaa Fadiyah Salsabila</v>
      </c>
      <c r="D77" s="42" t="s">
        <v>63</v>
      </c>
      <c r="E77" s="43"/>
      <c r="F77" s="43"/>
      <c r="G77" s="43"/>
      <c r="H77" s="44"/>
      <c r="I77" s="21">
        <f t="shared" si="11"/>
        <v>0</v>
      </c>
      <c r="J77" s="45">
        <f t="shared" si="12"/>
        <v>0</v>
      </c>
      <c r="K77" s="21" t="str">
        <f t="shared" si="13"/>
        <v>tdk tuntas</v>
      </c>
      <c r="L77" s="135" t="str">
        <f t="shared" si="14"/>
        <v>77</v>
      </c>
      <c r="M77" s="14"/>
      <c r="N77" s="24"/>
      <c r="O77" s="15"/>
      <c r="Q77" s="68" t="str">
        <f t="shared" si="15"/>
        <v>Nadaa Fadiyah Salsabila</v>
      </c>
      <c r="R77" s="21" t="str">
        <f t="shared" si="18"/>
        <v>82</v>
      </c>
      <c r="S77" s="14"/>
      <c r="T77" s="15"/>
    </row>
    <row r="78" spans="1:20" ht="12" customHeight="1" x14ac:dyDescent="0.25">
      <c r="A78" s="21">
        <v>24</v>
      </c>
      <c r="B78" s="19"/>
      <c r="C78" s="82" t="str">
        <f>DATA!D33</f>
        <v>Nayla Oriza Shatifa</v>
      </c>
      <c r="D78" s="42" t="s">
        <v>63</v>
      </c>
      <c r="E78" s="43"/>
      <c r="F78" s="43"/>
      <c r="G78" s="43"/>
      <c r="H78" s="44"/>
      <c r="I78" s="21">
        <f t="shared" si="11"/>
        <v>0</v>
      </c>
      <c r="J78" s="45">
        <f t="shared" si="12"/>
        <v>0</v>
      </c>
      <c r="K78" s="21" t="str">
        <f t="shared" si="13"/>
        <v>tdk tuntas</v>
      </c>
      <c r="L78" s="135" t="str">
        <f t="shared" si="14"/>
        <v>77</v>
      </c>
      <c r="M78" s="14"/>
      <c r="N78" s="24"/>
      <c r="O78" s="15"/>
      <c r="Q78" s="68" t="str">
        <f t="shared" si="15"/>
        <v>Nayla Oriza Shatifa</v>
      </c>
      <c r="R78" s="21" t="str">
        <f>IF(I78&lt;$N$10,"79","")</f>
        <v>79</v>
      </c>
      <c r="S78" s="14"/>
      <c r="T78" s="63" t="s">
        <v>42</v>
      </c>
    </row>
    <row r="79" spans="1:20" ht="12" customHeight="1" x14ac:dyDescent="0.25">
      <c r="A79" s="21">
        <v>25</v>
      </c>
      <c r="B79" s="19"/>
      <c r="C79" s="82" t="str">
        <f>DATA!D34</f>
        <v>Raditya Eka Putra Yudha</v>
      </c>
      <c r="D79" s="42" t="s">
        <v>63</v>
      </c>
      <c r="E79" s="43"/>
      <c r="F79" s="43"/>
      <c r="G79" s="43"/>
      <c r="H79" s="44"/>
      <c r="I79" s="21">
        <f t="shared" si="11"/>
        <v>0</v>
      </c>
      <c r="J79" s="45">
        <f t="shared" si="12"/>
        <v>0</v>
      </c>
      <c r="K79" s="21" t="str">
        <f t="shared" si="13"/>
        <v>tdk tuntas</v>
      </c>
      <c r="L79" s="135" t="str">
        <f t="shared" si="14"/>
        <v>77</v>
      </c>
      <c r="M79" s="14" t="s">
        <v>14</v>
      </c>
      <c r="N79" s="24"/>
      <c r="O79" s="15"/>
      <c r="Q79" s="68" t="str">
        <f t="shared" si="15"/>
        <v>Raditya Eka Putra Yudha</v>
      </c>
      <c r="R79" s="21" t="str">
        <f>IF(I79&lt;$N$10,"79","")</f>
        <v>79</v>
      </c>
      <c r="S79" s="14"/>
      <c r="T79" s="63"/>
    </row>
    <row r="80" spans="1:20" ht="12" customHeight="1" x14ac:dyDescent="0.25">
      <c r="A80" s="21">
        <v>26</v>
      </c>
      <c r="B80" s="19"/>
      <c r="C80" s="82" t="str">
        <f>DATA!D35</f>
        <v>Ragil Harlangga</v>
      </c>
      <c r="D80" s="42" t="s">
        <v>63</v>
      </c>
      <c r="E80" s="43"/>
      <c r="F80" s="43"/>
      <c r="G80" s="43"/>
      <c r="H80" s="44"/>
      <c r="I80" s="21">
        <f t="shared" si="11"/>
        <v>0</v>
      </c>
      <c r="J80" s="45">
        <f t="shared" si="12"/>
        <v>0</v>
      </c>
      <c r="K80" s="21" t="str">
        <f t="shared" si="13"/>
        <v>tdk tuntas</v>
      </c>
      <c r="L80" s="135" t="str">
        <f t="shared" si="14"/>
        <v>77</v>
      </c>
      <c r="M80" s="14" t="s">
        <v>15</v>
      </c>
      <c r="N80" s="24"/>
      <c r="O80" s="15"/>
      <c r="Q80" s="68" t="str">
        <f t="shared" si="15"/>
        <v>Ragil Harlangga</v>
      </c>
      <c r="R80" s="21" t="str">
        <f>IF(I80&lt;$N$10,"79","")</f>
        <v>79</v>
      </c>
      <c r="S80" s="14"/>
      <c r="T80" s="63"/>
    </row>
    <row r="81" spans="1:20" ht="12" customHeight="1" x14ac:dyDescent="0.3">
      <c r="A81" s="21">
        <v>27</v>
      </c>
      <c r="B81" s="19"/>
      <c r="C81" s="82" t="str">
        <f>DATA!D36</f>
        <v>Rasya Hidayatullah Putra Zatmiko</v>
      </c>
      <c r="D81" s="42" t="s">
        <v>63</v>
      </c>
      <c r="E81" s="43"/>
      <c r="F81" s="43"/>
      <c r="G81" s="43"/>
      <c r="H81" s="44"/>
      <c r="I81" s="21">
        <f t="shared" si="11"/>
        <v>0</v>
      </c>
      <c r="J81" s="45">
        <f t="shared" si="12"/>
        <v>0</v>
      </c>
      <c r="K81" s="21" t="str">
        <f t="shared" si="13"/>
        <v>tdk tuntas</v>
      </c>
      <c r="L81" s="135" t="str">
        <f t="shared" si="14"/>
        <v>77</v>
      </c>
      <c r="M81" s="155" t="s">
        <v>80</v>
      </c>
      <c r="N81" s="24"/>
      <c r="O81" s="15"/>
      <c r="Q81" s="68" t="str">
        <f t="shared" si="15"/>
        <v>Rasya Hidayatullah Putra Zatmiko</v>
      </c>
      <c r="R81" s="21" t="str">
        <f>IF(I81&lt;$N$10,"79","")</f>
        <v>79</v>
      </c>
      <c r="S81" s="14"/>
      <c r="T81" s="63"/>
    </row>
    <row r="82" spans="1:20" ht="12" customHeight="1" x14ac:dyDescent="0.25">
      <c r="A82" s="21">
        <v>28</v>
      </c>
      <c r="B82" s="19"/>
      <c r="C82" s="82" t="str">
        <f>DATA!D37</f>
        <v>Septiyana Trihapsari</v>
      </c>
      <c r="D82" s="42" t="s">
        <v>63</v>
      </c>
      <c r="E82" s="43"/>
      <c r="F82" s="43"/>
      <c r="G82" s="43"/>
      <c r="H82" s="44"/>
      <c r="I82" s="21">
        <f t="shared" si="11"/>
        <v>0</v>
      </c>
      <c r="J82" s="45">
        <f t="shared" si="12"/>
        <v>0</v>
      </c>
      <c r="K82" s="21" t="str">
        <f t="shared" si="13"/>
        <v>tdk tuntas</v>
      </c>
      <c r="L82" s="135" t="str">
        <f t="shared" si="14"/>
        <v>77</v>
      </c>
      <c r="M82" s="14"/>
      <c r="N82" s="24"/>
      <c r="O82" s="15"/>
      <c r="Q82" s="68" t="str">
        <f t="shared" si="15"/>
        <v>Septiyana Trihapsari</v>
      </c>
      <c r="R82" s="21" t="str">
        <f>IF(I82&lt;$N$10,"81","")</f>
        <v>81</v>
      </c>
      <c r="S82" s="14"/>
      <c r="T82" s="63"/>
    </row>
    <row r="83" spans="1:20" ht="12" customHeight="1" x14ac:dyDescent="0.25">
      <c r="A83" s="21">
        <v>29</v>
      </c>
      <c r="B83" s="19"/>
      <c r="C83" s="82" t="str">
        <f>DATA!D38</f>
        <v>Syarifa Fatma</v>
      </c>
      <c r="D83" s="42" t="s">
        <v>63</v>
      </c>
      <c r="E83" s="43"/>
      <c r="F83" s="43"/>
      <c r="G83" s="43"/>
      <c r="H83" s="44"/>
      <c r="I83" s="21">
        <f t="shared" si="11"/>
        <v>0</v>
      </c>
      <c r="J83" s="45">
        <f t="shared" si="12"/>
        <v>0</v>
      </c>
      <c r="K83" s="21" t="str">
        <f t="shared" si="13"/>
        <v>tdk tuntas</v>
      </c>
      <c r="L83" s="135" t="str">
        <f t="shared" si="14"/>
        <v>77</v>
      </c>
      <c r="M83" s="14"/>
      <c r="N83" s="24"/>
      <c r="O83" s="15"/>
      <c r="Q83" s="68" t="str">
        <f t="shared" si="15"/>
        <v>Syarifa Fatma</v>
      </c>
      <c r="R83" s="21" t="str">
        <f>IF(I83&lt;$N$10,"85","")</f>
        <v>85</v>
      </c>
      <c r="S83" s="14"/>
      <c r="T83" s="63"/>
    </row>
    <row r="84" spans="1:20" ht="12" customHeight="1" x14ac:dyDescent="0.25">
      <c r="A84" s="21">
        <v>30</v>
      </c>
      <c r="B84" s="19"/>
      <c r="C84" s="82" t="str">
        <f>DATA!D39</f>
        <v>Syauqi Lazuardi</v>
      </c>
      <c r="D84" s="42" t="s">
        <v>63</v>
      </c>
      <c r="E84" s="43"/>
      <c r="F84" s="43"/>
      <c r="G84" s="43"/>
      <c r="H84" s="44"/>
      <c r="I84" s="21">
        <f t="shared" si="11"/>
        <v>0</v>
      </c>
      <c r="J84" s="45">
        <f t="shared" si="12"/>
        <v>0</v>
      </c>
      <c r="K84" s="21" t="str">
        <f t="shared" si="13"/>
        <v>tdk tuntas</v>
      </c>
      <c r="L84" s="135" t="str">
        <f t="shared" si="14"/>
        <v>77</v>
      </c>
      <c r="M84" s="14"/>
      <c r="N84" s="24"/>
      <c r="O84" s="15"/>
      <c r="Q84" s="68" t="str">
        <f t="shared" si="15"/>
        <v>Syauqi Lazuardi</v>
      </c>
      <c r="R84" s="21" t="str">
        <f>IF(I84&lt;$N$10,"78","")</f>
        <v>78</v>
      </c>
      <c r="S84" s="14"/>
      <c r="T84" s="63" t="str">
        <f>T37</f>
        <v>Dra. BAROKAH GUNIARTI</v>
      </c>
    </row>
    <row r="85" spans="1:20" ht="12" customHeight="1" x14ac:dyDescent="0.25">
      <c r="A85" s="21">
        <v>31</v>
      </c>
      <c r="B85" s="19"/>
      <c r="C85" s="82" t="str">
        <f>DATA!D40</f>
        <v>Zakya Ninu Azzahra</v>
      </c>
      <c r="D85" s="42" t="s">
        <v>63</v>
      </c>
      <c r="E85" s="43"/>
      <c r="F85" s="43"/>
      <c r="G85" s="43"/>
      <c r="H85" s="44"/>
      <c r="I85" s="21">
        <f t="shared" si="11"/>
        <v>0</v>
      </c>
      <c r="J85" s="45">
        <f t="shared" si="12"/>
        <v>0</v>
      </c>
      <c r="K85" s="21" t="str">
        <f t="shared" si="13"/>
        <v>tdk tuntas</v>
      </c>
      <c r="L85" s="135" t="str">
        <f t="shared" si="14"/>
        <v>77</v>
      </c>
      <c r="M85" s="14" t="s">
        <v>56</v>
      </c>
      <c r="N85" s="24"/>
      <c r="O85" s="15"/>
      <c r="Q85" s="68" t="str">
        <f t="shared" si="15"/>
        <v>Zakya Ninu Azzahra</v>
      </c>
      <c r="R85" s="21" t="str">
        <f>IF(I85&lt;$N$10,"84","")</f>
        <v>84</v>
      </c>
      <c r="S85" s="14"/>
      <c r="T85" s="63" t="str">
        <f>T38</f>
        <v>NIP : 196901081996122004</v>
      </c>
    </row>
    <row r="86" spans="1:20" ht="12" customHeight="1" x14ac:dyDescent="0.25">
      <c r="A86" s="21">
        <v>32</v>
      </c>
      <c r="B86" s="19"/>
      <c r="C86" s="82" t="str">
        <f>DATA!D41</f>
        <v>Zivara Layly Amaratungga</v>
      </c>
      <c r="D86" s="42" t="s">
        <v>63</v>
      </c>
      <c r="E86" s="43"/>
      <c r="F86" s="43"/>
      <c r="G86" s="43"/>
      <c r="H86" s="44"/>
      <c r="I86" s="21">
        <f t="shared" si="11"/>
        <v>0</v>
      </c>
      <c r="J86" s="45">
        <f t="shared" si="12"/>
        <v>0</v>
      </c>
      <c r="K86" s="21" t="str">
        <f t="shared" si="13"/>
        <v>tdk tuntas</v>
      </c>
      <c r="L86" s="135" t="str">
        <f t="shared" si="14"/>
        <v>77</v>
      </c>
      <c r="M86" s="14"/>
      <c r="N86" s="24"/>
      <c r="O86" s="15"/>
      <c r="Q86" s="68" t="str">
        <f t="shared" si="15"/>
        <v>Zivara Layly Amaratungga</v>
      </c>
      <c r="R86" s="21" t="str">
        <f>IF(I86&lt;$N$10,"85","")</f>
        <v>85</v>
      </c>
      <c r="S86" s="14"/>
      <c r="T86" s="15"/>
    </row>
    <row r="87" spans="1:20" ht="12" customHeight="1" x14ac:dyDescent="0.25">
      <c r="A87" s="21">
        <v>33</v>
      </c>
      <c r="B87" s="19"/>
      <c r="C87" s="82">
        <f>DATA!D42</f>
        <v>0</v>
      </c>
      <c r="D87" s="42" t="s">
        <v>63</v>
      </c>
      <c r="E87" s="43"/>
      <c r="F87" s="43"/>
      <c r="G87" s="43"/>
      <c r="H87" s="44"/>
      <c r="I87" s="21">
        <f t="shared" si="11"/>
        <v>0</v>
      </c>
      <c r="J87" s="45">
        <f t="shared" si="12"/>
        <v>0</v>
      </c>
      <c r="K87" s="21" t="str">
        <f t="shared" si="13"/>
        <v>tdk tuntas</v>
      </c>
      <c r="L87" s="135" t="str">
        <f t="shared" si="14"/>
        <v>77</v>
      </c>
      <c r="M87" s="14" t="s">
        <v>16</v>
      </c>
      <c r="N87" s="24"/>
      <c r="O87" s="15"/>
      <c r="Q87" s="68">
        <f t="shared" si="15"/>
        <v>0</v>
      </c>
      <c r="R87" s="21" t="str">
        <f>IF(I87&lt;$N$10,"83","")</f>
        <v>83</v>
      </c>
      <c r="S87" s="14"/>
      <c r="T87" s="15"/>
    </row>
    <row r="88" spans="1:20" ht="12" customHeight="1" x14ac:dyDescent="0.25">
      <c r="A88" s="21">
        <v>34</v>
      </c>
      <c r="B88" s="19"/>
      <c r="C88" s="82">
        <f>DATA!D43</f>
        <v>0</v>
      </c>
      <c r="D88" s="42" t="s">
        <v>63</v>
      </c>
      <c r="E88" s="43"/>
      <c r="F88" s="43"/>
      <c r="G88" s="43"/>
      <c r="H88" s="44"/>
      <c r="I88" s="21">
        <f t="shared" si="11"/>
        <v>0</v>
      </c>
      <c r="J88" s="45">
        <f t="shared" si="12"/>
        <v>0</v>
      </c>
      <c r="K88" s="21" t="str">
        <f t="shared" si="13"/>
        <v>tdk tuntas</v>
      </c>
      <c r="L88" s="135" t="str">
        <f t="shared" si="14"/>
        <v>77</v>
      </c>
      <c r="M88" s="14" t="s">
        <v>59</v>
      </c>
      <c r="N88" s="24"/>
      <c r="O88" s="15"/>
      <c r="Q88" s="68">
        <f t="shared" si="15"/>
        <v>0</v>
      </c>
      <c r="R88" s="21" t="str">
        <f>IF(I88&lt;$N$10,"80","")</f>
        <v>80</v>
      </c>
      <c r="S88" s="14"/>
      <c r="T88" s="15"/>
    </row>
    <row r="89" spans="1:20" ht="12" customHeight="1" x14ac:dyDescent="0.25">
      <c r="A89" s="21">
        <v>35</v>
      </c>
      <c r="B89" s="22"/>
      <c r="C89" s="162"/>
      <c r="D89" s="136"/>
      <c r="E89" s="137"/>
      <c r="F89" s="137"/>
      <c r="G89" s="137"/>
      <c r="H89" s="138"/>
      <c r="I89" s="21"/>
      <c r="J89" s="45"/>
      <c r="K89" s="21"/>
      <c r="L89" s="139" t="str">
        <f t="shared" si="14"/>
        <v>77</v>
      </c>
      <c r="M89" s="14" t="s">
        <v>23</v>
      </c>
      <c r="N89" s="24"/>
      <c r="O89" s="15"/>
      <c r="Q89" s="69"/>
      <c r="R89" s="21"/>
      <c r="S89" s="16"/>
      <c r="T89" s="17"/>
    </row>
    <row r="90" spans="1:20" ht="12" customHeight="1" x14ac:dyDescent="0.25">
      <c r="A90" s="101" t="s">
        <v>64</v>
      </c>
      <c r="B90" s="96"/>
      <c r="C90" s="97"/>
      <c r="D90" s="93"/>
      <c r="E90" s="94"/>
      <c r="F90" s="94"/>
      <c r="G90" s="94"/>
      <c r="H90" s="95"/>
      <c r="I90" s="98">
        <f>AVERAGE(I55:I89)</f>
        <v>0</v>
      </c>
      <c r="J90" s="74"/>
      <c r="K90" s="47"/>
      <c r="L90" s="65"/>
      <c r="M90" s="14"/>
      <c r="N90" s="24"/>
      <c r="O90" s="15"/>
      <c r="Q90" s="60"/>
      <c r="R90" s="471" t="str">
        <f>C51</f>
        <v>9B</v>
      </c>
      <c r="S90" s="471"/>
      <c r="T90" s="61"/>
    </row>
    <row r="91" spans="1:20" ht="12" customHeight="1" x14ac:dyDescent="0.25">
      <c r="A91" s="14" t="s">
        <v>17</v>
      </c>
      <c r="B91" s="24"/>
      <c r="C91" s="15"/>
      <c r="D91" s="42">
        <f>SUM(D55:D89)</f>
        <v>0</v>
      </c>
      <c r="E91" s="43">
        <f>SUM(E55:E89)</f>
        <v>0</v>
      </c>
      <c r="F91" s="43">
        <f>SUM(F55:F89)</f>
        <v>0</v>
      </c>
      <c r="G91" s="43">
        <f>SUM(G55:G89)</f>
        <v>0</v>
      </c>
      <c r="H91" s="44">
        <f>SUM(H55:H89)</f>
        <v>0</v>
      </c>
      <c r="I91" s="80">
        <f>SUM(D91:H91)</f>
        <v>0</v>
      </c>
      <c r="J91" s="85" t="s">
        <v>49</v>
      </c>
      <c r="K91" s="48">
        <f>COUNTIF(K55:K89,J91)</f>
        <v>0</v>
      </c>
      <c r="L91" s="64"/>
      <c r="M91" s="14"/>
      <c r="N91" s="24"/>
      <c r="O91" s="15"/>
      <c r="Q91" s="30"/>
      <c r="R91" s="472"/>
      <c r="S91" s="472"/>
      <c r="T91" s="31"/>
    </row>
    <row r="92" spans="1:20" ht="12" customHeight="1" x14ac:dyDescent="0.25">
      <c r="A92" s="14" t="s">
        <v>18</v>
      </c>
      <c r="B92" s="24"/>
      <c r="C92" s="15"/>
      <c r="D92" s="42">
        <f>D53*K93</f>
        <v>680</v>
      </c>
      <c r="E92" s="42">
        <f>E53*K93</f>
        <v>680</v>
      </c>
      <c r="F92" s="42">
        <f>F53*K93</f>
        <v>680</v>
      </c>
      <c r="G92" s="42">
        <f>G53*K93</f>
        <v>680</v>
      </c>
      <c r="H92" s="42">
        <f>H53*K93</f>
        <v>680</v>
      </c>
      <c r="I92" s="80">
        <f>SUM(D92:H92)</f>
        <v>3400</v>
      </c>
      <c r="J92" s="86" t="s">
        <v>50</v>
      </c>
      <c r="K92" s="48">
        <f>COUNTIF(K55:K89,J92)</f>
        <v>34</v>
      </c>
      <c r="L92" s="64"/>
      <c r="M92" s="14"/>
      <c r="N92" s="24"/>
      <c r="O92" s="15"/>
      <c r="Q92" s="30"/>
      <c r="R92" s="472"/>
      <c r="S92" s="472"/>
      <c r="T92" s="31"/>
    </row>
    <row r="93" spans="1:20" ht="12" customHeight="1" x14ac:dyDescent="0.25">
      <c r="A93" s="26" t="s">
        <v>19</v>
      </c>
      <c r="B93" s="27"/>
      <c r="C93" s="28"/>
      <c r="D93" s="136">
        <f t="shared" ref="D93:I93" si="19">D91/D92*100</f>
        <v>0</v>
      </c>
      <c r="E93" s="136">
        <f t="shared" si="19"/>
        <v>0</v>
      </c>
      <c r="F93" s="136">
        <f t="shared" si="19"/>
        <v>0</v>
      </c>
      <c r="G93" s="136">
        <f t="shared" si="19"/>
        <v>0</v>
      </c>
      <c r="H93" s="136">
        <f t="shared" si="19"/>
        <v>0</v>
      </c>
      <c r="I93" s="50">
        <f t="shared" si="19"/>
        <v>0</v>
      </c>
      <c r="J93" s="75" t="s">
        <v>57</v>
      </c>
      <c r="K93" s="49">
        <f>SUM(K91:K92)</f>
        <v>34</v>
      </c>
      <c r="L93" s="66"/>
      <c r="M93" s="16"/>
      <c r="N93" s="25"/>
      <c r="O93" s="17"/>
      <c r="Q93" s="8"/>
      <c r="R93" s="473"/>
      <c r="S93" s="473"/>
      <c r="T93" s="9"/>
    </row>
    <row r="94" spans="1:20" ht="12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20" ht="12" customHeight="1" x14ac:dyDescent="0.25">
      <c r="A95" s="453" t="str">
        <f>'UH1'!A95</f>
        <v>ANALISA HASIL PH MATEMATIKA KLS IX  SMT GENAP</v>
      </c>
      <c r="B95" s="454"/>
      <c r="C95" s="454"/>
      <c r="D95" s="454"/>
      <c r="E95" s="454"/>
      <c r="F95" s="454"/>
      <c r="G95" s="454"/>
      <c r="H95" s="454"/>
      <c r="I95" s="454"/>
      <c r="J95" s="454"/>
      <c r="K95" s="454"/>
      <c r="L95" s="454"/>
      <c r="M95" s="454"/>
      <c r="N95" s="454"/>
      <c r="O95" s="455"/>
      <c r="Q95" s="456" t="s">
        <v>40</v>
      </c>
      <c r="R95" s="457"/>
      <c r="S95" s="457"/>
      <c r="T95" s="458"/>
    </row>
    <row r="96" spans="1:20" ht="12" customHeight="1" x14ac:dyDescent="0.25">
      <c r="A96" s="453" t="str">
        <f>A49</f>
        <v>SMP I LIMBANGAN  TH 2025/2026</v>
      </c>
      <c r="B96" s="454"/>
      <c r="C96" s="454"/>
      <c r="D96" s="454"/>
      <c r="E96" s="454"/>
      <c r="F96" s="454"/>
      <c r="G96" s="454"/>
      <c r="H96" s="454"/>
      <c r="I96" s="454"/>
      <c r="J96" s="454"/>
      <c r="K96" s="454"/>
      <c r="L96" s="454"/>
      <c r="M96" s="454"/>
      <c r="N96" s="454"/>
      <c r="O96" s="455"/>
      <c r="Q96" s="453" t="s">
        <v>61</v>
      </c>
      <c r="R96" s="454"/>
      <c r="S96" s="454"/>
      <c r="T96" s="455"/>
    </row>
    <row r="97" spans="1:20" ht="12" customHeight="1" x14ac:dyDescent="0.25"/>
    <row r="98" spans="1:20" ht="12" customHeight="1" x14ac:dyDescent="0.25">
      <c r="A98" s="99" t="s">
        <v>66</v>
      </c>
      <c r="C98" s="102" t="str">
        <f>DATA!F8</f>
        <v>9C</v>
      </c>
      <c r="D98" t="s">
        <v>21</v>
      </c>
      <c r="F98" s="87">
        <f>F4</f>
        <v>4</v>
      </c>
      <c r="I98" t="s">
        <v>20</v>
      </c>
      <c r="K98" s="72"/>
      <c r="M98" s="1" t="s">
        <v>60</v>
      </c>
      <c r="N98" s="87">
        <f>N4</f>
        <v>1</v>
      </c>
      <c r="Q98" t="s">
        <v>28</v>
      </c>
      <c r="R98" s="470"/>
      <c r="S98" s="470"/>
    </row>
    <row r="99" spans="1:20" ht="12" customHeight="1" x14ac:dyDescent="0.25">
      <c r="A99" s="2"/>
      <c r="B99" s="2"/>
      <c r="C99" s="3" t="s">
        <v>7</v>
      </c>
      <c r="D99" s="32">
        <v>1</v>
      </c>
      <c r="E99" s="33">
        <v>2</v>
      </c>
      <c r="F99" s="33">
        <v>3</v>
      </c>
      <c r="G99" s="33">
        <v>4</v>
      </c>
      <c r="H99" s="34">
        <v>5</v>
      </c>
      <c r="I99" s="35" t="s">
        <v>3</v>
      </c>
      <c r="J99" s="4" t="s">
        <v>4</v>
      </c>
      <c r="K99" s="53" t="s">
        <v>83</v>
      </c>
      <c r="L99" s="35" t="s">
        <v>43</v>
      </c>
      <c r="M99" s="459" t="s">
        <v>9</v>
      </c>
      <c r="N99" s="460"/>
      <c r="O99" s="461"/>
      <c r="Q99" s="2"/>
      <c r="R99" s="35" t="s">
        <v>24</v>
      </c>
      <c r="S99" s="60"/>
      <c r="T99" s="61"/>
    </row>
    <row r="100" spans="1:20" ht="12" customHeight="1" x14ac:dyDescent="0.25">
      <c r="A100" s="6" t="s">
        <v>0</v>
      </c>
      <c r="B100" s="6" t="s">
        <v>1</v>
      </c>
      <c r="C100" s="5" t="s">
        <v>8</v>
      </c>
      <c r="D100" s="55">
        <f>D53</f>
        <v>20</v>
      </c>
      <c r="E100" s="56">
        <f>E53</f>
        <v>20</v>
      </c>
      <c r="F100" s="56">
        <f>F53</f>
        <v>20</v>
      </c>
      <c r="G100" s="56">
        <f>G53</f>
        <v>20</v>
      </c>
      <c r="H100" s="105">
        <f>H53</f>
        <v>20</v>
      </c>
      <c r="I100" s="21">
        <f>SUM(D100:H100)</f>
        <v>100</v>
      </c>
      <c r="J100" s="6" t="s">
        <v>5</v>
      </c>
      <c r="K100" s="52" t="s">
        <v>22</v>
      </c>
      <c r="L100" s="11" t="s">
        <v>44</v>
      </c>
      <c r="M100" s="462"/>
      <c r="N100" s="463"/>
      <c r="O100" s="464"/>
      <c r="Q100" s="6" t="s">
        <v>2</v>
      </c>
      <c r="R100" s="11" t="s">
        <v>25</v>
      </c>
      <c r="S100" s="468" t="s">
        <v>27</v>
      </c>
      <c r="T100" s="469"/>
    </row>
    <row r="101" spans="1:20" ht="12" customHeight="1" x14ac:dyDescent="0.25">
      <c r="A101" s="6"/>
      <c r="B101" s="6"/>
      <c r="C101" s="51" t="s">
        <v>2</v>
      </c>
      <c r="D101" s="36"/>
      <c r="E101" s="37"/>
      <c r="F101" s="37"/>
      <c r="G101" s="37"/>
      <c r="H101" s="38"/>
      <c r="I101" s="11"/>
      <c r="J101" s="6" t="s">
        <v>6</v>
      </c>
      <c r="K101" s="54"/>
      <c r="L101" s="59" t="s">
        <v>45</v>
      </c>
      <c r="M101" s="465"/>
      <c r="N101" s="466"/>
      <c r="O101" s="467"/>
      <c r="Q101" s="7"/>
      <c r="R101" s="59" t="s">
        <v>26</v>
      </c>
      <c r="S101" s="8"/>
      <c r="T101" s="9"/>
    </row>
    <row r="102" spans="1:20" ht="12" customHeight="1" x14ac:dyDescent="0.25">
      <c r="A102" s="20">
        <v>1</v>
      </c>
      <c r="B102" s="18"/>
      <c r="C102" s="81" t="str">
        <f>DATA!F10</f>
        <v>Ahmad Husain</v>
      </c>
      <c r="D102" s="39" t="s">
        <v>63</v>
      </c>
      <c r="E102" s="40"/>
      <c r="F102" s="40"/>
      <c r="G102" s="40"/>
      <c r="H102" s="41"/>
      <c r="I102" s="20">
        <f>SUM(D102:H102)</f>
        <v>0</v>
      </c>
      <c r="J102" s="46">
        <f>I102</f>
        <v>0</v>
      </c>
      <c r="K102" s="21" t="str">
        <f>IF(J102&lt;$N$10,"tdk tuntas","tuntas")</f>
        <v>tdk tuntas</v>
      </c>
      <c r="L102" s="132" t="str">
        <f>IF(J102&lt;=39.9,"77",IF(J102&lt;=59.9,"78",IF(J102&lt;=69.9,"79",IF(J102&lt;=74.9,"79",IF(J102&lt;=78.9,"79",IF(J102&lt;=78.9,"79",IF(J102&gt;=78.9,J102," ")))))))</f>
        <v>77</v>
      </c>
      <c r="M102" s="12"/>
      <c r="N102" s="23"/>
      <c r="O102" s="13"/>
      <c r="Q102" s="67" t="str">
        <f>C102</f>
        <v>Ahmad Husain</v>
      </c>
      <c r="R102" s="21" t="str">
        <f>IF(I102&lt;$N$10,"80","")</f>
        <v>80</v>
      </c>
      <c r="S102" s="12"/>
      <c r="T102" s="13"/>
    </row>
    <row r="103" spans="1:20" ht="12" customHeight="1" x14ac:dyDescent="0.25">
      <c r="A103" s="21">
        <v>2</v>
      </c>
      <c r="B103" s="19"/>
      <c r="C103" s="82" t="str">
        <f>DATA!F12</f>
        <v>Alfino Kurniawan</v>
      </c>
      <c r="D103" s="42" t="s">
        <v>63</v>
      </c>
      <c r="E103" s="43"/>
      <c r="F103" s="43"/>
      <c r="G103" s="43"/>
      <c r="H103" s="44"/>
      <c r="I103" s="21">
        <f t="shared" ref="I103:I135" si="20">SUM(D103:H103)</f>
        <v>0</v>
      </c>
      <c r="J103" s="45">
        <f t="shared" ref="J103:J135" si="21">I103</f>
        <v>0</v>
      </c>
      <c r="K103" s="21" t="str">
        <f t="shared" ref="K103:K135" si="22">IF(J103&lt;$N$10,"tdk tuntas","tuntas")</f>
        <v>tdk tuntas</v>
      </c>
      <c r="L103" s="135" t="str">
        <f t="shared" ref="L103:L136" si="23">IF(J103&lt;=39.9,"77",IF(J103&lt;=59.9,"78",IF(J103&lt;=69.9,"79",IF(J103&lt;=74.9,"79",IF(J103&lt;=78.9,"79",IF(J103&lt;=78.9,"79",IF(J103&gt;=78.9,J103," ")))))))</f>
        <v>77</v>
      </c>
      <c r="M103" s="14"/>
      <c r="N103" s="24"/>
      <c r="O103" s="15"/>
      <c r="Q103" s="68" t="str">
        <f t="shared" ref="Q103:Q135" si="24">C103</f>
        <v>Alfino Kurniawan</v>
      </c>
      <c r="R103" s="21" t="str">
        <f>IF(I103&lt;$N$10,"79","")</f>
        <v>79</v>
      </c>
      <c r="S103" s="14" t="s">
        <v>29</v>
      </c>
      <c r="T103" s="15"/>
    </row>
    <row r="104" spans="1:20" ht="12" customHeight="1" thickBot="1" x14ac:dyDescent="0.35">
      <c r="A104" s="21">
        <v>3</v>
      </c>
      <c r="B104" s="19"/>
      <c r="C104" s="82" t="str">
        <f>DATA!F13</f>
        <v>Alif Jalu Adil</v>
      </c>
      <c r="D104" s="42" t="s">
        <v>63</v>
      </c>
      <c r="E104" s="43"/>
      <c r="F104" s="43"/>
      <c r="G104" s="43"/>
      <c r="H104" s="44"/>
      <c r="I104" s="21">
        <f t="shared" si="20"/>
        <v>0</v>
      </c>
      <c r="J104" s="45">
        <f t="shared" si="21"/>
        <v>0</v>
      </c>
      <c r="K104" s="21" t="str">
        <f t="shared" si="22"/>
        <v>tdk tuntas</v>
      </c>
      <c r="L104" s="135" t="str">
        <f t="shared" si="23"/>
        <v>77</v>
      </c>
      <c r="M104" s="70" t="s">
        <v>62</v>
      </c>
      <c r="N104" s="76">
        <f>N10</f>
        <v>80</v>
      </c>
      <c r="O104" s="15"/>
      <c r="Q104" s="68" t="str">
        <f t="shared" si="24"/>
        <v>Alif Jalu Adil</v>
      </c>
      <c r="R104" s="21" t="str">
        <f>IF(I104&lt;$N$10,"81","")</f>
        <v>81</v>
      </c>
      <c r="S104" s="26"/>
      <c r="T104" s="15"/>
    </row>
    <row r="105" spans="1:20" ht="12" customHeight="1" thickTop="1" thickBot="1" x14ac:dyDescent="0.3">
      <c r="A105" s="21">
        <v>4</v>
      </c>
      <c r="B105" s="19"/>
      <c r="C105" s="82" t="str">
        <f>DATA!F14</f>
        <v>Almira Tian Az Zahra</v>
      </c>
      <c r="D105" s="42" t="s">
        <v>63</v>
      </c>
      <c r="E105" s="43"/>
      <c r="F105" s="43"/>
      <c r="G105" s="43"/>
      <c r="H105" s="44"/>
      <c r="I105" s="21">
        <f t="shared" si="20"/>
        <v>0</v>
      </c>
      <c r="J105" s="45">
        <f t="shared" si="21"/>
        <v>0</v>
      </c>
      <c r="K105" s="21" t="str">
        <f t="shared" si="22"/>
        <v>tdk tuntas</v>
      </c>
      <c r="L105" s="135" t="str">
        <f t="shared" si="23"/>
        <v>77</v>
      </c>
      <c r="M105" s="14"/>
      <c r="N105" s="24"/>
      <c r="O105" s="15"/>
      <c r="Q105" s="68" t="str">
        <f t="shared" si="24"/>
        <v>Almira Tian Az Zahra</v>
      </c>
      <c r="R105" s="21" t="str">
        <f t="shared" ref="R105:R110" si="25">IF(I105&lt;$N$10,"79","")</f>
        <v>79</v>
      </c>
      <c r="S105" s="62"/>
      <c r="T105" s="15" t="s">
        <v>35</v>
      </c>
    </row>
    <row r="106" spans="1:20" ht="12" customHeight="1" thickTop="1" thickBot="1" x14ac:dyDescent="0.3">
      <c r="A106" s="21">
        <v>5</v>
      </c>
      <c r="B106" s="19"/>
      <c r="C106" s="82" t="str">
        <f>DATA!F15</f>
        <v>Alvino Dafa Radhwa Aqilah</v>
      </c>
      <c r="D106" s="42" t="s">
        <v>63</v>
      </c>
      <c r="E106" s="43"/>
      <c r="F106" s="43"/>
      <c r="G106" s="43"/>
      <c r="H106" s="44"/>
      <c r="I106" s="21">
        <f t="shared" si="20"/>
        <v>0</v>
      </c>
      <c r="J106" s="45">
        <f t="shared" si="21"/>
        <v>0</v>
      </c>
      <c r="K106" s="21" t="str">
        <f t="shared" si="22"/>
        <v>tdk tuntas</v>
      </c>
      <c r="L106" s="135" t="str">
        <f t="shared" si="23"/>
        <v>77</v>
      </c>
      <c r="M106" s="14"/>
      <c r="N106" s="24"/>
      <c r="O106" s="15"/>
      <c r="Q106" s="68" t="str">
        <f t="shared" si="24"/>
        <v>Alvino Dafa Radhwa Aqilah</v>
      </c>
      <c r="R106" s="21" t="str">
        <f t="shared" si="25"/>
        <v>79</v>
      </c>
      <c r="S106" s="62"/>
      <c r="T106" s="15" t="s">
        <v>38</v>
      </c>
    </row>
    <row r="107" spans="1:20" ht="12" customHeight="1" thickTop="1" thickBot="1" x14ac:dyDescent="0.3">
      <c r="A107" s="21">
        <v>6</v>
      </c>
      <c r="B107" s="19"/>
      <c r="C107" s="82" t="str">
        <f>DATA!F16</f>
        <v>Ananda Dhanis Syarifudien</v>
      </c>
      <c r="D107" s="42" t="s">
        <v>63</v>
      </c>
      <c r="E107" s="43"/>
      <c r="F107" s="43"/>
      <c r="G107" s="43"/>
      <c r="H107" s="44"/>
      <c r="I107" s="21">
        <f t="shared" si="20"/>
        <v>0</v>
      </c>
      <c r="J107" s="45">
        <f t="shared" si="21"/>
        <v>0</v>
      </c>
      <c r="K107" s="21" t="str">
        <f t="shared" si="22"/>
        <v>tdk tuntas</v>
      </c>
      <c r="L107" s="135" t="str">
        <f t="shared" si="23"/>
        <v>77</v>
      </c>
      <c r="M107" s="14" t="s">
        <v>10</v>
      </c>
      <c r="N107" s="24"/>
      <c r="O107" s="15"/>
      <c r="Q107" s="68" t="str">
        <f t="shared" si="24"/>
        <v>Ananda Dhanis Syarifudien</v>
      </c>
      <c r="R107" s="21" t="str">
        <f t="shared" si="25"/>
        <v>79</v>
      </c>
      <c r="S107" s="14"/>
      <c r="T107" s="15" t="s">
        <v>39</v>
      </c>
    </row>
    <row r="108" spans="1:20" ht="12" customHeight="1" thickTop="1" thickBot="1" x14ac:dyDescent="0.35">
      <c r="A108" s="21">
        <v>7</v>
      </c>
      <c r="B108" s="19"/>
      <c r="C108" s="82" t="str">
        <f>DATA!F17</f>
        <v>Andra Putra Wahyu Baskara</v>
      </c>
      <c r="D108" s="42" t="s">
        <v>63</v>
      </c>
      <c r="E108" s="43"/>
      <c r="F108" s="43"/>
      <c r="G108" s="43"/>
      <c r="H108" s="44"/>
      <c r="I108" s="21">
        <f t="shared" si="20"/>
        <v>0</v>
      </c>
      <c r="J108" s="45">
        <f t="shared" si="21"/>
        <v>0</v>
      </c>
      <c r="K108" s="21" t="str">
        <f t="shared" si="22"/>
        <v>tdk tuntas</v>
      </c>
      <c r="L108" s="135" t="str">
        <f t="shared" si="23"/>
        <v>77</v>
      </c>
      <c r="M108" s="14"/>
      <c r="N108" s="24"/>
      <c r="O108" s="15"/>
      <c r="Q108" s="68" t="str">
        <f t="shared" si="24"/>
        <v>Andra Putra Wahyu Baskara</v>
      </c>
      <c r="R108" s="21" t="str">
        <f t="shared" si="25"/>
        <v>79</v>
      </c>
      <c r="S108" s="71" t="s">
        <v>46</v>
      </c>
      <c r="T108" s="73" t="s">
        <v>36</v>
      </c>
    </row>
    <row r="109" spans="1:20" ht="12" customHeight="1" thickTop="1" x14ac:dyDescent="0.3">
      <c r="A109" s="21">
        <v>8</v>
      </c>
      <c r="B109" s="19"/>
      <c r="C109" s="82" t="str">
        <f>DATA!F18</f>
        <v>Ardhan Restu Pratama</v>
      </c>
      <c r="D109" s="42" t="s">
        <v>63</v>
      </c>
      <c r="E109" s="43"/>
      <c r="F109" s="43"/>
      <c r="G109" s="43"/>
      <c r="H109" s="44"/>
      <c r="I109" s="21">
        <f t="shared" si="20"/>
        <v>0</v>
      </c>
      <c r="J109" s="45">
        <f t="shared" si="21"/>
        <v>0</v>
      </c>
      <c r="K109" s="21" t="str">
        <f t="shared" si="22"/>
        <v>tdk tuntas</v>
      </c>
      <c r="L109" s="135" t="str">
        <f t="shared" si="23"/>
        <v>77</v>
      </c>
      <c r="M109" s="77" t="s">
        <v>51</v>
      </c>
      <c r="N109" s="24"/>
      <c r="O109" s="15"/>
      <c r="Q109" s="68" t="str">
        <f t="shared" si="24"/>
        <v>Ardhan Restu Pratama</v>
      </c>
      <c r="R109" s="21" t="str">
        <f t="shared" si="25"/>
        <v>79</v>
      </c>
      <c r="S109" s="70"/>
      <c r="T109" s="73" t="s">
        <v>37</v>
      </c>
    </row>
    <row r="110" spans="1:20" ht="12" customHeight="1" x14ac:dyDescent="0.25">
      <c r="A110" s="21">
        <v>9</v>
      </c>
      <c r="B110" s="19"/>
      <c r="C110" s="82" t="str">
        <f>DATA!F19</f>
        <v>Ardi Setyo Nugroho</v>
      </c>
      <c r="D110" s="42" t="s">
        <v>63</v>
      </c>
      <c r="E110" s="43"/>
      <c r="F110" s="43"/>
      <c r="G110" s="43"/>
      <c r="H110" s="44"/>
      <c r="I110" s="21">
        <f t="shared" si="20"/>
        <v>0</v>
      </c>
      <c r="J110" s="45">
        <f t="shared" si="21"/>
        <v>0</v>
      </c>
      <c r="K110" s="21" t="str">
        <f t="shared" si="22"/>
        <v>tdk tuntas</v>
      </c>
      <c r="L110" s="135" t="str">
        <f t="shared" si="23"/>
        <v>77</v>
      </c>
      <c r="N110" s="24"/>
      <c r="O110" s="15"/>
      <c r="Q110" s="68" t="str">
        <f t="shared" si="24"/>
        <v>Ardi Setyo Nugroho</v>
      </c>
      <c r="R110" s="21" t="str">
        <f t="shared" si="25"/>
        <v>79</v>
      </c>
      <c r="S110" s="14"/>
      <c r="T110" s="15"/>
    </row>
    <row r="111" spans="1:20" ht="12" customHeight="1" x14ac:dyDescent="0.25">
      <c r="A111" s="21">
        <v>10</v>
      </c>
      <c r="B111" s="19"/>
      <c r="C111" s="82" t="str">
        <f>DATA!F20</f>
        <v>Az Zahra Aulia Rahma</v>
      </c>
      <c r="D111" s="42" t="s">
        <v>63</v>
      </c>
      <c r="E111" s="43"/>
      <c r="F111" s="43"/>
      <c r="G111" s="43"/>
      <c r="H111" s="44"/>
      <c r="I111" s="21">
        <f t="shared" si="20"/>
        <v>0</v>
      </c>
      <c r="J111" s="45">
        <f t="shared" si="21"/>
        <v>0</v>
      </c>
      <c r="K111" s="21" t="str">
        <f t="shared" si="22"/>
        <v>tdk tuntas</v>
      </c>
      <c r="L111" s="135" t="str">
        <f t="shared" si="23"/>
        <v>77</v>
      </c>
      <c r="M111" s="14"/>
      <c r="N111" s="24"/>
      <c r="O111" s="15"/>
      <c r="Q111" s="68" t="str">
        <f t="shared" si="24"/>
        <v>Az Zahra Aulia Rahma</v>
      </c>
      <c r="R111" s="21" t="str">
        <f t="shared" ref="R111:R116" si="26">IF(I111&lt;$N$10,"85","")</f>
        <v>85</v>
      </c>
      <c r="S111" s="14" t="s">
        <v>30</v>
      </c>
      <c r="T111" s="15"/>
    </row>
    <row r="112" spans="1:20" ht="12" customHeight="1" thickBot="1" x14ac:dyDescent="0.3">
      <c r="A112" s="21">
        <v>11</v>
      </c>
      <c r="B112" s="19"/>
      <c r="C112" s="82" t="str">
        <f>DATA!F11</f>
        <v>Albeth Christian F.</v>
      </c>
      <c r="D112" s="42" t="s">
        <v>63</v>
      </c>
      <c r="E112" s="43"/>
      <c r="F112" s="43"/>
      <c r="G112" s="43"/>
      <c r="H112" s="44"/>
      <c r="I112" s="21">
        <f t="shared" si="20"/>
        <v>0</v>
      </c>
      <c r="J112" s="45">
        <f t="shared" si="21"/>
        <v>0</v>
      </c>
      <c r="K112" s="21" t="str">
        <f t="shared" si="22"/>
        <v>tdk tuntas</v>
      </c>
      <c r="L112" s="135" t="str">
        <f t="shared" si="23"/>
        <v>77</v>
      </c>
      <c r="M112" s="14"/>
      <c r="N112" s="24"/>
      <c r="O112" s="15"/>
      <c r="Q112" s="68" t="str">
        <f t="shared" si="24"/>
        <v>Albeth Christian F.</v>
      </c>
      <c r="R112" s="21" t="str">
        <f t="shared" si="26"/>
        <v>85</v>
      </c>
      <c r="T112" s="15"/>
    </row>
    <row r="113" spans="1:20" ht="12" customHeight="1" thickTop="1" thickBot="1" x14ac:dyDescent="0.35">
      <c r="A113" s="21">
        <v>12</v>
      </c>
      <c r="B113" s="19"/>
      <c r="C113" s="82" t="str">
        <f>DATA!F21</f>
        <v>Desti Dwi Wahyuni</v>
      </c>
      <c r="D113" s="42" t="s">
        <v>63</v>
      </c>
      <c r="E113" s="43"/>
      <c r="F113" s="43"/>
      <c r="G113" s="43"/>
      <c r="H113" s="44"/>
      <c r="I113" s="21">
        <f t="shared" si="20"/>
        <v>0</v>
      </c>
      <c r="J113" s="45">
        <f t="shared" si="21"/>
        <v>0</v>
      </c>
      <c r="K113" s="21" t="str">
        <f t="shared" si="22"/>
        <v>tdk tuntas</v>
      </c>
      <c r="L113" s="135" t="str">
        <f t="shared" si="23"/>
        <v>77</v>
      </c>
      <c r="M113" s="14" t="s">
        <v>11</v>
      </c>
      <c r="N113" s="58">
        <f>K140</f>
        <v>34</v>
      </c>
      <c r="O113" s="15"/>
      <c r="Q113" s="68" t="str">
        <f t="shared" si="24"/>
        <v>Desti Dwi Wahyuni</v>
      </c>
      <c r="R113" s="21" t="str">
        <f t="shared" si="26"/>
        <v>85</v>
      </c>
      <c r="S113" s="71" t="s">
        <v>46</v>
      </c>
      <c r="T113" s="73" t="s">
        <v>31</v>
      </c>
    </row>
    <row r="114" spans="1:20" ht="12" customHeight="1" thickTop="1" thickBot="1" x14ac:dyDescent="0.35">
      <c r="A114" s="21">
        <v>13</v>
      </c>
      <c r="B114" s="19"/>
      <c r="C114" s="82" t="str">
        <f>DATA!F22</f>
        <v>Dominikus Febri Andrean</v>
      </c>
      <c r="D114" s="42" t="s">
        <v>63</v>
      </c>
      <c r="E114" s="43"/>
      <c r="F114" s="43"/>
      <c r="G114" s="43"/>
      <c r="H114" s="44"/>
      <c r="I114" s="21">
        <f t="shared" si="20"/>
        <v>0</v>
      </c>
      <c r="J114" s="45">
        <f t="shared" si="21"/>
        <v>0</v>
      </c>
      <c r="K114" s="21" t="str">
        <f t="shared" si="22"/>
        <v>tdk tuntas</v>
      </c>
      <c r="L114" s="135" t="str">
        <f t="shared" si="23"/>
        <v>77</v>
      </c>
      <c r="M114" s="14" t="s">
        <v>12</v>
      </c>
      <c r="N114" s="58">
        <f>K138</f>
        <v>0</v>
      </c>
      <c r="O114" s="15"/>
      <c r="Q114" s="68" t="str">
        <f t="shared" si="24"/>
        <v>Dominikus Febri Andrean</v>
      </c>
      <c r="R114" s="21" t="str">
        <f t="shared" si="26"/>
        <v>85</v>
      </c>
      <c r="S114" s="70"/>
      <c r="T114" s="73" t="s">
        <v>32</v>
      </c>
    </row>
    <row r="115" spans="1:20" ht="12" customHeight="1" thickTop="1" thickBot="1" x14ac:dyDescent="0.35">
      <c r="A115" s="21">
        <v>14</v>
      </c>
      <c r="B115" s="19"/>
      <c r="C115" s="82" t="str">
        <f>DATA!F23</f>
        <v>Evan Lingga Kurnia Zaen</v>
      </c>
      <c r="D115" s="42" t="s">
        <v>63</v>
      </c>
      <c r="E115" s="43"/>
      <c r="F115" s="43"/>
      <c r="G115" s="43"/>
      <c r="H115" s="44"/>
      <c r="I115" s="21">
        <f t="shared" si="20"/>
        <v>0</v>
      </c>
      <c r="J115" s="45">
        <f t="shared" si="21"/>
        <v>0</v>
      </c>
      <c r="K115" s="21" t="str">
        <f t="shared" si="22"/>
        <v>tdk tuntas</v>
      </c>
      <c r="L115" s="135" t="str">
        <f t="shared" si="23"/>
        <v>77</v>
      </c>
      <c r="M115" s="14" t="s">
        <v>13</v>
      </c>
      <c r="N115" s="58">
        <f>N114/N113*100</f>
        <v>0</v>
      </c>
      <c r="O115" s="15" t="s">
        <v>4</v>
      </c>
      <c r="Q115" s="68" t="str">
        <f t="shared" si="24"/>
        <v>Evan Lingga Kurnia Zaen</v>
      </c>
      <c r="R115" s="21" t="str">
        <f t="shared" si="26"/>
        <v>85</v>
      </c>
      <c r="S115" s="62"/>
      <c r="T115" s="15" t="s">
        <v>33</v>
      </c>
    </row>
    <row r="116" spans="1:20" ht="12" customHeight="1" thickTop="1" x14ac:dyDescent="0.25">
      <c r="A116" s="21">
        <v>15</v>
      </c>
      <c r="B116" s="19"/>
      <c r="C116" s="82" t="str">
        <f>DATA!F24</f>
        <v>Fathan Syahrul Anan</v>
      </c>
      <c r="D116" s="42" t="s">
        <v>63</v>
      </c>
      <c r="E116" s="43"/>
      <c r="F116" s="43"/>
      <c r="G116" s="43"/>
      <c r="H116" s="44"/>
      <c r="I116" s="21">
        <f t="shared" si="20"/>
        <v>0</v>
      </c>
      <c r="J116" s="45">
        <f t="shared" si="21"/>
        <v>0</v>
      </c>
      <c r="K116" s="21" t="str">
        <f t="shared" si="22"/>
        <v>tdk tuntas</v>
      </c>
      <c r="L116" s="135" t="str">
        <f t="shared" si="23"/>
        <v>77</v>
      </c>
      <c r="M116" s="14"/>
      <c r="N116" s="24"/>
      <c r="O116" s="15"/>
      <c r="Q116" s="68" t="str">
        <f t="shared" si="24"/>
        <v>Fathan Syahrul Anan</v>
      </c>
      <c r="R116" s="21" t="str">
        <f t="shared" si="26"/>
        <v>85</v>
      </c>
      <c r="S116" s="14"/>
      <c r="T116" s="15" t="s">
        <v>34</v>
      </c>
    </row>
    <row r="117" spans="1:20" ht="12" customHeight="1" x14ac:dyDescent="0.25">
      <c r="A117" s="21">
        <v>16</v>
      </c>
      <c r="B117" s="19"/>
      <c r="C117" s="82" t="str">
        <f>DATA!F25</f>
        <v>Fina Uzlifatil Jannah</v>
      </c>
      <c r="D117" s="42" t="s">
        <v>63</v>
      </c>
      <c r="E117" s="43"/>
      <c r="F117" s="43"/>
      <c r="G117" s="43"/>
      <c r="H117" s="44"/>
      <c r="I117" s="21">
        <f t="shared" si="20"/>
        <v>0</v>
      </c>
      <c r="J117" s="45">
        <f t="shared" si="21"/>
        <v>0</v>
      </c>
      <c r="K117" s="21" t="str">
        <f t="shared" si="22"/>
        <v>tdk tuntas</v>
      </c>
      <c r="L117" s="135" t="str">
        <f t="shared" si="23"/>
        <v>77</v>
      </c>
      <c r="M117" s="14" t="s">
        <v>52</v>
      </c>
      <c r="N117" s="24"/>
      <c r="O117" s="15"/>
      <c r="Q117" s="68" t="str">
        <f t="shared" si="24"/>
        <v>Fina Uzlifatil Jannah</v>
      </c>
      <c r="R117" s="21" t="str">
        <f>IF(I117&lt;$N$10,"84","")</f>
        <v>84</v>
      </c>
      <c r="S117" s="14"/>
      <c r="T117" s="15"/>
    </row>
    <row r="118" spans="1:20" ht="12" customHeight="1" x14ac:dyDescent="0.25">
      <c r="A118" s="21">
        <v>17</v>
      </c>
      <c r="B118" s="19"/>
      <c r="C118" s="82" t="str">
        <f>DATA!F26</f>
        <v>Hafidz Nugeroho</v>
      </c>
      <c r="D118" s="42" t="s">
        <v>63</v>
      </c>
      <c r="E118" s="43"/>
      <c r="F118" s="43"/>
      <c r="G118" s="43"/>
      <c r="H118" s="44"/>
      <c r="I118" s="21">
        <f t="shared" si="20"/>
        <v>0</v>
      </c>
      <c r="J118" s="45">
        <f t="shared" si="21"/>
        <v>0</v>
      </c>
      <c r="K118" s="21" t="str">
        <f t="shared" si="22"/>
        <v>tdk tuntas</v>
      </c>
      <c r="L118" s="135" t="str">
        <f t="shared" si="23"/>
        <v>77</v>
      </c>
      <c r="N118" s="24"/>
      <c r="O118" s="15"/>
      <c r="Q118" s="68" t="str">
        <f t="shared" si="24"/>
        <v>Hafidz Nugeroho</v>
      </c>
      <c r="R118" s="21" t="str">
        <f t="shared" ref="R118:R124" si="27">IF(I118&lt;$N$10,"82","")</f>
        <v>82</v>
      </c>
      <c r="S118" s="14"/>
      <c r="T118" s="63" t="s">
        <v>41</v>
      </c>
    </row>
    <row r="119" spans="1:20" ht="12" customHeight="1" x14ac:dyDescent="0.25">
      <c r="A119" s="21">
        <v>18</v>
      </c>
      <c r="B119" s="19"/>
      <c r="C119" s="82" t="str">
        <f>DATA!F27</f>
        <v>Kevin Sahasika Abyan Abiyyi</v>
      </c>
      <c r="D119" s="42" t="s">
        <v>63</v>
      </c>
      <c r="E119" s="43"/>
      <c r="F119" s="43"/>
      <c r="G119" s="43"/>
      <c r="H119" s="44"/>
      <c r="I119" s="21">
        <f t="shared" si="20"/>
        <v>0</v>
      </c>
      <c r="J119" s="45">
        <f t="shared" si="21"/>
        <v>0</v>
      </c>
      <c r="K119" s="21" t="str">
        <f t="shared" si="22"/>
        <v>tdk tuntas</v>
      </c>
      <c r="L119" s="135" t="str">
        <f t="shared" si="23"/>
        <v>77</v>
      </c>
      <c r="M119" s="14"/>
      <c r="N119" s="24"/>
      <c r="O119" s="15"/>
      <c r="Q119" s="68" t="str">
        <f t="shared" si="24"/>
        <v>Kevin Sahasika Abyan Abiyyi</v>
      </c>
      <c r="R119" s="21" t="str">
        <f t="shared" si="27"/>
        <v>82</v>
      </c>
      <c r="S119" s="14"/>
      <c r="T119" s="63"/>
    </row>
    <row r="120" spans="1:20" ht="12" customHeight="1" x14ac:dyDescent="0.25">
      <c r="A120" s="21">
        <v>19</v>
      </c>
      <c r="B120" s="19"/>
      <c r="C120" s="82" t="str">
        <f>DATA!F28</f>
        <v>Laeni Shohibatul Maghfiroh</v>
      </c>
      <c r="D120" s="42" t="s">
        <v>63</v>
      </c>
      <c r="E120" s="43"/>
      <c r="F120" s="43"/>
      <c r="G120" s="43"/>
      <c r="H120" s="44"/>
      <c r="I120" s="21">
        <f t="shared" si="20"/>
        <v>0</v>
      </c>
      <c r="J120" s="45">
        <f t="shared" si="21"/>
        <v>0</v>
      </c>
      <c r="K120" s="21" t="str">
        <f t="shared" si="22"/>
        <v>tdk tuntas</v>
      </c>
      <c r="L120" s="135" t="str">
        <f t="shared" si="23"/>
        <v>77</v>
      </c>
      <c r="M120" s="14"/>
      <c r="N120" s="24"/>
      <c r="O120" s="15"/>
      <c r="Q120" s="68" t="str">
        <f t="shared" si="24"/>
        <v>Laeni Shohibatul Maghfiroh</v>
      </c>
      <c r="R120" s="21" t="str">
        <f t="shared" si="27"/>
        <v>82</v>
      </c>
      <c r="S120" s="14"/>
      <c r="T120" s="63"/>
    </row>
    <row r="121" spans="1:20" ht="12" customHeight="1" x14ac:dyDescent="0.25">
      <c r="A121" s="21">
        <v>20</v>
      </c>
      <c r="B121" s="19"/>
      <c r="C121" s="82" t="str">
        <f>DATA!F29</f>
        <v>Maelani Mulya Sari</v>
      </c>
      <c r="D121" s="42" t="s">
        <v>63</v>
      </c>
      <c r="E121" s="43"/>
      <c r="F121" s="43"/>
      <c r="G121" s="43"/>
      <c r="H121" s="44"/>
      <c r="I121" s="21">
        <f t="shared" si="20"/>
        <v>0</v>
      </c>
      <c r="J121" s="45">
        <f t="shared" si="21"/>
        <v>0</v>
      </c>
      <c r="K121" s="21" t="str">
        <f t="shared" si="22"/>
        <v>tdk tuntas</v>
      </c>
      <c r="L121" s="135" t="str">
        <f t="shared" si="23"/>
        <v>77</v>
      </c>
      <c r="M121" s="14" t="s">
        <v>53</v>
      </c>
      <c r="N121" s="78">
        <f>I138</f>
        <v>0</v>
      </c>
      <c r="O121" s="15"/>
      <c r="Q121" s="68" t="str">
        <f t="shared" si="24"/>
        <v>Maelani Mulya Sari</v>
      </c>
      <c r="R121" s="21" t="str">
        <f t="shared" si="27"/>
        <v>82</v>
      </c>
      <c r="S121" s="14"/>
      <c r="T121" s="63"/>
    </row>
    <row r="122" spans="1:20" ht="12" customHeight="1" x14ac:dyDescent="0.25">
      <c r="A122" s="21">
        <v>21</v>
      </c>
      <c r="B122" s="19"/>
      <c r="C122" s="82" t="str">
        <f>DATA!F30</f>
        <v>Mafasa Agung Dwi Putranti</v>
      </c>
      <c r="D122" s="42" t="s">
        <v>63</v>
      </c>
      <c r="E122" s="43"/>
      <c r="F122" s="43"/>
      <c r="G122" s="43"/>
      <c r="H122" s="44"/>
      <c r="I122" s="21">
        <f t="shared" si="20"/>
        <v>0</v>
      </c>
      <c r="J122" s="45">
        <f t="shared" si="21"/>
        <v>0</v>
      </c>
      <c r="K122" s="21" t="str">
        <f t="shared" si="22"/>
        <v>tdk tuntas</v>
      </c>
      <c r="L122" s="135" t="str">
        <f t="shared" si="23"/>
        <v>77</v>
      </c>
      <c r="M122" s="14" t="s">
        <v>54</v>
      </c>
      <c r="N122" s="78">
        <f>I139</f>
        <v>3400</v>
      </c>
      <c r="O122" s="15"/>
      <c r="Q122" s="68" t="str">
        <f t="shared" si="24"/>
        <v>Mafasa Agung Dwi Putranti</v>
      </c>
      <c r="R122" s="21" t="str">
        <f t="shared" si="27"/>
        <v>82</v>
      </c>
      <c r="S122" s="14"/>
      <c r="T122" s="63" t="s">
        <v>58</v>
      </c>
    </row>
    <row r="123" spans="1:20" ht="12" customHeight="1" x14ac:dyDescent="0.25">
      <c r="A123" s="21">
        <v>22</v>
      </c>
      <c r="B123" s="19"/>
      <c r="C123" s="82" t="str">
        <f>DATA!F31</f>
        <v>Marwa Dwi Hafsari</v>
      </c>
      <c r="D123" s="42" t="s">
        <v>63</v>
      </c>
      <c r="E123" s="43"/>
      <c r="F123" s="43"/>
      <c r="G123" s="43"/>
      <c r="H123" s="44"/>
      <c r="I123" s="21">
        <f t="shared" si="20"/>
        <v>0</v>
      </c>
      <c r="J123" s="45">
        <f t="shared" si="21"/>
        <v>0</v>
      </c>
      <c r="K123" s="21" t="str">
        <f t="shared" si="22"/>
        <v>tdk tuntas</v>
      </c>
      <c r="L123" s="135" t="str">
        <f t="shared" si="23"/>
        <v>77</v>
      </c>
      <c r="M123" s="14" t="s">
        <v>13</v>
      </c>
      <c r="N123" s="84">
        <f>N121/N122*100</f>
        <v>0</v>
      </c>
      <c r="O123" s="79" t="s">
        <v>4</v>
      </c>
      <c r="Q123" s="68" t="str">
        <f t="shared" si="24"/>
        <v>Marwa Dwi Hafsari</v>
      </c>
      <c r="R123" s="21" t="str">
        <f t="shared" si="27"/>
        <v>82</v>
      </c>
      <c r="S123" s="14"/>
      <c r="T123" s="83" t="s">
        <v>55</v>
      </c>
    </row>
    <row r="124" spans="1:20" ht="12" customHeight="1" x14ac:dyDescent="0.25">
      <c r="A124" s="21">
        <v>23</v>
      </c>
      <c r="B124" s="19"/>
      <c r="C124" s="82" t="str">
        <f>DATA!F32</f>
        <v>Natasya Berly Intania</v>
      </c>
      <c r="D124" s="42" t="s">
        <v>63</v>
      </c>
      <c r="E124" s="43"/>
      <c r="F124" s="43"/>
      <c r="G124" s="43"/>
      <c r="H124" s="44"/>
      <c r="I124" s="21">
        <f t="shared" si="20"/>
        <v>0</v>
      </c>
      <c r="J124" s="45">
        <f t="shared" si="21"/>
        <v>0</v>
      </c>
      <c r="K124" s="21" t="str">
        <f t="shared" si="22"/>
        <v>tdk tuntas</v>
      </c>
      <c r="L124" s="135" t="str">
        <f t="shared" si="23"/>
        <v>77</v>
      </c>
      <c r="M124" s="14"/>
      <c r="N124" s="24"/>
      <c r="O124" s="15"/>
      <c r="Q124" s="68" t="str">
        <f t="shared" si="24"/>
        <v>Natasya Berly Intania</v>
      </c>
      <c r="R124" s="21" t="str">
        <f t="shared" si="27"/>
        <v>82</v>
      </c>
      <c r="S124" s="14"/>
      <c r="T124" s="15"/>
    </row>
    <row r="125" spans="1:20" ht="12" customHeight="1" x14ac:dyDescent="0.25">
      <c r="A125" s="21">
        <v>24</v>
      </c>
      <c r="B125" s="19"/>
      <c r="C125" s="82" t="str">
        <f>DATA!F33</f>
        <v>Natasya Gisella Anindya Putri</v>
      </c>
      <c r="D125" s="42" t="s">
        <v>63</v>
      </c>
      <c r="E125" s="43"/>
      <c r="F125" s="43"/>
      <c r="G125" s="43"/>
      <c r="H125" s="44"/>
      <c r="I125" s="21">
        <f t="shared" si="20"/>
        <v>0</v>
      </c>
      <c r="J125" s="45">
        <f t="shared" si="21"/>
        <v>0</v>
      </c>
      <c r="K125" s="21" t="str">
        <f t="shared" si="22"/>
        <v>tdk tuntas</v>
      </c>
      <c r="L125" s="135" t="str">
        <f t="shared" si="23"/>
        <v>77</v>
      </c>
      <c r="M125" s="14"/>
      <c r="N125" s="24"/>
      <c r="O125" s="15"/>
      <c r="Q125" s="68" t="str">
        <f t="shared" si="24"/>
        <v>Natasya Gisella Anindya Putri</v>
      </c>
      <c r="R125" s="21" t="str">
        <f>IF(I125&lt;$N$10,"79","")</f>
        <v>79</v>
      </c>
      <c r="S125" s="14"/>
      <c r="T125" s="63" t="s">
        <v>42</v>
      </c>
    </row>
    <row r="126" spans="1:20" ht="12" customHeight="1" x14ac:dyDescent="0.25">
      <c r="A126" s="21">
        <v>25</v>
      </c>
      <c r="B126" s="19"/>
      <c r="C126" s="82" t="str">
        <f>DATA!F34</f>
        <v>Prasetyo Nevan Al Fath</v>
      </c>
      <c r="D126" s="42" t="s">
        <v>63</v>
      </c>
      <c r="E126" s="43"/>
      <c r="F126" s="43"/>
      <c r="G126" s="43"/>
      <c r="H126" s="44"/>
      <c r="I126" s="21">
        <f t="shared" si="20"/>
        <v>0</v>
      </c>
      <c r="J126" s="45">
        <f t="shared" si="21"/>
        <v>0</v>
      </c>
      <c r="K126" s="21" t="str">
        <f t="shared" si="22"/>
        <v>tdk tuntas</v>
      </c>
      <c r="L126" s="135" t="str">
        <f t="shared" si="23"/>
        <v>77</v>
      </c>
      <c r="M126" s="14" t="s">
        <v>14</v>
      </c>
      <c r="N126" s="24"/>
      <c r="O126" s="15"/>
      <c r="Q126" s="68" t="str">
        <f t="shared" si="24"/>
        <v>Prasetyo Nevan Al Fath</v>
      </c>
      <c r="R126" s="21" t="str">
        <f>IF(I126&lt;$N$10,"79","")</f>
        <v>79</v>
      </c>
      <c r="S126" s="14"/>
      <c r="T126" s="63"/>
    </row>
    <row r="127" spans="1:20" ht="12" customHeight="1" x14ac:dyDescent="0.25">
      <c r="A127" s="21">
        <v>26</v>
      </c>
      <c r="B127" s="19"/>
      <c r="C127" s="82" t="str">
        <f>DATA!F35</f>
        <v>Putri Cikara Dewi</v>
      </c>
      <c r="D127" s="42" t="s">
        <v>63</v>
      </c>
      <c r="E127" s="43"/>
      <c r="F127" s="43"/>
      <c r="G127" s="43"/>
      <c r="H127" s="44"/>
      <c r="I127" s="21">
        <f>SUM(D127:H127)</f>
        <v>0</v>
      </c>
      <c r="J127" s="45">
        <f>I127</f>
        <v>0</v>
      </c>
      <c r="K127" s="21" t="str">
        <f t="shared" si="22"/>
        <v>tdk tuntas</v>
      </c>
      <c r="L127" s="135" t="str">
        <f t="shared" si="23"/>
        <v>77</v>
      </c>
      <c r="M127" s="14" t="s">
        <v>15</v>
      </c>
      <c r="N127" s="24"/>
      <c r="O127" s="15"/>
      <c r="Q127" s="68" t="str">
        <f t="shared" si="24"/>
        <v>Putri Cikara Dewi</v>
      </c>
      <c r="R127" s="21" t="str">
        <f>IF(I127&lt;$N$10,"79","")</f>
        <v>79</v>
      </c>
      <c r="S127" s="14"/>
      <c r="T127" s="63"/>
    </row>
    <row r="128" spans="1:20" ht="12" customHeight="1" x14ac:dyDescent="0.3">
      <c r="A128" s="21">
        <v>27</v>
      </c>
      <c r="B128" s="19"/>
      <c r="C128" s="82" t="str">
        <f>DATA!F36</f>
        <v>Radenta Ardina Putra</v>
      </c>
      <c r="D128" s="42" t="s">
        <v>63</v>
      </c>
      <c r="E128" s="43"/>
      <c r="F128" s="43"/>
      <c r="G128" s="43"/>
      <c r="H128" s="44"/>
      <c r="I128" s="21">
        <f t="shared" si="20"/>
        <v>0</v>
      </c>
      <c r="J128" s="45">
        <f t="shared" si="21"/>
        <v>0</v>
      </c>
      <c r="K128" s="21" t="str">
        <f t="shared" si="22"/>
        <v>tdk tuntas</v>
      </c>
      <c r="L128" s="135" t="str">
        <f t="shared" si="23"/>
        <v>77</v>
      </c>
      <c r="M128" s="155" t="s">
        <v>80</v>
      </c>
      <c r="N128" s="24"/>
      <c r="O128" s="15"/>
      <c r="Q128" s="68" t="str">
        <f t="shared" si="24"/>
        <v>Radenta Ardina Putra</v>
      </c>
      <c r="R128" s="21" t="str">
        <f>IF(I128&lt;$N$10,"79","")</f>
        <v>79</v>
      </c>
      <c r="S128" s="14"/>
      <c r="T128" s="63"/>
    </row>
    <row r="129" spans="1:20" ht="12" customHeight="1" x14ac:dyDescent="0.25">
      <c r="A129" s="21">
        <v>28</v>
      </c>
      <c r="B129" s="19"/>
      <c r="C129" s="82" t="str">
        <f>DATA!F37</f>
        <v>Raditya Eka Yudhistira</v>
      </c>
      <c r="D129" s="42" t="s">
        <v>63</v>
      </c>
      <c r="E129" s="43"/>
      <c r="F129" s="43"/>
      <c r="G129" s="43"/>
      <c r="H129" s="44"/>
      <c r="I129" s="21">
        <f t="shared" si="20"/>
        <v>0</v>
      </c>
      <c r="J129" s="45">
        <f t="shared" si="21"/>
        <v>0</v>
      </c>
      <c r="K129" s="21" t="str">
        <f t="shared" si="22"/>
        <v>tdk tuntas</v>
      </c>
      <c r="L129" s="135" t="str">
        <f t="shared" si="23"/>
        <v>77</v>
      </c>
      <c r="M129" s="14"/>
      <c r="N129" s="24"/>
      <c r="O129" s="15"/>
      <c r="Q129" s="68" t="str">
        <f t="shared" si="24"/>
        <v>Raditya Eka Yudhistira</v>
      </c>
      <c r="R129" s="21" t="str">
        <f>IF(I129&lt;$N$10,"81","")</f>
        <v>81</v>
      </c>
      <c r="S129" s="14"/>
      <c r="T129" s="63"/>
    </row>
    <row r="130" spans="1:20" ht="12" customHeight="1" x14ac:dyDescent="0.25">
      <c r="A130" s="21">
        <v>29</v>
      </c>
      <c r="B130" s="19"/>
      <c r="C130" s="82" t="str">
        <f>DATA!F38</f>
        <v>Rere Etrischa Zenobia</v>
      </c>
      <c r="D130" s="42" t="s">
        <v>63</v>
      </c>
      <c r="E130" s="43"/>
      <c r="F130" s="43"/>
      <c r="G130" s="43"/>
      <c r="H130" s="44"/>
      <c r="I130" s="21">
        <f t="shared" si="20"/>
        <v>0</v>
      </c>
      <c r="J130" s="45">
        <f t="shared" si="21"/>
        <v>0</v>
      </c>
      <c r="K130" s="21" t="str">
        <f t="shared" si="22"/>
        <v>tdk tuntas</v>
      </c>
      <c r="L130" s="135" t="str">
        <f t="shared" si="23"/>
        <v>77</v>
      </c>
      <c r="M130" s="14"/>
      <c r="N130" s="24"/>
      <c r="O130" s="15"/>
      <c r="Q130" s="68" t="str">
        <f t="shared" si="24"/>
        <v>Rere Etrischa Zenobia</v>
      </c>
      <c r="R130" s="21" t="str">
        <f>IF(I130&lt;$N$10,"85","")</f>
        <v>85</v>
      </c>
      <c r="S130" s="14"/>
      <c r="T130" s="63"/>
    </row>
    <row r="131" spans="1:20" ht="12" customHeight="1" x14ac:dyDescent="0.25">
      <c r="A131" s="21">
        <v>30</v>
      </c>
      <c r="B131" s="19"/>
      <c r="C131" s="82" t="str">
        <f>DATA!F39</f>
        <v>Roxy Lantip Afpriba</v>
      </c>
      <c r="D131" s="42" t="s">
        <v>63</v>
      </c>
      <c r="E131" s="43"/>
      <c r="F131" s="43"/>
      <c r="G131" s="43"/>
      <c r="H131" s="44"/>
      <c r="I131" s="21">
        <f t="shared" si="20"/>
        <v>0</v>
      </c>
      <c r="J131" s="45">
        <f t="shared" si="21"/>
        <v>0</v>
      </c>
      <c r="K131" s="21" t="str">
        <f t="shared" si="22"/>
        <v>tdk tuntas</v>
      </c>
      <c r="L131" s="135" t="str">
        <f t="shared" si="23"/>
        <v>77</v>
      </c>
      <c r="M131" s="14"/>
      <c r="N131" s="24"/>
      <c r="O131" s="15"/>
      <c r="Q131" s="68" t="str">
        <f t="shared" si="24"/>
        <v>Roxy Lantip Afpriba</v>
      </c>
      <c r="R131" s="21" t="str">
        <f>IF(I131&lt;$N$10,"78","")</f>
        <v>78</v>
      </c>
      <c r="S131" s="14"/>
      <c r="T131" s="63" t="str">
        <f>T84</f>
        <v>Dra. BAROKAH GUNIARTI</v>
      </c>
    </row>
    <row r="132" spans="1:20" ht="12" customHeight="1" x14ac:dyDescent="0.25">
      <c r="A132" s="21">
        <v>31</v>
      </c>
      <c r="B132" s="19"/>
      <c r="C132" s="82" t="str">
        <f>DATA!F40</f>
        <v>Syifa Maulida Zahra</v>
      </c>
      <c r="D132" s="42" t="s">
        <v>63</v>
      </c>
      <c r="E132" s="43"/>
      <c r="F132" s="43"/>
      <c r="G132" s="43"/>
      <c r="H132" s="44"/>
      <c r="I132" s="21">
        <f t="shared" si="20"/>
        <v>0</v>
      </c>
      <c r="J132" s="45">
        <f t="shared" si="21"/>
        <v>0</v>
      </c>
      <c r="K132" s="21" t="str">
        <f t="shared" si="22"/>
        <v>tdk tuntas</v>
      </c>
      <c r="L132" s="135" t="str">
        <f t="shared" si="23"/>
        <v>77</v>
      </c>
      <c r="M132" s="14" t="s">
        <v>56</v>
      </c>
      <c r="N132" s="24"/>
      <c r="O132" s="15"/>
      <c r="Q132" s="68" t="str">
        <f t="shared" si="24"/>
        <v>Syifa Maulida Zahra</v>
      </c>
      <c r="R132" s="21" t="str">
        <f>IF(I132&lt;$N$10,"84","")</f>
        <v>84</v>
      </c>
      <c r="S132" s="14"/>
      <c r="T132" s="63" t="str">
        <f>T85</f>
        <v>NIP : 196901081996122004</v>
      </c>
    </row>
    <row r="133" spans="1:20" ht="12" customHeight="1" x14ac:dyDescent="0.25">
      <c r="A133" s="21">
        <v>32</v>
      </c>
      <c r="B133" s="19"/>
      <c r="C133" s="82" t="str">
        <f>DATA!F41</f>
        <v>Virna Meisya Amelia</v>
      </c>
      <c r="D133" s="42" t="s">
        <v>63</v>
      </c>
      <c r="E133" s="43"/>
      <c r="F133" s="43"/>
      <c r="G133" s="43"/>
      <c r="H133" s="44"/>
      <c r="I133" s="21">
        <f t="shared" si="20"/>
        <v>0</v>
      </c>
      <c r="J133" s="45">
        <f t="shared" si="21"/>
        <v>0</v>
      </c>
      <c r="K133" s="21" t="str">
        <f t="shared" si="22"/>
        <v>tdk tuntas</v>
      </c>
      <c r="L133" s="135" t="str">
        <f t="shared" si="23"/>
        <v>77</v>
      </c>
      <c r="M133" s="14"/>
      <c r="N133" s="24"/>
      <c r="O133" s="15"/>
      <c r="Q133" s="68" t="str">
        <f t="shared" si="24"/>
        <v>Virna Meisya Amelia</v>
      </c>
      <c r="R133" s="21" t="str">
        <f>IF(I133&lt;$N$10,"85","")</f>
        <v>85</v>
      </c>
      <c r="S133" s="14"/>
      <c r="T133" s="15"/>
    </row>
    <row r="134" spans="1:20" ht="12" customHeight="1" x14ac:dyDescent="0.25">
      <c r="A134" s="21">
        <v>33</v>
      </c>
      <c r="B134" s="19"/>
      <c r="C134" s="82" t="str">
        <f>DATA!F42</f>
        <v>-</v>
      </c>
      <c r="D134" s="42" t="s">
        <v>63</v>
      </c>
      <c r="E134" s="43"/>
      <c r="F134" s="43"/>
      <c r="G134" s="43"/>
      <c r="H134" s="44"/>
      <c r="I134" s="21">
        <f t="shared" si="20"/>
        <v>0</v>
      </c>
      <c r="J134" s="45">
        <f t="shared" si="21"/>
        <v>0</v>
      </c>
      <c r="K134" s="21" t="str">
        <f t="shared" si="22"/>
        <v>tdk tuntas</v>
      </c>
      <c r="L134" s="135" t="str">
        <f t="shared" si="23"/>
        <v>77</v>
      </c>
      <c r="M134" s="14" t="s">
        <v>16</v>
      </c>
      <c r="N134" s="24"/>
      <c r="O134" s="15"/>
      <c r="Q134" s="68" t="str">
        <f t="shared" si="24"/>
        <v>-</v>
      </c>
      <c r="R134" s="21" t="str">
        <f>IF(I134&lt;$N$10,"83","")</f>
        <v>83</v>
      </c>
      <c r="S134" s="14"/>
      <c r="T134" s="15"/>
    </row>
    <row r="135" spans="1:20" ht="12" customHeight="1" x14ac:dyDescent="0.25">
      <c r="A135" s="21">
        <v>34</v>
      </c>
      <c r="B135" s="19"/>
      <c r="C135" s="82" t="str">
        <f>DATA!F43</f>
        <v>-</v>
      </c>
      <c r="D135" s="42" t="s">
        <v>63</v>
      </c>
      <c r="E135" s="43"/>
      <c r="F135" s="43"/>
      <c r="G135" s="43"/>
      <c r="H135" s="44"/>
      <c r="I135" s="21">
        <f t="shared" si="20"/>
        <v>0</v>
      </c>
      <c r="J135" s="45">
        <f t="shared" si="21"/>
        <v>0</v>
      </c>
      <c r="K135" s="21" t="str">
        <f t="shared" si="22"/>
        <v>tdk tuntas</v>
      </c>
      <c r="L135" s="135" t="str">
        <f t="shared" si="23"/>
        <v>77</v>
      </c>
      <c r="M135" s="14" t="s">
        <v>59</v>
      </c>
      <c r="N135" s="24"/>
      <c r="O135" s="15"/>
      <c r="Q135" s="68" t="str">
        <f t="shared" si="24"/>
        <v>-</v>
      </c>
      <c r="R135" s="21" t="str">
        <f>IF(I135&lt;$N$10,"80","")</f>
        <v>80</v>
      </c>
      <c r="S135" s="14"/>
      <c r="T135" s="15"/>
    </row>
    <row r="136" spans="1:20" ht="12" customHeight="1" x14ac:dyDescent="0.25">
      <c r="A136" s="21">
        <v>35</v>
      </c>
      <c r="B136" s="22"/>
      <c r="C136" s="162"/>
      <c r="D136" s="136"/>
      <c r="E136" s="137"/>
      <c r="F136" s="137"/>
      <c r="G136" s="137"/>
      <c r="H136" s="138"/>
      <c r="I136" s="21"/>
      <c r="J136" s="45"/>
      <c r="K136" s="21"/>
      <c r="L136" s="139" t="str">
        <f t="shared" si="23"/>
        <v>77</v>
      </c>
      <c r="M136" s="14" t="s">
        <v>23</v>
      </c>
      <c r="N136" s="24"/>
      <c r="O136" s="15"/>
      <c r="Q136" s="69"/>
      <c r="R136" s="21"/>
      <c r="S136" s="16"/>
      <c r="T136" s="17"/>
    </row>
    <row r="137" spans="1:20" ht="12" customHeight="1" x14ac:dyDescent="0.25">
      <c r="A137" s="101" t="s">
        <v>64</v>
      </c>
      <c r="B137" s="96"/>
      <c r="C137" s="97"/>
      <c r="D137" s="93"/>
      <c r="E137" s="94"/>
      <c r="F137" s="94"/>
      <c r="G137" s="94"/>
      <c r="H137" s="95"/>
      <c r="I137" s="98">
        <f>AVERAGE(I102:I136)</f>
        <v>0</v>
      </c>
      <c r="J137" s="74"/>
      <c r="K137" s="47"/>
      <c r="L137" s="65"/>
      <c r="M137" s="14"/>
      <c r="N137" s="24"/>
      <c r="O137" s="15"/>
      <c r="Q137" s="60"/>
      <c r="R137" s="471" t="str">
        <f>C98</f>
        <v>9C</v>
      </c>
      <c r="S137" s="471"/>
      <c r="T137" s="61"/>
    </row>
    <row r="138" spans="1:20" ht="12" customHeight="1" x14ac:dyDescent="0.25">
      <c r="A138" s="14" t="s">
        <v>17</v>
      </c>
      <c r="B138" s="24"/>
      <c r="C138" s="15"/>
      <c r="D138" s="42">
        <f>SUM(D102:D136)</f>
        <v>0</v>
      </c>
      <c r="E138" s="43">
        <f>SUM(E102:E136)</f>
        <v>0</v>
      </c>
      <c r="F138" s="43">
        <f>SUM(F102:F136)</f>
        <v>0</v>
      </c>
      <c r="G138" s="43">
        <f>SUM(G102:G136)</f>
        <v>0</v>
      </c>
      <c r="H138" s="44">
        <f>SUM(H102:H136)</f>
        <v>0</v>
      </c>
      <c r="I138" s="80">
        <f>SUM(D138:H138)</f>
        <v>0</v>
      </c>
      <c r="J138" s="85" t="s">
        <v>49</v>
      </c>
      <c r="K138" s="48">
        <f>COUNTIF(K102:K136,J138)</f>
        <v>0</v>
      </c>
      <c r="L138" s="64"/>
      <c r="M138" s="14"/>
      <c r="N138" s="24"/>
      <c r="O138" s="15"/>
      <c r="Q138" s="30"/>
      <c r="R138" s="472"/>
      <c r="S138" s="472"/>
      <c r="T138" s="31"/>
    </row>
    <row r="139" spans="1:20" ht="12" customHeight="1" x14ac:dyDescent="0.25">
      <c r="A139" s="14" t="s">
        <v>18</v>
      </c>
      <c r="B139" s="24"/>
      <c r="C139" s="15"/>
      <c r="D139" s="42">
        <f>D100*K140</f>
        <v>680</v>
      </c>
      <c r="E139" s="42">
        <f>E100*K140</f>
        <v>680</v>
      </c>
      <c r="F139" s="42">
        <f>F100*K140</f>
        <v>680</v>
      </c>
      <c r="G139" s="42">
        <f>G100*K140</f>
        <v>680</v>
      </c>
      <c r="H139" s="42">
        <f>H100*K140</f>
        <v>680</v>
      </c>
      <c r="I139" s="80">
        <f>SUM(D139:H139)</f>
        <v>3400</v>
      </c>
      <c r="J139" s="86" t="s">
        <v>50</v>
      </c>
      <c r="K139" s="48">
        <f>COUNTIF(K102:K136,J139)</f>
        <v>34</v>
      </c>
      <c r="L139" s="64"/>
      <c r="M139" s="14"/>
      <c r="N139" s="24"/>
      <c r="O139" s="15"/>
      <c r="Q139" s="30"/>
      <c r="R139" s="472"/>
      <c r="S139" s="472"/>
      <c r="T139" s="31"/>
    </row>
    <row r="140" spans="1:20" ht="12" customHeight="1" x14ac:dyDescent="0.25">
      <c r="A140" s="26" t="s">
        <v>19</v>
      </c>
      <c r="B140" s="27"/>
      <c r="C140" s="28"/>
      <c r="D140" s="136">
        <f t="shared" ref="D140:I140" si="28">D138/D139*100</f>
        <v>0</v>
      </c>
      <c r="E140" s="136">
        <f t="shared" si="28"/>
        <v>0</v>
      </c>
      <c r="F140" s="136">
        <f t="shared" si="28"/>
        <v>0</v>
      </c>
      <c r="G140" s="136">
        <f t="shared" si="28"/>
        <v>0</v>
      </c>
      <c r="H140" s="136">
        <f t="shared" si="28"/>
        <v>0</v>
      </c>
      <c r="I140" s="50">
        <f t="shared" si="28"/>
        <v>0</v>
      </c>
      <c r="J140" s="75" t="s">
        <v>57</v>
      </c>
      <c r="K140" s="49">
        <f>SUM(K138:K139)</f>
        <v>34</v>
      </c>
      <c r="L140" s="66"/>
      <c r="M140" s="16"/>
      <c r="N140" s="25"/>
      <c r="O140" s="17"/>
      <c r="Q140" s="8"/>
      <c r="R140" s="473"/>
      <c r="S140" s="473"/>
      <c r="T140" s="9"/>
    </row>
    <row r="141" spans="1:20" ht="12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20" ht="12" customHeight="1" x14ac:dyDescent="0.25">
      <c r="A142" s="453" t="str">
        <f>'UH1'!A142</f>
        <v>ANALISA HASIL PH MATEMATIKA KLS IX  SMT GENAP</v>
      </c>
      <c r="B142" s="454"/>
      <c r="C142" s="454"/>
      <c r="D142" s="454"/>
      <c r="E142" s="454"/>
      <c r="F142" s="454"/>
      <c r="G142" s="454"/>
      <c r="H142" s="454"/>
      <c r="I142" s="454"/>
      <c r="J142" s="454"/>
      <c r="K142" s="454"/>
      <c r="L142" s="454"/>
      <c r="M142" s="454"/>
      <c r="N142" s="454"/>
      <c r="O142" s="455"/>
      <c r="Q142" s="456" t="s">
        <v>40</v>
      </c>
      <c r="R142" s="457"/>
      <c r="S142" s="457"/>
      <c r="T142" s="458"/>
    </row>
    <row r="143" spans="1:20" ht="12" customHeight="1" x14ac:dyDescent="0.25">
      <c r="A143" s="453" t="str">
        <f>A96</f>
        <v>SMP I LIMBANGAN  TH 2025/2026</v>
      </c>
      <c r="B143" s="454"/>
      <c r="C143" s="454"/>
      <c r="D143" s="454"/>
      <c r="E143" s="454"/>
      <c r="F143" s="454"/>
      <c r="G143" s="454"/>
      <c r="H143" s="454"/>
      <c r="I143" s="454"/>
      <c r="J143" s="454"/>
      <c r="K143" s="454"/>
      <c r="L143" s="454"/>
      <c r="M143" s="454"/>
      <c r="N143" s="454"/>
      <c r="O143" s="455"/>
      <c r="Q143" s="453" t="s">
        <v>61</v>
      </c>
      <c r="R143" s="454"/>
      <c r="S143" s="454"/>
      <c r="T143" s="455"/>
    </row>
    <row r="144" spans="1:20" ht="12" customHeight="1" x14ac:dyDescent="0.25"/>
    <row r="145" spans="1:20" ht="12" customHeight="1" x14ac:dyDescent="0.25">
      <c r="A145" s="99" t="s">
        <v>66</v>
      </c>
      <c r="C145" s="102" t="str">
        <f>DATA!H8</f>
        <v>9D</v>
      </c>
      <c r="D145" t="s">
        <v>21</v>
      </c>
      <c r="F145" s="87">
        <f>F4</f>
        <v>4</v>
      </c>
      <c r="I145" t="s">
        <v>20</v>
      </c>
      <c r="K145" s="72"/>
      <c r="M145" s="1" t="s">
        <v>60</v>
      </c>
      <c r="N145" s="87">
        <f>N4</f>
        <v>1</v>
      </c>
      <c r="Q145" t="s">
        <v>28</v>
      </c>
      <c r="R145" s="470"/>
      <c r="S145" s="470"/>
    </row>
    <row r="146" spans="1:20" ht="12" customHeight="1" x14ac:dyDescent="0.25">
      <c r="A146" s="2"/>
      <c r="B146" s="2"/>
      <c r="C146" s="3" t="s">
        <v>7</v>
      </c>
      <c r="D146" s="32">
        <v>1</v>
      </c>
      <c r="E146" s="33">
        <v>2</v>
      </c>
      <c r="F146" s="33">
        <v>3</v>
      </c>
      <c r="G146" s="33">
        <v>4</v>
      </c>
      <c r="H146" s="34">
        <v>5</v>
      </c>
      <c r="I146" s="35" t="s">
        <v>3</v>
      </c>
      <c r="J146" s="4" t="s">
        <v>4</v>
      </c>
      <c r="K146" s="53" t="s">
        <v>83</v>
      </c>
      <c r="L146" s="35" t="s">
        <v>43</v>
      </c>
      <c r="M146" s="459" t="s">
        <v>9</v>
      </c>
      <c r="N146" s="460"/>
      <c r="O146" s="461"/>
      <c r="Q146" s="2"/>
      <c r="R146" s="35" t="s">
        <v>24</v>
      </c>
      <c r="S146" s="60"/>
      <c r="T146" s="61"/>
    </row>
    <row r="147" spans="1:20" ht="12" customHeight="1" x14ac:dyDescent="0.25">
      <c r="A147" s="6" t="s">
        <v>0</v>
      </c>
      <c r="B147" s="6" t="s">
        <v>1</v>
      </c>
      <c r="C147" s="5" t="s">
        <v>8</v>
      </c>
      <c r="D147" s="55">
        <f>D100</f>
        <v>20</v>
      </c>
      <c r="E147" s="56">
        <f>E100</f>
        <v>20</v>
      </c>
      <c r="F147" s="56">
        <f>F100</f>
        <v>20</v>
      </c>
      <c r="G147" s="56">
        <f>G100</f>
        <v>20</v>
      </c>
      <c r="H147" s="105">
        <f>H100</f>
        <v>20</v>
      </c>
      <c r="I147" s="21">
        <f>SUM(D147:H147)</f>
        <v>100</v>
      </c>
      <c r="J147" s="6" t="s">
        <v>5</v>
      </c>
      <c r="K147" s="52" t="s">
        <v>22</v>
      </c>
      <c r="L147" s="11" t="s">
        <v>44</v>
      </c>
      <c r="M147" s="462"/>
      <c r="N147" s="463"/>
      <c r="O147" s="464"/>
      <c r="Q147" s="6" t="s">
        <v>2</v>
      </c>
      <c r="R147" s="11" t="s">
        <v>25</v>
      </c>
      <c r="S147" s="468" t="s">
        <v>27</v>
      </c>
      <c r="T147" s="469"/>
    </row>
    <row r="148" spans="1:20" ht="12" customHeight="1" x14ac:dyDescent="0.25">
      <c r="A148" s="6"/>
      <c r="B148" s="6"/>
      <c r="C148" s="51" t="s">
        <v>2</v>
      </c>
      <c r="D148" s="36"/>
      <c r="E148" s="37"/>
      <c r="F148" s="37"/>
      <c r="G148" s="37"/>
      <c r="H148" s="38"/>
      <c r="I148" s="11"/>
      <c r="J148" s="6" t="s">
        <v>6</v>
      </c>
      <c r="K148" s="54"/>
      <c r="L148" s="59" t="s">
        <v>45</v>
      </c>
      <c r="M148" s="465"/>
      <c r="N148" s="466"/>
      <c r="O148" s="467"/>
      <c r="Q148" s="7"/>
      <c r="R148" s="59" t="s">
        <v>26</v>
      </c>
      <c r="S148" s="8"/>
      <c r="T148" s="9"/>
    </row>
    <row r="149" spans="1:20" ht="12" customHeight="1" x14ac:dyDescent="0.25">
      <c r="A149" s="20">
        <v>1</v>
      </c>
      <c r="B149" s="18"/>
      <c r="C149" s="81" t="str">
        <f>DATA!H10</f>
        <v>Aditya Wahyu Putra Septiadi</v>
      </c>
      <c r="D149" s="39" t="s">
        <v>63</v>
      </c>
      <c r="E149" s="40"/>
      <c r="F149" s="40"/>
      <c r="G149" s="40"/>
      <c r="H149" s="41"/>
      <c r="I149" s="20">
        <f>SUM(D149:H149)</f>
        <v>0</v>
      </c>
      <c r="J149" s="46">
        <f>I149</f>
        <v>0</v>
      </c>
      <c r="K149" s="21" t="str">
        <f>IF(J149&lt;$N$10,"tdk tuntas","tuntas")</f>
        <v>tdk tuntas</v>
      </c>
      <c r="L149" s="132" t="str">
        <f>IF(J149&lt;=39.9,"77",IF(J149&lt;=59.9,"78",IF(J149&lt;=69.9,"79",IF(J149&lt;=74.9,"79",IF(J149&lt;=78.9,"79",IF(J149&lt;=78.9,"79",IF(J149&gt;=78.9,J149," ")))))))</f>
        <v>77</v>
      </c>
      <c r="M149" s="12"/>
      <c r="N149" s="23"/>
      <c r="O149" s="13"/>
      <c r="Q149" s="67" t="str">
        <f>C149</f>
        <v>Aditya Wahyu Putra Septiadi</v>
      </c>
      <c r="R149" s="21" t="str">
        <f>IF(I149&lt;$N$10,"80","")</f>
        <v>80</v>
      </c>
      <c r="S149" s="12"/>
      <c r="T149" s="13"/>
    </row>
    <row r="150" spans="1:20" ht="12" customHeight="1" x14ac:dyDescent="0.25">
      <c r="A150" s="21">
        <v>2</v>
      </c>
      <c r="B150" s="19"/>
      <c r="C150" s="82" t="str">
        <f>DATA!H11</f>
        <v>Al Fuzu Daya Satria</v>
      </c>
      <c r="D150" s="42" t="s">
        <v>63</v>
      </c>
      <c r="E150" s="43"/>
      <c r="F150" s="43"/>
      <c r="G150" s="43"/>
      <c r="H150" s="44"/>
      <c r="I150" s="21">
        <f t="shared" ref="I150:I180" si="29">SUM(D150:H150)</f>
        <v>0</v>
      </c>
      <c r="J150" s="45">
        <f t="shared" ref="J150:J180" si="30">I150</f>
        <v>0</v>
      </c>
      <c r="K150" s="21" t="str">
        <f t="shared" ref="K150:K180" si="31">IF(J150&lt;$N$10,"tdk tuntas","tuntas")</f>
        <v>tdk tuntas</v>
      </c>
      <c r="L150" s="135" t="str">
        <f t="shared" ref="L150:L183" si="32">IF(J150&lt;=39.9,"77",IF(J150&lt;=59.9,"78",IF(J150&lt;=69.9,"79",IF(J150&lt;=74.9,"79",IF(J150&lt;=78.9,"79",IF(J150&lt;=78.9,"79",IF(J150&gt;=78.9,J150," ")))))))</f>
        <v>77</v>
      </c>
      <c r="M150" s="14"/>
      <c r="N150" s="24"/>
      <c r="O150" s="15"/>
      <c r="Q150" s="68" t="str">
        <f t="shared" ref="Q150:Q182" si="33">C150</f>
        <v>Al Fuzu Daya Satria</v>
      </c>
      <c r="R150" s="21" t="str">
        <f>IF(I150&lt;$N$10,"79","")</f>
        <v>79</v>
      </c>
      <c r="S150" s="14" t="s">
        <v>29</v>
      </c>
      <c r="T150" s="15"/>
    </row>
    <row r="151" spans="1:20" ht="12" customHeight="1" thickBot="1" x14ac:dyDescent="0.35">
      <c r="A151" s="21">
        <v>3</v>
      </c>
      <c r="B151" s="19"/>
      <c r="C151" s="82" t="str">
        <f>DATA!H12</f>
        <v>Amanda Kirana Maharani</v>
      </c>
      <c r="D151" s="42" t="s">
        <v>63</v>
      </c>
      <c r="E151" s="43"/>
      <c r="F151" s="43"/>
      <c r="G151" s="43"/>
      <c r="H151" s="44"/>
      <c r="I151" s="21">
        <f t="shared" si="29"/>
        <v>0</v>
      </c>
      <c r="J151" s="45">
        <f t="shared" si="30"/>
        <v>0</v>
      </c>
      <c r="K151" s="21" t="str">
        <f t="shared" si="31"/>
        <v>tdk tuntas</v>
      </c>
      <c r="L151" s="135" t="str">
        <f t="shared" si="32"/>
        <v>77</v>
      </c>
      <c r="M151" s="70" t="s">
        <v>62</v>
      </c>
      <c r="N151" s="76">
        <f>N10</f>
        <v>80</v>
      </c>
      <c r="O151" s="15"/>
      <c r="Q151" s="68" t="str">
        <f t="shared" si="33"/>
        <v>Amanda Kirana Maharani</v>
      </c>
      <c r="R151" s="21" t="str">
        <f>IF(I151&lt;$N$10,"81","")</f>
        <v>81</v>
      </c>
      <c r="S151" s="26"/>
      <c r="T151" s="15"/>
    </row>
    <row r="152" spans="1:20" ht="12" customHeight="1" thickTop="1" thickBot="1" x14ac:dyDescent="0.3">
      <c r="A152" s="21">
        <v>4</v>
      </c>
      <c r="B152" s="19"/>
      <c r="C152" s="82" t="str">
        <f>DATA!H13</f>
        <v>Andra Prima Reza</v>
      </c>
      <c r="D152" s="42" t="s">
        <v>63</v>
      </c>
      <c r="E152" s="43"/>
      <c r="F152" s="43"/>
      <c r="G152" s="43"/>
      <c r="H152" s="44"/>
      <c r="I152" s="21">
        <f t="shared" si="29"/>
        <v>0</v>
      </c>
      <c r="J152" s="45">
        <f t="shared" si="30"/>
        <v>0</v>
      </c>
      <c r="K152" s="21" t="str">
        <f t="shared" si="31"/>
        <v>tdk tuntas</v>
      </c>
      <c r="L152" s="135" t="str">
        <f t="shared" si="32"/>
        <v>77</v>
      </c>
      <c r="M152" s="14"/>
      <c r="N152" s="24"/>
      <c r="O152" s="15"/>
      <c r="Q152" s="68" t="str">
        <f t="shared" si="33"/>
        <v>Andra Prima Reza</v>
      </c>
      <c r="R152" s="21" t="str">
        <f t="shared" ref="R152:R157" si="34">IF(I152&lt;$N$10,"79","")</f>
        <v>79</v>
      </c>
      <c r="S152" s="62"/>
      <c r="T152" s="15" t="s">
        <v>35</v>
      </c>
    </row>
    <row r="153" spans="1:20" ht="12" customHeight="1" thickTop="1" thickBot="1" x14ac:dyDescent="0.3">
      <c r="A153" s="21">
        <v>5</v>
      </c>
      <c r="B153" s="19"/>
      <c r="C153" s="82" t="str">
        <f>DATA!H14</f>
        <v>Ayu Safitri Intan Zahwa</v>
      </c>
      <c r="D153" s="42" t="s">
        <v>63</v>
      </c>
      <c r="E153" s="43"/>
      <c r="F153" s="43"/>
      <c r="G153" s="43"/>
      <c r="H153" s="44"/>
      <c r="I153" s="21">
        <f t="shared" si="29"/>
        <v>0</v>
      </c>
      <c r="J153" s="45">
        <f t="shared" si="30"/>
        <v>0</v>
      </c>
      <c r="K153" s="21" t="str">
        <f t="shared" si="31"/>
        <v>tdk tuntas</v>
      </c>
      <c r="L153" s="135" t="str">
        <f t="shared" si="32"/>
        <v>77</v>
      </c>
      <c r="M153" s="14"/>
      <c r="N153" s="24"/>
      <c r="O153" s="15"/>
      <c r="Q153" s="68" t="str">
        <f t="shared" si="33"/>
        <v>Ayu Safitri Intan Zahwa</v>
      </c>
      <c r="R153" s="21" t="str">
        <f t="shared" si="34"/>
        <v>79</v>
      </c>
      <c r="S153" s="62"/>
      <c r="T153" s="15" t="s">
        <v>38</v>
      </c>
    </row>
    <row r="154" spans="1:20" ht="12" customHeight="1" thickTop="1" thickBot="1" x14ac:dyDescent="0.3">
      <c r="A154" s="21">
        <v>6</v>
      </c>
      <c r="B154" s="19"/>
      <c r="C154" s="82" t="str">
        <f>DATA!H15</f>
        <v>Azzahra Quinnsha Setyana</v>
      </c>
      <c r="D154" s="42" t="s">
        <v>63</v>
      </c>
      <c r="E154" s="43"/>
      <c r="F154" s="43"/>
      <c r="G154" s="43"/>
      <c r="H154" s="44"/>
      <c r="I154" s="21">
        <f t="shared" si="29"/>
        <v>0</v>
      </c>
      <c r="J154" s="45">
        <f t="shared" si="30"/>
        <v>0</v>
      </c>
      <c r="K154" s="21" t="str">
        <f t="shared" si="31"/>
        <v>tdk tuntas</v>
      </c>
      <c r="L154" s="135" t="str">
        <f t="shared" si="32"/>
        <v>77</v>
      </c>
      <c r="M154" s="14" t="s">
        <v>10</v>
      </c>
      <c r="N154" s="24"/>
      <c r="O154" s="15"/>
      <c r="Q154" s="68" t="str">
        <f t="shared" si="33"/>
        <v>Azzahra Quinnsha Setyana</v>
      </c>
      <c r="R154" s="21" t="str">
        <f t="shared" si="34"/>
        <v>79</v>
      </c>
      <c r="S154" s="14"/>
      <c r="T154" s="15" t="s">
        <v>39</v>
      </c>
    </row>
    <row r="155" spans="1:20" ht="12" customHeight="1" thickTop="1" thickBot="1" x14ac:dyDescent="0.35">
      <c r="A155" s="21">
        <v>7</v>
      </c>
      <c r="B155" s="19"/>
      <c r="C155" s="82" t="str">
        <f>DATA!H16</f>
        <v>Bryan Marcanda</v>
      </c>
      <c r="D155" s="42" t="s">
        <v>63</v>
      </c>
      <c r="E155" s="43"/>
      <c r="F155" s="43"/>
      <c r="G155" s="43"/>
      <c r="H155" s="44"/>
      <c r="I155" s="21">
        <f t="shared" si="29"/>
        <v>0</v>
      </c>
      <c r="J155" s="45">
        <f t="shared" si="30"/>
        <v>0</v>
      </c>
      <c r="K155" s="21" t="str">
        <f t="shared" si="31"/>
        <v>tdk tuntas</v>
      </c>
      <c r="L155" s="135" t="str">
        <f t="shared" si="32"/>
        <v>77</v>
      </c>
      <c r="M155" s="14"/>
      <c r="N155" s="24"/>
      <c r="O155" s="15"/>
      <c r="Q155" s="68" t="str">
        <f t="shared" si="33"/>
        <v>Bryan Marcanda</v>
      </c>
      <c r="R155" s="21" t="str">
        <f t="shared" si="34"/>
        <v>79</v>
      </c>
      <c r="S155" s="71" t="s">
        <v>46</v>
      </c>
      <c r="T155" s="73" t="s">
        <v>36</v>
      </c>
    </row>
    <row r="156" spans="1:20" ht="12" customHeight="1" thickTop="1" x14ac:dyDescent="0.3">
      <c r="A156" s="21">
        <v>8</v>
      </c>
      <c r="B156" s="19"/>
      <c r="C156" s="82" t="str">
        <f>DATA!H17</f>
        <v>Chelsea Felita Matiune</v>
      </c>
      <c r="D156" s="42" t="s">
        <v>63</v>
      </c>
      <c r="E156" s="43"/>
      <c r="F156" s="43"/>
      <c r="G156" s="43"/>
      <c r="H156" s="44"/>
      <c r="I156" s="21">
        <f t="shared" si="29"/>
        <v>0</v>
      </c>
      <c r="J156" s="45">
        <f t="shared" si="30"/>
        <v>0</v>
      </c>
      <c r="K156" s="21" t="str">
        <f t="shared" si="31"/>
        <v>tdk tuntas</v>
      </c>
      <c r="L156" s="135" t="str">
        <f t="shared" si="32"/>
        <v>77</v>
      </c>
      <c r="M156" s="77" t="s">
        <v>51</v>
      </c>
      <c r="N156" s="24"/>
      <c r="O156" s="15"/>
      <c r="Q156" s="68" t="str">
        <f t="shared" si="33"/>
        <v>Chelsea Felita Matiune</v>
      </c>
      <c r="R156" s="21" t="str">
        <f t="shared" si="34"/>
        <v>79</v>
      </c>
      <c r="S156" s="70"/>
      <c r="T156" s="73" t="s">
        <v>37</v>
      </c>
    </row>
    <row r="157" spans="1:20" ht="12" customHeight="1" x14ac:dyDescent="0.25">
      <c r="A157" s="21">
        <v>9</v>
      </c>
      <c r="B157" s="19"/>
      <c r="C157" s="82" t="str">
        <f>DATA!H18</f>
        <v>Dharma Tegar Sathrya</v>
      </c>
      <c r="D157" s="42" t="s">
        <v>63</v>
      </c>
      <c r="E157" s="43"/>
      <c r="F157" s="43"/>
      <c r="G157" s="43"/>
      <c r="H157" s="44"/>
      <c r="I157" s="21">
        <f t="shared" si="29"/>
        <v>0</v>
      </c>
      <c r="J157" s="45">
        <f t="shared" si="30"/>
        <v>0</v>
      </c>
      <c r="K157" s="21" t="str">
        <f t="shared" si="31"/>
        <v>tdk tuntas</v>
      </c>
      <c r="L157" s="135" t="str">
        <f t="shared" si="32"/>
        <v>77</v>
      </c>
      <c r="N157" s="24"/>
      <c r="O157" s="15"/>
      <c r="Q157" s="68" t="str">
        <f t="shared" si="33"/>
        <v>Dharma Tegar Sathrya</v>
      </c>
      <c r="R157" s="21" t="str">
        <f t="shared" si="34"/>
        <v>79</v>
      </c>
      <c r="S157" s="14"/>
      <c r="T157" s="15"/>
    </row>
    <row r="158" spans="1:20" ht="12" customHeight="1" x14ac:dyDescent="0.25">
      <c r="A158" s="21">
        <v>10</v>
      </c>
      <c r="B158" s="19"/>
      <c r="C158" s="82" t="str">
        <f>DATA!H19</f>
        <v>Eza Septian Dinata</v>
      </c>
      <c r="D158" s="42" t="s">
        <v>63</v>
      </c>
      <c r="E158" s="43"/>
      <c r="F158" s="43"/>
      <c r="G158" s="43"/>
      <c r="H158" s="44"/>
      <c r="I158" s="21">
        <f t="shared" si="29"/>
        <v>0</v>
      </c>
      <c r="J158" s="45">
        <f t="shared" si="30"/>
        <v>0</v>
      </c>
      <c r="K158" s="21" t="str">
        <f t="shared" si="31"/>
        <v>tdk tuntas</v>
      </c>
      <c r="L158" s="135" t="str">
        <f t="shared" si="32"/>
        <v>77</v>
      </c>
      <c r="M158" s="14"/>
      <c r="N158" s="24"/>
      <c r="O158" s="15"/>
      <c r="Q158" s="68" t="str">
        <f t="shared" si="33"/>
        <v>Eza Septian Dinata</v>
      </c>
      <c r="R158" s="21" t="str">
        <f t="shared" ref="R158:R163" si="35">IF(I158&lt;$N$10,"85","")</f>
        <v>85</v>
      </c>
      <c r="S158" s="14" t="s">
        <v>30</v>
      </c>
      <c r="T158" s="15"/>
    </row>
    <row r="159" spans="1:20" ht="12" customHeight="1" thickBot="1" x14ac:dyDescent="0.3">
      <c r="A159" s="21">
        <v>11</v>
      </c>
      <c r="B159" s="19"/>
      <c r="C159" s="82" t="str">
        <f>DATA!H20</f>
        <v>Hadi Khoirul Anwar</v>
      </c>
      <c r="D159" s="42" t="s">
        <v>63</v>
      </c>
      <c r="E159" s="43"/>
      <c r="F159" s="43"/>
      <c r="G159" s="43"/>
      <c r="H159" s="44"/>
      <c r="I159" s="21">
        <f t="shared" si="29"/>
        <v>0</v>
      </c>
      <c r="J159" s="45">
        <f t="shared" si="30"/>
        <v>0</v>
      </c>
      <c r="K159" s="21" t="str">
        <f t="shared" si="31"/>
        <v>tdk tuntas</v>
      </c>
      <c r="L159" s="135" t="str">
        <f t="shared" si="32"/>
        <v>77</v>
      </c>
      <c r="M159" s="14"/>
      <c r="N159" s="24"/>
      <c r="O159" s="15"/>
      <c r="Q159" s="68" t="str">
        <f t="shared" si="33"/>
        <v>Hadi Khoirul Anwar</v>
      </c>
      <c r="R159" s="21" t="str">
        <f t="shared" si="35"/>
        <v>85</v>
      </c>
      <c r="T159" s="15"/>
    </row>
    <row r="160" spans="1:20" ht="12" customHeight="1" thickTop="1" thickBot="1" x14ac:dyDescent="0.35">
      <c r="A160" s="21">
        <v>12</v>
      </c>
      <c r="B160" s="19"/>
      <c r="C160" s="82" t="str">
        <f>DATA!H21</f>
        <v>Ica Nur Setyo Anugrah</v>
      </c>
      <c r="D160" s="42" t="s">
        <v>63</v>
      </c>
      <c r="E160" s="43"/>
      <c r="F160" s="43"/>
      <c r="G160" s="43"/>
      <c r="H160" s="44"/>
      <c r="I160" s="21">
        <f t="shared" si="29"/>
        <v>0</v>
      </c>
      <c r="J160" s="45">
        <f t="shared" si="30"/>
        <v>0</v>
      </c>
      <c r="K160" s="21" t="str">
        <f t="shared" si="31"/>
        <v>tdk tuntas</v>
      </c>
      <c r="L160" s="135" t="str">
        <f t="shared" si="32"/>
        <v>77</v>
      </c>
      <c r="M160" s="14" t="s">
        <v>11</v>
      </c>
      <c r="N160" s="58">
        <f>K187</f>
        <v>32</v>
      </c>
      <c r="O160" s="15"/>
      <c r="Q160" s="68" t="str">
        <f t="shared" si="33"/>
        <v>Ica Nur Setyo Anugrah</v>
      </c>
      <c r="R160" s="21" t="str">
        <f t="shared" si="35"/>
        <v>85</v>
      </c>
      <c r="S160" s="71" t="s">
        <v>46</v>
      </c>
      <c r="T160" s="73" t="s">
        <v>31</v>
      </c>
    </row>
    <row r="161" spans="1:20" ht="12" customHeight="1" thickTop="1" thickBot="1" x14ac:dyDescent="0.35">
      <c r="A161" s="21">
        <v>13</v>
      </c>
      <c r="B161" s="19"/>
      <c r="C161" s="82" t="str">
        <f>DATA!H22</f>
        <v>Jihan Aliya Kamil Alfayari</v>
      </c>
      <c r="D161" s="42" t="s">
        <v>63</v>
      </c>
      <c r="E161" s="43"/>
      <c r="F161" s="43"/>
      <c r="G161" s="43"/>
      <c r="H161" s="44"/>
      <c r="I161" s="21">
        <f t="shared" si="29"/>
        <v>0</v>
      </c>
      <c r="J161" s="45">
        <f t="shared" si="30"/>
        <v>0</v>
      </c>
      <c r="K161" s="21" t="str">
        <f t="shared" si="31"/>
        <v>tdk tuntas</v>
      </c>
      <c r="L161" s="135" t="str">
        <f t="shared" si="32"/>
        <v>77</v>
      </c>
      <c r="M161" s="14" t="s">
        <v>12</v>
      </c>
      <c r="N161" s="58">
        <f>K185</f>
        <v>0</v>
      </c>
      <c r="O161" s="15"/>
      <c r="Q161" s="68" t="str">
        <f t="shared" si="33"/>
        <v>Jihan Aliya Kamil Alfayari</v>
      </c>
      <c r="R161" s="21" t="str">
        <f t="shared" si="35"/>
        <v>85</v>
      </c>
      <c r="S161" s="70"/>
      <c r="T161" s="73" t="s">
        <v>32</v>
      </c>
    </row>
    <row r="162" spans="1:20" ht="12" customHeight="1" thickTop="1" thickBot="1" x14ac:dyDescent="0.35">
      <c r="A162" s="21">
        <v>14</v>
      </c>
      <c r="B162" s="19"/>
      <c r="C162" s="82" t="str">
        <f>DATA!H23</f>
        <v>Keisya Bily Ferlista</v>
      </c>
      <c r="D162" s="42" t="s">
        <v>63</v>
      </c>
      <c r="E162" s="43"/>
      <c r="F162" s="43"/>
      <c r="G162" s="43"/>
      <c r="H162" s="44"/>
      <c r="I162" s="21">
        <f t="shared" si="29"/>
        <v>0</v>
      </c>
      <c r="J162" s="45">
        <f t="shared" si="30"/>
        <v>0</v>
      </c>
      <c r="K162" s="21" t="str">
        <f t="shared" si="31"/>
        <v>tdk tuntas</v>
      </c>
      <c r="L162" s="135" t="str">
        <f t="shared" si="32"/>
        <v>77</v>
      </c>
      <c r="M162" s="14" t="s">
        <v>13</v>
      </c>
      <c r="N162" s="58">
        <f>N161/N160*100</f>
        <v>0</v>
      </c>
      <c r="O162" s="15" t="s">
        <v>4</v>
      </c>
      <c r="Q162" s="68" t="str">
        <f t="shared" si="33"/>
        <v>Keisya Bily Ferlista</v>
      </c>
      <c r="R162" s="21" t="str">
        <f t="shared" si="35"/>
        <v>85</v>
      </c>
      <c r="S162" s="62"/>
      <c r="T162" s="15" t="s">
        <v>33</v>
      </c>
    </row>
    <row r="163" spans="1:20" ht="12" customHeight="1" thickTop="1" x14ac:dyDescent="0.25">
      <c r="A163" s="21">
        <v>15</v>
      </c>
      <c r="B163" s="19"/>
      <c r="C163" s="82" t="str">
        <f>DATA!H24</f>
        <v>Muhammad Rafi Ma'Arif</v>
      </c>
      <c r="D163" s="42" t="s">
        <v>63</v>
      </c>
      <c r="E163" s="43"/>
      <c r="F163" s="43"/>
      <c r="G163" s="43"/>
      <c r="H163" s="44"/>
      <c r="I163" s="21">
        <f t="shared" si="29"/>
        <v>0</v>
      </c>
      <c r="J163" s="45">
        <f t="shared" si="30"/>
        <v>0</v>
      </c>
      <c r="K163" s="21" t="str">
        <f t="shared" si="31"/>
        <v>tdk tuntas</v>
      </c>
      <c r="L163" s="135" t="str">
        <f t="shared" si="32"/>
        <v>77</v>
      </c>
      <c r="M163" s="14"/>
      <c r="N163" s="24"/>
      <c r="O163" s="15"/>
      <c r="Q163" s="68" t="str">
        <f t="shared" si="33"/>
        <v>Muhammad Rafi Ma'Arif</v>
      </c>
      <c r="R163" s="21" t="str">
        <f t="shared" si="35"/>
        <v>85</v>
      </c>
      <c r="S163" s="14"/>
      <c r="T163" s="15" t="s">
        <v>34</v>
      </c>
    </row>
    <row r="164" spans="1:20" ht="12" customHeight="1" x14ac:dyDescent="0.25">
      <c r="A164" s="21">
        <v>16</v>
      </c>
      <c r="B164" s="19"/>
      <c r="C164" s="82" t="str">
        <f>DATA!H25</f>
        <v>Nafis Aufan Ahsanulkarim</v>
      </c>
      <c r="D164" s="42" t="s">
        <v>63</v>
      </c>
      <c r="E164" s="43"/>
      <c r="F164" s="43"/>
      <c r="G164" s="43"/>
      <c r="H164" s="44"/>
      <c r="I164" s="21">
        <f t="shared" si="29"/>
        <v>0</v>
      </c>
      <c r="J164" s="45">
        <f t="shared" si="30"/>
        <v>0</v>
      </c>
      <c r="K164" s="21" t="str">
        <f t="shared" si="31"/>
        <v>tdk tuntas</v>
      </c>
      <c r="L164" s="135" t="str">
        <f t="shared" si="32"/>
        <v>77</v>
      </c>
      <c r="M164" s="14" t="s">
        <v>52</v>
      </c>
      <c r="N164" s="24"/>
      <c r="O164" s="15"/>
      <c r="Q164" s="68" t="str">
        <f t="shared" si="33"/>
        <v>Nafis Aufan Ahsanulkarim</v>
      </c>
      <c r="R164" s="21" t="str">
        <f>IF(I164&lt;$N$10,"84","")</f>
        <v>84</v>
      </c>
      <c r="S164" s="14"/>
      <c r="T164" s="15"/>
    </row>
    <row r="165" spans="1:20" ht="12" customHeight="1" x14ac:dyDescent="0.25">
      <c r="A165" s="21">
        <v>17</v>
      </c>
      <c r="B165" s="19"/>
      <c r="C165" s="82" t="str">
        <f>DATA!H26</f>
        <v>Nayla Azalia Lathifah</v>
      </c>
      <c r="D165" s="42" t="s">
        <v>63</v>
      </c>
      <c r="E165" s="43"/>
      <c r="F165" s="43"/>
      <c r="G165" s="43"/>
      <c r="H165" s="44"/>
      <c r="I165" s="21">
        <f t="shared" si="29"/>
        <v>0</v>
      </c>
      <c r="J165" s="45">
        <f t="shared" si="30"/>
        <v>0</v>
      </c>
      <c r="K165" s="21" t="str">
        <f t="shared" si="31"/>
        <v>tdk tuntas</v>
      </c>
      <c r="L165" s="135" t="str">
        <f t="shared" si="32"/>
        <v>77</v>
      </c>
      <c r="N165" s="24"/>
      <c r="O165" s="15"/>
      <c r="Q165" s="68" t="str">
        <f t="shared" si="33"/>
        <v>Nayla Azalia Lathifah</v>
      </c>
      <c r="R165" s="21" t="str">
        <f t="shared" ref="R165:R171" si="36">IF(I165&lt;$N$10,"82","")</f>
        <v>82</v>
      </c>
      <c r="S165" s="14"/>
      <c r="T165" s="63" t="s">
        <v>41</v>
      </c>
    </row>
    <row r="166" spans="1:20" ht="12" customHeight="1" x14ac:dyDescent="0.25">
      <c r="A166" s="21">
        <v>18</v>
      </c>
      <c r="B166" s="19"/>
      <c r="C166" s="82" t="str">
        <f>DATA!H27</f>
        <v>Radita Raharjo</v>
      </c>
      <c r="D166" s="42" t="s">
        <v>63</v>
      </c>
      <c r="E166" s="43"/>
      <c r="F166" s="43"/>
      <c r="G166" s="43"/>
      <c r="H166" s="44"/>
      <c r="I166" s="21">
        <f t="shared" si="29"/>
        <v>0</v>
      </c>
      <c r="J166" s="45">
        <f t="shared" si="30"/>
        <v>0</v>
      </c>
      <c r="K166" s="21" t="str">
        <f t="shared" si="31"/>
        <v>tdk tuntas</v>
      </c>
      <c r="L166" s="135" t="str">
        <f t="shared" si="32"/>
        <v>77</v>
      </c>
      <c r="M166" s="14"/>
      <c r="N166" s="24"/>
      <c r="O166" s="15"/>
      <c r="Q166" s="68" t="str">
        <f t="shared" si="33"/>
        <v>Radita Raharjo</v>
      </c>
      <c r="R166" s="21" t="str">
        <f t="shared" si="36"/>
        <v>82</v>
      </c>
      <c r="S166" s="14"/>
      <c r="T166" s="63"/>
    </row>
    <row r="167" spans="1:20" ht="12" customHeight="1" x14ac:dyDescent="0.25">
      <c r="A167" s="21">
        <v>19</v>
      </c>
      <c r="B167" s="19"/>
      <c r="C167" s="82" t="str">
        <f>DATA!H28</f>
        <v>Rava Aditya Pratama</v>
      </c>
      <c r="D167" s="42" t="s">
        <v>63</v>
      </c>
      <c r="E167" s="43"/>
      <c r="F167" s="43"/>
      <c r="G167" s="43"/>
      <c r="H167" s="44"/>
      <c r="I167" s="21">
        <f t="shared" si="29"/>
        <v>0</v>
      </c>
      <c r="J167" s="45">
        <f t="shared" si="30"/>
        <v>0</v>
      </c>
      <c r="K167" s="21" t="str">
        <f t="shared" si="31"/>
        <v>tdk tuntas</v>
      </c>
      <c r="L167" s="135" t="str">
        <f t="shared" si="32"/>
        <v>77</v>
      </c>
      <c r="M167" s="14"/>
      <c r="N167" s="24"/>
      <c r="O167" s="15"/>
      <c r="Q167" s="68" t="str">
        <f t="shared" si="33"/>
        <v>Rava Aditya Pratama</v>
      </c>
      <c r="R167" s="21" t="str">
        <f t="shared" si="36"/>
        <v>82</v>
      </c>
      <c r="S167" s="14"/>
      <c r="T167" s="63"/>
    </row>
    <row r="168" spans="1:20" ht="12" customHeight="1" x14ac:dyDescent="0.25">
      <c r="A168" s="21">
        <v>20</v>
      </c>
      <c r="B168" s="19"/>
      <c r="C168" s="82" t="str">
        <f>DATA!H29</f>
        <v>Saffa Ayu Anastasya</v>
      </c>
      <c r="D168" s="42" t="s">
        <v>63</v>
      </c>
      <c r="E168" s="43"/>
      <c r="F168" s="43"/>
      <c r="G168" s="43"/>
      <c r="H168" s="44"/>
      <c r="I168" s="21">
        <f t="shared" si="29"/>
        <v>0</v>
      </c>
      <c r="J168" s="45">
        <f t="shared" si="30"/>
        <v>0</v>
      </c>
      <c r="K168" s="21" t="str">
        <f t="shared" si="31"/>
        <v>tdk tuntas</v>
      </c>
      <c r="L168" s="135" t="str">
        <f t="shared" si="32"/>
        <v>77</v>
      </c>
      <c r="M168" s="14" t="s">
        <v>53</v>
      </c>
      <c r="N168" s="78">
        <f>I185</f>
        <v>0</v>
      </c>
      <c r="O168" s="15"/>
      <c r="Q168" s="68" t="str">
        <f t="shared" si="33"/>
        <v>Saffa Ayu Anastasya</v>
      </c>
      <c r="R168" s="21" t="str">
        <f t="shared" si="36"/>
        <v>82</v>
      </c>
      <c r="S168" s="14"/>
      <c r="T168" s="63"/>
    </row>
    <row r="169" spans="1:20" ht="12" customHeight="1" x14ac:dyDescent="0.25">
      <c r="A169" s="21">
        <v>21</v>
      </c>
      <c r="B169" s="19"/>
      <c r="C169" s="82" t="str">
        <f>DATA!H30</f>
        <v>Saromadika</v>
      </c>
      <c r="D169" s="42" t="s">
        <v>63</v>
      </c>
      <c r="E169" s="43"/>
      <c r="F169" s="43"/>
      <c r="G169" s="43"/>
      <c r="H169" s="44"/>
      <c r="I169" s="21">
        <f t="shared" si="29"/>
        <v>0</v>
      </c>
      <c r="J169" s="45">
        <f t="shared" si="30"/>
        <v>0</v>
      </c>
      <c r="K169" s="21" t="str">
        <f t="shared" si="31"/>
        <v>tdk tuntas</v>
      </c>
      <c r="L169" s="135" t="str">
        <f t="shared" si="32"/>
        <v>77</v>
      </c>
      <c r="M169" s="14" t="s">
        <v>54</v>
      </c>
      <c r="N169" s="78">
        <f>I186</f>
        <v>3200</v>
      </c>
      <c r="O169" s="15"/>
      <c r="Q169" s="68" t="str">
        <f t="shared" si="33"/>
        <v>Saromadika</v>
      </c>
      <c r="R169" s="21" t="str">
        <f t="shared" si="36"/>
        <v>82</v>
      </c>
      <c r="S169" s="14"/>
      <c r="T169" s="63" t="str">
        <f>T122</f>
        <v>KASMIN, S.Pd</v>
      </c>
    </row>
    <row r="170" spans="1:20" ht="12" customHeight="1" x14ac:dyDescent="0.25">
      <c r="A170" s="21">
        <v>22</v>
      </c>
      <c r="B170" s="19"/>
      <c r="C170" s="82" t="str">
        <f>DATA!H31</f>
        <v>Siti Fadilah Purmareta</v>
      </c>
      <c r="D170" s="42" t="s">
        <v>63</v>
      </c>
      <c r="E170" s="43"/>
      <c r="F170" s="43"/>
      <c r="G170" s="43"/>
      <c r="H170" s="44"/>
      <c r="I170" s="21">
        <f t="shared" si="29"/>
        <v>0</v>
      </c>
      <c r="J170" s="45">
        <f t="shared" si="30"/>
        <v>0</v>
      </c>
      <c r="K170" s="21" t="str">
        <f t="shared" si="31"/>
        <v>tdk tuntas</v>
      </c>
      <c r="L170" s="135" t="str">
        <f t="shared" si="32"/>
        <v>77</v>
      </c>
      <c r="M170" s="14" t="s">
        <v>13</v>
      </c>
      <c r="N170" s="84">
        <f>N168/N169*100</f>
        <v>0</v>
      </c>
      <c r="O170" s="79" t="s">
        <v>4</v>
      </c>
      <c r="Q170" s="68" t="str">
        <f t="shared" si="33"/>
        <v>Siti Fadilah Purmareta</v>
      </c>
      <c r="R170" s="21" t="str">
        <f t="shared" si="36"/>
        <v>82</v>
      </c>
      <c r="S170" s="14"/>
      <c r="T170" s="63" t="str">
        <f>T123</f>
        <v>NIP :19960914 199003 1 007</v>
      </c>
    </row>
    <row r="171" spans="1:20" ht="12" customHeight="1" x14ac:dyDescent="0.25">
      <c r="A171" s="21">
        <v>23</v>
      </c>
      <c r="B171" s="19"/>
      <c r="C171" s="82" t="str">
        <f>DATA!H32</f>
        <v>Surya Ardika Pratama</v>
      </c>
      <c r="D171" s="42" t="s">
        <v>63</v>
      </c>
      <c r="E171" s="43"/>
      <c r="F171" s="43"/>
      <c r="G171" s="43"/>
      <c r="H171" s="44"/>
      <c r="I171" s="21">
        <f t="shared" si="29"/>
        <v>0</v>
      </c>
      <c r="J171" s="45">
        <f t="shared" si="30"/>
        <v>0</v>
      </c>
      <c r="K171" s="21" t="str">
        <f t="shared" si="31"/>
        <v>tdk tuntas</v>
      </c>
      <c r="L171" s="135" t="str">
        <f t="shared" si="32"/>
        <v>77</v>
      </c>
      <c r="M171" s="14"/>
      <c r="N171" s="24"/>
      <c r="O171" s="15"/>
      <c r="Q171" s="68" t="str">
        <f t="shared" si="33"/>
        <v>Surya Ardika Pratama</v>
      </c>
      <c r="R171" s="21" t="str">
        <f t="shared" si="36"/>
        <v>82</v>
      </c>
      <c r="S171" s="14"/>
      <c r="T171" s="15"/>
    </row>
    <row r="172" spans="1:20" ht="12" customHeight="1" x14ac:dyDescent="0.25">
      <c r="A172" s="21">
        <v>24</v>
      </c>
      <c r="B172" s="19"/>
      <c r="C172" s="82" t="str">
        <f>DATA!H33</f>
        <v>Syafa Nutrima Andini</v>
      </c>
      <c r="D172" s="42" t="s">
        <v>63</v>
      </c>
      <c r="E172" s="43"/>
      <c r="F172" s="43"/>
      <c r="G172" s="43"/>
      <c r="H172" s="44"/>
      <c r="I172" s="21">
        <f t="shared" si="29"/>
        <v>0</v>
      </c>
      <c r="J172" s="45">
        <f t="shared" si="30"/>
        <v>0</v>
      </c>
      <c r="K172" s="21" t="str">
        <f t="shared" si="31"/>
        <v>tdk tuntas</v>
      </c>
      <c r="L172" s="135" t="str">
        <f t="shared" si="32"/>
        <v>77</v>
      </c>
      <c r="M172" s="14"/>
      <c r="N172" s="24"/>
      <c r="O172" s="15"/>
      <c r="Q172" s="68" t="str">
        <f t="shared" si="33"/>
        <v>Syafa Nutrima Andini</v>
      </c>
      <c r="R172" s="21" t="str">
        <f>IF(I172&lt;$N$10,"79","")</f>
        <v>79</v>
      </c>
      <c r="S172" s="14"/>
      <c r="T172" s="63" t="s">
        <v>42</v>
      </c>
    </row>
    <row r="173" spans="1:20" ht="12" customHeight="1" x14ac:dyDescent="0.25">
      <c r="A173" s="21">
        <v>25</v>
      </c>
      <c r="B173" s="19"/>
      <c r="C173" s="82" t="str">
        <f>DATA!H34</f>
        <v>Syifa Dwi Rahayu</v>
      </c>
      <c r="D173" s="42" t="s">
        <v>63</v>
      </c>
      <c r="E173" s="43"/>
      <c r="F173" s="43"/>
      <c r="G173" s="43"/>
      <c r="H173" s="44"/>
      <c r="I173" s="21">
        <f t="shared" si="29"/>
        <v>0</v>
      </c>
      <c r="J173" s="45">
        <f t="shared" si="30"/>
        <v>0</v>
      </c>
      <c r="K173" s="21" t="str">
        <f t="shared" si="31"/>
        <v>tdk tuntas</v>
      </c>
      <c r="L173" s="135" t="str">
        <f t="shared" si="32"/>
        <v>77</v>
      </c>
      <c r="M173" s="14" t="s">
        <v>14</v>
      </c>
      <c r="N173" s="24"/>
      <c r="O173" s="15"/>
      <c r="Q173" s="68" t="str">
        <f t="shared" si="33"/>
        <v>Syifa Dwi Rahayu</v>
      </c>
      <c r="R173" s="21" t="str">
        <f>IF(I173&lt;$N$10,"79","")</f>
        <v>79</v>
      </c>
      <c r="S173" s="14"/>
      <c r="T173" s="63"/>
    </row>
    <row r="174" spans="1:20" ht="12" customHeight="1" x14ac:dyDescent="0.25">
      <c r="A174" s="21">
        <v>26</v>
      </c>
      <c r="B174" s="19"/>
      <c r="C174" s="82" t="str">
        <f>DATA!H35</f>
        <v>Trendy Pambayun</v>
      </c>
      <c r="D174" s="42" t="s">
        <v>63</v>
      </c>
      <c r="E174" s="43"/>
      <c r="F174" s="43"/>
      <c r="G174" s="43"/>
      <c r="H174" s="44"/>
      <c r="I174" s="21">
        <f t="shared" si="29"/>
        <v>0</v>
      </c>
      <c r="J174" s="45">
        <f t="shared" si="30"/>
        <v>0</v>
      </c>
      <c r="K174" s="21" t="str">
        <f t="shared" si="31"/>
        <v>tdk tuntas</v>
      </c>
      <c r="L174" s="135" t="str">
        <f t="shared" si="32"/>
        <v>77</v>
      </c>
      <c r="M174" s="14" t="s">
        <v>15</v>
      </c>
      <c r="N174" s="24"/>
      <c r="O174" s="15"/>
      <c r="Q174" s="68" t="str">
        <f t="shared" si="33"/>
        <v>Trendy Pambayun</v>
      </c>
      <c r="R174" s="21" t="str">
        <f>IF(I174&lt;$N$10,"79","")</f>
        <v>79</v>
      </c>
      <c r="S174" s="14"/>
      <c r="T174" s="63"/>
    </row>
    <row r="175" spans="1:20" ht="12" customHeight="1" x14ac:dyDescent="0.3">
      <c r="A175" s="21">
        <v>27</v>
      </c>
      <c r="B175" s="19"/>
      <c r="C175" s="82" t="str">
        <f>DATA!H36</f>
        <v>Victar Alfiano</v>
      </c>
      <c r="D175" s="42" t="s">
        <v>63</v>
      </c>
      <c r="E175" s="43"/>
      <c r="F175" s="43"/>
      <c r="G175" s="43"/>
      <c r="H175" s="44"/>
      <c r="I175" s="21">
        <f t="shared" si="29"/>
        <v>0</v>
      </c>
      <c r="J175" s="45">
        <f t="shared" si="30"/>
        <v>0</v>
      </c>
      <c r="K175" s="21" t="str">
        <f t="shared" si="31"/>
        <v>tdk tuntas</v>
      </c>
      <c r="L175" s="135" t="str">
        <f t="shared" si="32"/>
        <v>77</v>
      </c>
      <c r="M175" s="155" t="s">
        <v>80</v>
      </c>
      <c r="N175" s="24"/>
      <c r="O175" s="15"/>
      <c r="Q175" s="68" t="str">
        <f t="shared" si="33"/>
        <v>Victar Alfiano</v>
      </c>
      <c r="R175" s="21" t="str">
        <f>IF(I175&lt;$N$10,"79","")</f>
        <v>79</v>
      </c>
      <c r="S175" s="14"/>
      <c r="T175" s="63"/>
    </row>
    <row r="176" spans="1:20" ht="12" customHeight="1" x14ac:dyDescent="0.25">
      <c r="A176" s="21">
        <v>28</v>
      </c>
      <c r="B176" s="19"/>
      <c r="C176" s="82" t="str">
        <f>DATA!H37</f>
        <v>Vika Adhania</v>
      </c>
      <c r="D176" s="42" t="s">
        <v>63</v>
      </c>
      <c r="E176" s="43"/>
      <c r="F176" s="43"/>
      <c r="G176" s="43"/>
      <c r="H176" s="44"/>
      <c r="I176" s="21">
        <f t="shared" si="29"/>
        <v>0</v>
      </c>
      <c r="J176" s="45">
        <f t="shared" si="30"/>
        <v>0</v>
      </c>
      <c r="K176" s="21" t="str">
        <f t="shared" si="31"/>
        <v>tdk tuntas</v>
      </c>
      <c r="L176" s="135" t="str">
        <f t="shared" si="32"/>
        <v>77</v>
      </c>
      <c r="M176" s="14"/>
      <c r="N176" s="24"/>
      <c r="O176" s="15"/>
      <c r="Q176" s="68" t="str">
        <f t="shared" si="33"/>
        <v>Vika Adhania</v>
      </c>
      <c r="R176" s="21" t="str">
        <f>IF(I176&lt;$N$10,"81","")</f>
        <v>81</v>
      </c>
      <c r="S176" s="14"/>
      <c r="T176" s="63"/>
    </row>
    <row r="177" spans="1:20" ht="12" customHeight="1" x14ac:dyDescent="0.25">
      <c r="A177" s="21">
        <v>29</v>
      </c>
      <c r="B177" s="19"/>
      <c r="C177" s="82" t="str">
        <f>DATA!H38</f>
        <v>Yogi Restu Bintang Pamungkas</v>
      </c>
      <c r="D177" s="42" t="s">
        <v>63</v>
      </c>
      <c r="E177" s="43"/>
      <c r="F177" s="43"/>
      <c r="G177" s="43"/>
      <c r="H177" s="44"/>
      <c r="I177" s="21">
        <f t="shared" si="29"/>
        <v>0</v>
      </c>
      <c r="J177" s="45">
        <f t="shared" si="30"/>
        <v>0</v>
      </c>
      <c r="K177" s="21" t="str">
        <f t="shared" si="31"/>
        <v>tdk tuntas</v>
      </c>
      <c r="L177" s="135" t="str">
        <f t="shared" si="32"/>
        <v>77</v>
      </c>
      <c r="M177" s="14"/>
      <c r="N177" s="24"/>
      <c r="O177" s="15"/>
      <c r="Q177" s="68" t="str">
        <f t="shared" si="33"/>
        <v>Yogi Restu Bintang Pamungkas</v>
      </c>
      <c r="R177" s="21" t="str">
        <f>IF(I177&lt;$N$10,"85","")</f>
        <v>85</v>
      </c>
      <c r="S177" s="14"/>
      <c r="T177" s="63"/>
    </row>
    <row r="178" spans="1:20" ht="12" customHeight="1" x14ac:dyDescent="0.25">
      <c r="A178" s="21">
        <v>30</v>
      </c>
      <c r="B178" s="19"/>
      <c r="C178" s="82" t="str">
        <f>DATA!H39</f>
        <v>Zahfa Zilvilya Putri</v>
      </c>
      <c r="D178" s="42" t="s">
        <v>63</v>
      </c>
      <c r="E178" s="43"/>
      <c r="F178" s="43"/>
      <c r="G178" s="43"/>
      <c r="H178" s="44"/>
      <c r="I178" s="21">
        <f t="shared" si="29"/>
        <v>0</v>
      </c>
      <c r="J178" s="45">
        <f t="shared" si="30"/>
        <v>0</v>
      </c>
      <c r="K178" s="21" t="str">
        <f t="shared" si="31"/>
        <v>tdk tuntas</v>
      </c>
      <c r="L178" s="135" t="str">
        <f t="shared" si="32"/>
        <v>77</v>
      </c>
      <c r="M178" s="14"/>
      <c r="N178" s="24"/>
      <c r="O178" s="15"/>
      <c r="Q178" s="68" t="str">
        <f t="shared" si="33"/>
        <v>Zahfa Zilvilya Putri</v>
      </c>
      <c r="R178" s="21" t="str">
        <f>IF(I178&lt;$N$10,"78","")</f>
        <v>78</v>
      </c>
      <c r="S178" s="14"/>
      <c r="T178" s="63" t="str">
        <f>T131</f>
        <v>Dra. BAROKAH GUNIARTI</v>
      </c>
    </row>
    <row r="179" spans="1:20" ht="12" customHeight="1" x14ac:dyDescent="0.25">
      <c r="A179" s="21">
        <v>31</v>
      </c>
      <c r="B179" s="19"/>
      <c r="C179" s="82" t="str">
        <f>DATA!H40</f>
        <v>Zaidan Rafa Prawidi</v>
      </c>
      <c r="D179" s="42" t="s">
        <v>63</v>
      </c>
      <c r="E179" s="43"/>
      <c r="F179" s="43"/>
      <c r="G179" s="43"/>
      <c r="H179" s="44"/>
      <c r="I179" s="21">
        <f t="shared" si="29"/>
        <v>0</v>
      </c>
      <c r="J179" s="45">
        <f t="shared" si="30"/>
        <v>0</v>
      </c>
      <c r="K179" s="21" t="str">
        <f t="shared" si="31"/>
        <v>tdk tuntas</v>
      </c>
      <c r="L179" s="135" t="str">
        <f t="shared" si="32"/>
        <v>77</v>
      </c>
      <c r="M179" s="14" t="s">
        <v>56</v>
      </c>
      <c r="N179" s="24"/>
      <c r="O179" s="15"/>
      <c r="Q179" s="68" t="str">
        <f t="shared" si="33"/>
        <v>Zaidan Rafa Prawidi</v>
      </c>
      <c r="R179" s="21" t="str">
        <f>IF(I179&lt;$N$10,"84","")</f>
        <v>84</v>
      </c>
      <c r="S179" s="14"/>
      <c r="T179" s="63" t="str">
        <f>T132</f>
        <v>NIP : 196901081996122004</v>
      </c>
    </row>
    <row r="180" spans="1:20" ht="12" customHeight="1" x14ac:dyDescent="0.25">
      <c r="A180" s="21">
        <v>32</v>
      </c>
      <c r="B180" s="19"/>
      <c r="C180" s="82">
        <f>DATA!H41</f>
        <v>0</v>
      </c>
      <c r="D180" s="42" t="s">
        <v>63</v>
      </c>
      <c r="E180" s="43"/>
      <c r="F180" s="43"/>
      <c r="G180" s="43"/>
      <c r="H180" s="44"/>
      <c r="I180" s="21">
        <f t="shared" si="29"/>
        <v>0</v>
      </c>
      <c r="J180" s="45">
        <f t="shared" si="30"/>
        <v>0</v>
      </c>
      <c r="K180" s="21" t="str">
        <f t="shared" si="31"/>
        <v>tdk tuntas</v>
      </c>
      <c r="L180" s="135" t="str">
        <f t="shared" si="32"/>
        <v>77</v>
      </c>
      <c r="M180" s="14"/>
      <c r="N180" s="24"/>
      <c r="O180" s="15"/>
      <c r="Q180" s="68">
        <f t="shared" si="33"/>
        <v>0</v>
      </c>
      <c r="R180" s="21" t="str">
        <f>IF(I180&lt;$N$10,"85","")</f>
        <v>85</v>
      </c>
      <c r="S180" s="14"/>
      <c r="T180" s="15"/>
    </row>
    <row r="181" spans="1:20" ht="12" customHeight="1" x14ac:dyDescent="0.25">
      <c r="A181" s="21">
        <v>33</v>
      </c>
      <c r="B181" s="19"/>
      <c r="C181" s="82"/>
      <c r="D181" s="42" t="s">
        <v>63</v>
      </c>
      <c r="E181" s="43"/>
      <c r="F181" s="43"/>
      <c r="G181" s="43"/>
      <c r="H181" s="44"/>
      <c r="I181" s="21"/>
      <c r="J181" s="45"/>
      <c r="K181" s="21"/>
      <c r="L181" s="135" t="str">
        <f t="shared" si="32"/>
        <v>77</v>
      </c>
      <c r="M181" s="14" t="s">
        <v>16</v>
      </c>
      <c r="N181" s="24"/>
      <c r="O181" s="15"/>
      <c r="Q181" s="68">
        <f t="shared" si="33"/>
        <v>0</v>
      </c>
      <c r="R181" s="21" t="str">
        <f>IF(I181&lt;$N$10,"83","")</f>
        <v>83</v>
      </c>
      <c r="S181" s="14"/>
      <c r="T181" s="15"/>
    </row>
    <row r="182" spans="1:20" ht="12" customHeight="1" x14ac:dyDescent="0.25">
      <c r="A182" s="21">
        <v>34</v>
      </c>
      <c r="B182" s="19"/>
      <c r="C182" s="82"/>
      <c r="D182" s="42" t="s">
        <v>63</v>
      </c>
      <c r="E182" s="43"/>
      <c r="F182" s="43"/>
      <c r="G182" s="43"/>
      <c r="H182" s="44"/>
      <c r="I182" s="21"/>
      <c r="J182" s="45"/>
      <c r="K182" s="21"/>
      <c r="L182" s="135" t="str">
        <f t="shared" si="32"/>
        <v>77</v>
      </c>
      <c r="M182" s="14" t="s">
        <v>59</v>
      </c>
      <c r="N182" s="24"/>
      <c r="O182" s="15"/>
      <c r="Q182" s="68">
        <f t="shared" si="33"/>
        <v>0</v>
      </c>
      <c r="R182" s="21" t="str">
        <f>IF(I182&lt;$N$10,"80","")</f>
        <v>80</v>
      </c>
      <c r="S182" s="14"/>
      <c r="T182" s="15"/>
    </row>
    <row r="183" spans="1:20" ht="12" customHeight="1" x14ac:dyDescent="0.25">
      <c r="A183" s="21">
        <v>35</v>
      </c>
      <c r="B183" s="22"/>
      <c r="C183" s="162"/>
      <c r="D183" s="136"/>
      <c r="E183" s="137"/>
      <c r="F183" s="137"/>
      <c r="G183" s="137"/>
      <c r="H183" s="138"/>
      <c r="I183" s="21"/>
      <c r="J183" s="45"/>
      <c r="K183" s="21"/>
      <c r="L183" s="139" t="str">
        <f t="shared" si="32"/>
        <v>77</v>
      </c>
      <c r="M183" s="14" t="s">
        <v>23</v>
      </c>
      <c r="N183" s="24"/>
      <c r="O183" s="15"/>
      <c r="Q183" s="69"/>
      <c r="R183" s="21"/>
      <c r="S183" s="16"/>
      <c r="T183" s="17"/>
    </row>
    <row r="184" spans="1:20" ht="12" customHeight="1" x14ac:dyDescent="0.25">
      <c r="A184" s="101" t="s">
        <v>64</v>
      </c>
      <c r="B184" s="96"/>
      <c r="C184" s="97"/>
      <c r="D184" s="93"/>
      <c r="E184" s="94"/>
      <c r="F184" s="94"/>
      <c r="G184" s="94"/>
      <c r="H184" s="95"/>
      <c r="I184" s="98">
        <f>AVERAGE(I149:I183)</f>
        <v>0</v>
      </c>
      <c r="J184" s="74"/>
      <c r="K184" s="47"/>
      <c r="L184" s="65"/>
      <c r="M184" s="14"/>
      <c r="N184" s="24"/>
      <c r="O184" s="15"/>
      <c r="Q184" s="60"/>
      <c r="R184" s="471" t="str">
        <f>C145</f>
        <v>9D</v>
      </c>
      <c r="S184" s="471"/>
      <c r="T184" s="61"/>
    </row>
    <row r="185" spans="1:20" ht="12" customHeight="1" x14ac:dyDescent="0.25">
      <c r="A185" s="14" t="s">
        <v>17</v>
      </c>
      <c r="B185" s="24"/>
      <c r="C185" s="15"/>
      <c r="D185" s="42">
        <f>SUM(D149:D183)</f>
        <v>0</v>
      </c>
      <c r="E185" s="43">
        <f>SUM(E149:E183)</f>
        <v>0</v>
      </c>
      <c r="F185" s="43">
        <f>SUM(F149:F183)</f>
        <v>0</v>
      </c>
      <c r="G185" s="43">
        <f>SUM(G149:G183)</f>
        <v>0</v>
      </c>
      <c r="H185" s="44">
        <f>SUM(H149:H183)</f>
        <v>0</v>
      </c>
      <c r="I185" s="80">
        <f>SUM(D185:H185)</f>
        <v>0</v>
      </c>
      <c r="J185" s="85" t="s">
        <v>49</v>
      </c>
      <c r="K185" s="48">
        <f>COUNTIF(K149:K183,J185)</f>
        <v>0</v>
      </c>
      <c r="L185" s="64"/>
      <c r="M185" s="14"/>
      <c r="N185" s="24"/>
      <c r="O185" s="15"/>
      <c r="Q185" s="30"/>
      <c r="R185" s="472"/>
      <c r="S185" s="472"/>
      <c r="T185" s="31"/>
    </row>
    <row r="186" spans="1:20" ht="12" customHeight="1" x14ac:dyDescent="0.25">
      <c r="A186" s="14" t="s">
        <v>18</v>
      </c>
      <c r="B186" s="24"/>
      <c r="C186" s="15"/>
      <c r="D186" s="42">
        <f>D147*K187</f>
        <v>640</v>
      </c>
      <c r="E186" s="42">
        <f>E147*K187</f>
        <v>640</v>
      </c>
      <c r="F186" s="42">
        <f>F147*K187</f>
        <v>640</v>
      </c>
      <c r="G186" s="42">
        <f>G147*K187</f>
        <v>640</v>
      </c>
      <c r="H186" s="42">
        <f>H147*K187</f>
        <v>640</v>
      </c>
      <c r="I186" s="80">
        <f>SUM(D186:H186)</f>
        <v>3200</v>
      </c>
      <c r="J186" s="86" t="s">
        <v>50</v>
      </c>
      <c r="K186" s="48">
        <f>COUNTIF(K149:K183,J186)</f>
        <v>32</v>
      </c>
      <c r="L186" s="64"/>
      <c r="M186" s="14"/>
      <c r="N186" s="24"/>
      <c r="O186" s="15"/>
      <c r="Q186" s="30"/>
      <c r="R186" s="472"/>
      <c r="S186" s="472"/>
      <c r="T186" s="31"/>
    </row>
    <row r="187" spans="1:20" ht="12" customHeight="1" x14ac:dyDescent="0.25">
      <c r="A187" s="26" t="s">
        <v>19</v>
      </c>
      <c r="B187" s="27"/>
      <c r="C187" s="28"/>
      <c r="D187" s="136">
        <f t="shared" ref="D187:I187" si="37">D185/D186*100</f>
        <v>0</v>
      </c>
      <c r="E187" s="136">
        <f t="shared" si="37"/>
        <v>0</v>
      </c>
      <c r="F187" s="136">
        <f t="shared" si="37"/>
        <v>0</v>
      </c>
      <c r="G187" s="136">
        <f t="shared" si="37"/>
        <v>0</v>
      </c>
      <c r="H187" s="136">
        <f t="shared" si="37"/>
        <v>0</v>
      </c>
      <c r="I187" s="50">
        <f t="shared" si="37"/>
        <v>0</v>
      </c>
      <c r="J187" s="75" t="s">
        <v>57</v>
      </c>
      <c r="K187" s="49">
        <f>SUM(K185:K186)</f>
        <v>32</v>
      </c>
      <c r="L187" s="66"/>
      <c r="M187" s="16"/>
      <c r="N187" s="25"/>
      <c r="O187" s="17"/>
      <c r="Q187" s="8"/>
      <c r="R187" s="473"/>
      <c r="S187" s="473"/>
      <c r="T187" s="9"/>
    </row>
    <row r="188" spans="1:20" ht="12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20" ht="12" customHeight="1" x14ac:dyDescent="0.25">
      <c r="A189" s="453" t="str">
        <f>'UH1'!A189</f>
        <v>ANALISA HASIL PH MATEMATIKA KLS IX  SMT GENAP</v>
      </c>
      <c r="B189" s="454"/>
      <c r="C189" s="454"/>
      <c r="D189" s="454"/>
      <c r="E189" s="454"/>
      <c r="F189" s="454"/>
      <c r="G189" s="454"/>
      <c r="H189" s="454"/>
      <c r="I189" s="454"/>
      <c r="J189" s="454"/>
      <c r="K189" s="454"/>
      <c r="L189" s="454"/>
      <c r="M189" s="454"/>
      <c r="N189" s="454"/>
      <c r="O189" s="455"/>
      <c r="Q189" s="456" t="s">
        <v>40</v>
      </c>
      <c r="R189" s="457"/>
      <c r="S189" s="457"/>
      <c r="T189" s="458"/>
    </row>
    <row r="190" spans="1:20" ht="12" customHeight="1" x14ac:dyDescent="0.25">
      <c r="A190" s="453" t="str">
        <f>A143</f>
        <v>SMP I LIMBANGAN  TH 2025/2026</v>
      </c>
      <c r="B190" s="454"/>
      <c r="C190" s="454"/>
      <c r="D190" s="454"/>
      <c r="E190" s="454"/>
      <c r="F190" s="454"/>
      <c r="G190" s="454"/>
      <c r="H190" s="454"/>
      <c r="I190" s="454"/>
      <c r="J190" s="454"/>
      <c r="K190" s="454"/>
      <c r="L190" s="454"/>
      <c r="M190" s="454"/>
      <c r="N190" s="454"/>
      <c r="O190" s="455"/>
      <c r="Q190" s="453" t="s">
        <v>61</v>
      </c>
      <c r="R190" s="454"/>
      <c r="S190" s="454"/>
      <c r="T190" s="455"/>
    </row>
    <row r="191" spans="1:20" ht="12" customHeight="1" x14ac:dyDescent="0.25"/>
    <row r="192" spans="1:20" ht="12" customHeight="1" x14ac:dyDescent="0.25">
      <c r="A192" s="99" t="s">
        <v>66</v>
      </c>
      <c r="C192" s="102" t="str">
        <f>DATA!J8</f>
        <v>9E</v>
      </c>
      <c r="D192" t="s">
        <v>21</v>
      </c>
      <c r="F192" s="87">
        <f>F4</f>
        <v>4</v>
      </c>
      <c r="I192" t="s">
        <v>20</v>
      </c>
      <c r="K192" s="72"/>
      <c r="M192" s="1" t="s">
        <v>60</v>
      </c>
      <c r="N192" s="87">
        <f>N4</f>
        <v>1</v>
      </c>
      <c r="Q192" t="s">
        <v>28</v>
      </c>
      <c r="R192" s="470"/>
      <c r="S192" s="470"/>
    </row>
    <row r="193" spans="1:20" ht="12" customHeight="1" x14ac:dyDescent="0.25">
      <c r="A193" s="2"/>
      <c r="B193" s="2"/>
      <c r="C193" s="3" t="s">
        <v>7</v>
      </c>
      <c r="D193" s="32">
        <v>1</v>
      </c>
      <c r="E193" s="33">
        <v>2</v>
      </c>
      <c r="F193" s="33">
        <v>3</v>
      </c>
      <c r="G193" s="33">
        <v>4</v>
      </c>
      <c r="H193" s="34">
        <v>5</v>
      </c>
      <c r="I193" s="35" t="s">
        <v>3</v>
      </c>
      <c r="J193" s="4" t="s">
        <v>4</v>
      </c>
      <c r="K193" s="53" t="s">
        <v>83</v>
      </c>
      <c r="L193" s="35" t="s">
        <v>43</v>
      </c>
      <c r="M193" s="459" t="s">
        <v>9</v>
      </c>
      <c r="N193" s="460"/>
      <c r="O193" s="461"/>
      <c r="Q193" s="2"/>
      <c r="R193" s="35" t="s">
        <v>24</v>
      </c>
      <c r="S193" s="60"/>
      <c r="T193" s="61"/>
    </row>
    <row r="194" spans="1:20" ht="12" customHeight="1" x14ac:dyDescent="0.25">
      <c r="A194" s="6" t="s">
        <v>0</v>
      </c>
      <c r="B194" s="6" t="s">
        <v>1</v>
      </c>
      <c r="C194" s="5" t="s">
        <v>8</v>
      </c>
      <c r="D194" s="55">
        <f>D147</f>
        <v>20</v>
      </c>
      <c r="E194" s="56">
        <f>E147</f>
        <v>20</v>
      </c>
      <c r="F194" s="56">
        <f>F147</f>
        <v>20</v>
      </c>
      <c r="G194" s="56">
        <f>G147</f>
        <v>20</v>
      </c>
      <c r="H194" s="105">
        <f>H147</f>
        <v>20</v>
      </c>
      <c r="I194" s="21">
        <f>SUM(D194:H194)</f>
        <v>100</v>
      </c>
      <c r="J194" s="6" t="s">
        <v>5</v>
      </c>
      <c r="K194" s="52" t="s">
        <v>22</v>
      </c>
      <c r="L194" s="11" t="s">
        <v>44</v>
      </c>
      <c r="M194" s="462"/>
      <c r="N194" s="463"/>
      <c r="O194" s="464"/>
      <c r="Q194" s="6" t="s">
        <v>2</v>
      </c>
      <c r="R194" s="11" t="s">
        <v>25</v>
      </c>
      <c r="S194" s="468" t="s">
        <v>27</v>
      </c>
      <c r="T194" s="469"/>
    </row>
    <row r="195" spans="1:20" ht="12" customHeight="1" x14ac:dyDescent="0.25">
      <c r="A195" s="6"/>
      <c r="B195" s="6"/>
      <c r="C195" s="51" t="s">
        <v>2</v>
      </c>
      <c r="D195" s="36"/>
      <c r="E195" s="37"/>
      <c r="F195" s="37"/>
      <c r="G195" s="37"/>
      <c r="H195" s="38"/>
      <c r="I195" s="11"/>
      <c r="J195" s="6" t="s">
        <v>6</v>
      </c>
      <c r="K195" s="54"/>
      <c r="L195" s="59" t="s">
        <v>45</v>
      </c>
      <c r="M195" s="465"/>
      <c r="N195" s="466"/>
      <c r="O195" s="467"/>
      <c r="Q195" s="7"/>
      <c r="R195" s="59" t="s">
        <v>26</v>
      </c>
      <c r="S195" s="8"/>
      <c r="T195" s="9"/>
    </row>
    <row r="196" spans="1:20" ht="12" customHeight="1" x14ac:dyDescent="0.25">
      <c r="A196" s="20">
        <v>1</v>
      </c>
      <c r="B196" s="18"/>
      <c r="C196" s="81" t="str">
        <f>DATA!J10</f>
        <v>Adyatma Danendra Abimanyu</v>
      </c>
      <c r="D196" s="39" t="s">
        <v>63</v>
      </c>
      <c r="E196" s="40"/>
      <c r="F196" s="40"/>
      <c r="G196" s="40"/>
      <c r="H196" s="41"/>
      <c r="I196" s="20">
        <f>SUM(D196:H196)</f>
        <v>0</v>
      </c>
      <c r="J196" s="46">
        <f>I196</f>
        <v>0</v>
      </c>
      <c r="K196" s="21" t="str">
        <f>IF(J196&lt;$N$10,"tdk tuntas","tuntas")</f>
        <v>tdk tuntas</v>
      </c>
      <c r="L196" s="132" t="str">
        <f>IF(J196&lt;=39.9,"77",IF(J196&lt;=59.9,"78",IF(J196&lt;=69.9,"79",IF(J196&lt;=74.9,"79",IF(J196&lt;=78.9,"79",IF(J196&lt;=78.9,"79",IF(J196&gt;=78.9,J196," ")))))))</f>
        <v>77</v>
      </c>
      <c r="M196" s="12"/>
      <c r="N196" s="23"/>
      <c r="O196" s="13"/>
      <c r="Q196" s="67" t="str">
        <f>C196</f>
        <v>Adyatma Danendra Abimanyu</v>
      </c>
      <c r="R196" s="21" t="str">
        <f>IF(I196&lt;$N$10,"80","")</f>
        <v>80</v>
      </c>
      <c r="S196" s="12"/>
      <c r="T196" s="13"/>
    </row>
    <row r="197" spans="1:20" ht="12" customHeight="1" x14ac:dyDescent="0.25">
      <c r="A197" s="21">
        <v>2</v>
      </c>
      <c r="B197" s="19"/>
      <c r="C197" s="82" t="str">
        <f>DATA!J11</f>
        <v>Ainaya Aprillia Azzahra</v>
      </c>
      <c r="D197" s="42" t="s">
        <v>63</v>
      </c>
      <c r="E197" s="43"/>
      <c r="F197" s="43"/>
      <c r="G197" s="43"/>
      <c r="H197" s="44"/>
      <c r="I197" s="21">
        <f t="shared" ref="I197:I227" si="38">SUM(D197:H197)</f>
        <v>0</v>
      </c>
      <c r="J197" s="45">
        <f t="shared" ref="J197:J227" si="39">I197</f>
        <v>0</v>
      </c>
      <c r="K197" s="21" t="str">
        <f t="shared" ref="K197:K227" si="40">IF(J197&lt;$N$10,"tdk tuntas","tuntas")</f>
        <v>tdk tuntas</v>
      </c>
      <c r="L197" s="135" t="str">
        <f t="shared" ref="L197:L230" si="41">IF(J197&lt;=39.9,"77",IF(J197&lt;=59.9,"78",IF(J197&lt;=69.9,"79",IF(J197&lt;=74.9,"79",IF(J197&lt;=78.9,"79",IF(J197&lt;=78.9,"79",IF(J197&gt;=78.9,J197," ")))))))</f>
        <v>77</v>
      </c>
      <c r="M197" s="14"/>
      <c r="N197" s="24"/>
      <c r="O197" s="15"/>
      <c r="Q197" s="68" t="str">
        <f t="shared" ref="Q197:Q229" si="42">C197</f>
        <v>Ainaya Aprillia Azzahra</v>
      </c>
      <c r="R197" s="21" t="str">
        <f>IF(I197&lt;$N$10,"79","")</f>
        <v>79</v>
      </c>
      <c r="S197" s="14" t="s">
        <v>29</v>
      </c>
      <c r="T197" s="15"/>
    </row>
    <row r="198" spans="1:20" ht="12" customHeight="1" thickBot="1" x14ac:dyDescent="0.35">
      <c r="A198" s="21">
        <v>3</v>
      </c>
      <c r="B198" s="19"/>
      <c r="C198" s="82" t="str">
        <f>DATA!J12</f>
        <v>Alvicko Aprellio Jordan</v>
      </c>
      <c r="D198" s="42" t="s">
        <v>63</v>
      </c>
      <c r="E198" s="43"/>
      <c r="F198" s="43"/>
      <c r="G198" s="43"/>
      <c r="H198" s="44"/>
      <c r="I198" s="21">
        <f t="shared" si="38"/>
        <v>0</v>
      </c>
      <c r="J198" s="45">
        <f t="shared" si="39"/>
        <v>0</v>
      </c>
      <c r="K198" s="21" t="str">
        <f t="shared" si="40"/>
        <v>tdk tuntas</v>
      </c>
      <c r="L198" s="135" t="str">
        <f t="shared" si="41"/>
        <v>77</v>
      </c>
      <c r="M198" s="70" t="s">
        <v>62</v>
      </c>
      <c r="N198" s="76">
        <f>N10</f>
        <v>80</v>
      </c>
      <c r="O198" s="15"/>
      <c r="Q198" s="68" t="str">
        <f t="shared" si="42"/>
        <v>Alvicko Aprellio Jordan</v>
      </c>
      <c r="R198" s="21" t="str">
        <f>IF(I198&lt;$N$10,"81","")</f>
        <v>81</v>
      </c>
      <c r="S198" s="26"/>
      <c r="T198" s="15"/>
    </row>
    <row r="199" spans="1:20" ht="12" customHeight="1" thickTop="1" thickBot="1" x14ac:dyDescent="0.3">
      <c r="A199" s="21">
        <v>4</v>
      </c>
      <c r="B199" s="19"/>
      <c r="C199" s="82" t="str">
        <f>DATA!J13</f>
        <v>Anastain</v>
      </c>
      <c r="D199" s="42" t="s">
        <v>63</v>
      </c>
      <c r="E199" s="43"/>
      <c r="F199" s="43"/>
      <c r="G199" s="43"/>
      <c r="H199" s="44"/>
      <c r="I199" s="21">
        <f>SUM(D199:H199)</f>
        <v>0</v>
      </c>
      <c r="J199" s="45">
        <f>I199</f>
        <v>0</v>
      </c>
      <c r="K199" s="21" t="str">
        <f t="shared" si="40"/>
        <v>tdk tuntas</v>
      </c>
      <c r="L199" s="135" t="str">
        <f t="shared" si="41"/>
        <v>77</v>
      </c>
      <c r="M199" s="14"/>
      <c r="N199" s="24"/>
      <c r="O199" s="15"/>
      <c r="Q199" s="68" t="str">
        <f t="shared" si="42"/>
        <v>Anastain</v>
      </c>
      <c r="R199" s="21" t="str">
        <f t="shared" ref="R199:R204" si="43">IF(I199&lt;$N$10,"79","")</f>
        <v>79</v>
      </c>
      <c r="S199" s="62"/>
      <c r="T199" s="15" t="s">
        <v>35</v>
      </c>
    </row>
    <row r="200" spans="1:20" ht="12" customHeight="1" thickTop="1" thickBot="1" x14ac:dyDescent="0.3">
      <c r="A200" s="21">
        <v>5</v>
      </c>
      <c r="B200" s="19"/>
      <c r="C200" s="82" t="str">
        <f>DATA!J14</f>
        <v>Angginia Regina Putri</v>
      </c>
      <c r="D200" s="42" t="s">
        <v>63</v>
      </c>
      <c r="E200" s="43"/>
      <c r="F200" s="43"/>
      <c r="G200" s="43"/>
      <c r="H200" s="44"/>
      <c r="I200" s="21">
        <f t="shared" si="38"/>
        <v>0</v>
      </c>
      <c r="J200" s="45">
        <f t="shared" si="39"/>
        <v>0</v>
      </c>
      <c r="K200" s="21" t="str">
        <f t="shared" si="40"/>
        <v>tdk tuntas</v>
      </c>
      <c r="L200" s="135" t="str">
        <f t="shared" si="41"/>
        <v>77</v>
      </c>
      <c r="M200" s="14"/>
      <c r="N200" s="24"/>
      <c r="O200" s="15"/>
      <c r="Q200" s="68" t="str">
        <f t="shared" si="42"/>
        <v>Angginia Regina Putri</v>
      </c>
      <c r="R200" s="21" t="str">
        <f t="shared" si="43"/>
        <v>79</v>
      </c>
      <c r="S200" s="62"/>
      <c r="T200" s="15" t="s">
        <v>38</v>
      </c>
    </row>
    <row r="201" spans="1:20" ht="12" customHeight="1" thickTop="1" thickBot="1" x14ac:dyDescent="0.3">
      <c r="A201" s="21">
        <v>6</v>
      </c>
      <c r="B201" s="19"/>
      <c r="C201" s="82" t="str">
        <f>DATA!J15</f>
        <v>Arfan Faqih Al Hikam</v>
      </c>
      <c r="D201" s="42" t="s">
        <v>63</v>
      </c>
      <c r="E201" s="43"/>
      <c r="F201" s="43"/>
      <c r="G201" s="43"/>
      <c r="H201" s="44"/>
      <c r="I201" s="21">
        <f t="shared" si="38"/>
        <v>0</v>
      </c>
      <c r="J201" s="45">
        <f t="shared" si="39"/>
        <v>0</v>
      </c>
      <c r="K201" s="21" t="str">
        <f t="shared" si="40"/>
        <v>tdk tuntas</v>
      </c>
      <c r="L201" s="135" t="str">
        <f t="shared" si="41"/>
        <v>77</v>
      </c>
      <c r="M201" s="14" t="s">
        <v>10</v>
      </c>
      <c r="N201" s="24"/>
      <c r="O201" s="15"/>
      <c r="Q201" s="68" t="str">
        <f t="shared" si="42"/>
        <v>Arfan Faqih Al Hikam</v>
      </c>
      <c r="R201" s="21" t="str">
        <f t="shared" si="43"/>
        <v>79</v>
      </c>
      <c r="S201" s="14"/>
      <c r="T201" s="15" t="s">
        <v>39</v>
      </c>
    </row>
    <row r="202" spans="1:20" ht="12" customHeight="1" thickTop="1" thickBot="1" x14ac:dyDescent="0.35">
      <c r="A202" s="21">
        <v>7</v>
      </c>
      <c r="B202" s="19"/>
      <c r="C202" s="82" t="str">
        <f>DATA!J16</f>
        <v>Bilqis Aura Dayinta</v>
      </c>
      <c r="D202" s="42" t="s">
        <v>63</v>
      </c>
      <c r="E202" s="43"/>
      <c r="F202" s="43"/>
      <c r="G202" s="43"/>
      <c r="H202" s="44"/>
      <c r="I202" s="21">
        <f>SUM(D202:H202)</f>
        <v>0</v>
      </c>
      <c r="J202" s="45">
        <f>I202</f>
        <v>0</v>
      </c>
      <c r="K202" s="21" t="str">
        <f>IF(J202&lt;$N$10,"tdk tuntas","tuntas")</f>
        <v>tdk tuntas</v>
      </c>
      <c r="L202" s="135" t="str">
        <f t="shared" si="41"/>
        <v>77</v>
      </c>
      <c r="M202" s="14"/>
      <c r="N202" s="24"/>
      <c r="O202" s="15"/>
      <c r="Q202" s="68" t="str">
        <f t="shared" si="42"/>
        <v>Bilqis Aura Dayinta</v>
      </c>
      <c r="R202" s="21" t="str">
        <f t="shared" si="43"/>
        <v>79</v>
      </c>
      <c r="S202" s="71" t="s">
        <v>46</v>
      </c>
      <c r="T202" s="73" t="s">
        <v>36</v>
      </c>
    </row>
    <row r="203" spans="1:20" ht="12" customHeight="1" thickTop="1" x14ac:dyDescent="0.3">
      <c r="A203" s="21">
        <v>8</v>
      </c>
      <c r="B203" s="19"/>
      <c r="C203" s="82" t="str">
        <f>DATA!J17</f>
        <v>Chayril Arya Saputra</v>
      </c>
      <c r="D203" s="42" t="s">
        <v>63</v>
      </c>
      <c r="E203" s="43"/>
      <c r="F203" s="43"/>
      <c r="G203" s="43"/>
      <c r="H203" s="44"/>
      <c r="I203" s="21">
        <f t="shared" si="38"/>
        <v>0</v>
      </c>
      <c r="J203" s="45">
        <f t="shared" si="39"/>
        <v>0</v>
      </c>
      <c r="K203" s="21" t="str">
        <f t="shared" si="40"/>
        <v>tdk tuntas</v>
      </c>
      <c r="L203" s="135" t="str">
        <f t="shared" si="41"/>
        <v>77</v>
      </c>
      <c r="M203" s="77" t="s">
        <v>51</v>
      </c>
      <c r="N203" s="24"/>
      <c r="O203" s="15"/>
      <c r="Q203" s="68" t="str">
        <f t="shared" si="42"/>
        <v>Chayril Arya Saputra</v>
      </c>
      <c r="R203" s="21" t="str">
        <f t="shared" si="43"/>
        <v>79</v>
      </c>
      <c r="S203" s="70"/>
      <c r="T203" s="73" t="s">
        <v>37</v>
      </c>
    </row>
    <row r="204" spans="1:20" ht="12" customHeight="1" x14ac:dyDescent="0.25">
      <c r="A204" s="21">
        <v>9</v>
      </c>
      <c r="B204" s="19"/>
      <c r="C204" s="82" t="str">
        <f>DATA!J18</f>
        <v>Dinda Cahya Kirana</v>
      </c>
      <c r="D204" s="42" t="s">
        <v>63</v>
      </c>
      <c r="E204" s="43"/>
      <c r="F204" s="43"/>
      <c r="G204" s="43"/>
      <c r="H204" s="44"/>
      <c r="I204" s="21">
        <f t="shared" si="38"/>
        <v>0</v>
      </c>
      <c r="J204" s="45">
        <f t="shared" si="39"/>
        <v>0</v>
      </c>
      <c r="K204" s="21" t="str">
        <f t="shared" si="40"/>
        <v>tdk tuntas</v>
      </c>
      <c r="L204" s="135" t="str">
        <f t="shared" si="41"/>
        <v>77</v>
      </c>
      <c r="N204" s="24"/>
      <c r="O204" s="15"/>
      <c r="Q204" s="68" t="str">
        <f t="shared" si="42"/>
        <v>Dinda Cahya Kirana</v>
      </c>
      <c r="R204" s="21" t="str">
        <f t="shared" si="43"/>
        <v>79</v>
      </c>
      <c r="S204" s="14"/>
      <c r="T204" s="15"/>
    </row>
    <row r="205" spans="1:20" ht="12" customHeight="1" x14ac:dyDescent="0.25">
      <c r="A205" s="21">
        <v>10</v>
      </c>
      <c r="B205" s="19"/>
      <c r="C205" s="82" t="str">
        <f>DATA!J19</f>
        <v>Farhan Safiy Devangga</v>
      </c>
      <c r="D205" s="42" t="s">
        <v>63</v>
      </c>
      <c r="E205" s="43"/>
      <c r="F205" s="43"/>
      <c r="G205" s="43"/>
      <c r="H205" s="44"/>
      <c r="I205" s="21">
        <f t="shared" si="38"/>
        <v>0</v>
      </c>
      <c r="J205" s="45">
        <f t="shared" si="39"/>
        <v>0</v>
      </c>
      <c r="K205" s="21" t="str">
        <f t="shared" si="40"/>
        <v>tdk tuntas</v>
      </c>
      <c r="L205" s="135" t="str">
        <f t="shared" si="41"/>
        <v>77</v>
      </c>
      <c r="M205" s="14"/>
      <c r="N205" s="24"/>
      <c r="O205" s="15"/>
      <c r="Q205" s="68" t="str">
        <f t="shared" si="42"/>
        <v>Farhan Safiy Devangga</v>
      </c>
      <c r="R205" s="21" t="str">
        <f t="shared" ref="R205:R210" si="44">IF(I205&lt;$N$10,"85","")</f>
        <v>85</v>
      </c>
      <c r="S205" s="14" t="s">
        <v>30</v>
      </c>
      <c r="T205" s="15"/>
    </row>
    <row r="206" spans="1:20" ht="12" customHeight="1" thickBot="1" x14ac:dyDescent="0.3">
      <c r="A206" s="21">
        <v>11</v>
      </c>
      <c r="B206" s="19"/>
      <c r="C206" s="82" t="str">
        <f>DATA!J20</f>
        <v>Herlin Eka Noviana</v>
      </c>
      <c r="D206" s="42" t="s">
        <v>63</v>
      </c>
      <c r="E206" s="43"/>
      <c r="F206" s="43"/>
      <c r="G206" s="43"/>
      <c r="H206" s="44"/>
      <c r="I206" s="21">
        <f t="shared" si="38"/>
        <v>0</v>
      </c>
      <c r="J206" s="45">
        <f t="shared" si="39"/>
        <v>0</v>
      </c>
      <c r="K206" s="21" t="str">
        <f t="shared" si="40"/>
        <v>tdk tuntas</v>
      </c>
      <c r="L206" s="135" t="str">
        <f t="shared" si="41"/>
        <v>77</v>
      </c>
      <c r="M206" s="14"/>
      <c r="N206" s="24"/>
      <c r="O206" s="15"/>
      <c r="Q206" s="68" t="str">
        <f t="shared" si="42"/>
        <v>Herlin Eka Noviana</v>
      </c>
      <c r="R206" s="21" t="str">
        <f t="shared" si="44"/>
        <v>85</v>
      </c>
      <c r="T206" s="15"/>
    </row>
    <row r="207" spans="1:20" ht="12" customHeight="1" thickTop="1" thickBot="1" x14ac:dyDescent="0.35">
      <c r="A207" s="21">
        <v>12</v>
      </c>
      <c r="B207" s="19"/>
      <c r="C207" s="82" t="str">
        <f>DATA!J21</f>
        <v>Irfan Al Khafidz</v>
      </c>
      <c r="D207" s="42" t="s">
        <v>63</v>
      </c>
      <c r="E207" s="43"/>
      <c r="F207" s="43"/>
      <c r="G207" s="43"/>
      <c r="H207" s="44"/>
      <c r="I207" s="21">
        <f t="shared" si="38"/>
        <v>0</v>
      </c>
      <c r="J207" s="45">
        <f t="shared" si="39"/>
        <v>0</v>
      </c>
      <c r="K207" s="21" t="str">
        <f t="shared" si="40"/>
        <v>tdk tuntas</v>
      </c>
      <c r="L207" s="135" t="str">
        <f t="shared" si="41"/>
        <v>77</v>
      </c>
      <c r="M207" s="14" t="s">
        <v>11</v>
      </c>
      <c r="N207" s="58">
        <f>K234</f>
        <v>32</v>
      </c>
      <c r="O207" s="15"/>
      <c r="Q207" s="68" t="str">
        <f t="shared" si="42"/>
        <v>Irfan Al Khafidz</v>
      </c>
      <c r="R207" s="21" t="str">
        <f t="shared" si="44"/>
        <v>85</v>
      </c>
      <c r="S207" s="71" t="s">
        <v>46</v>
      </c>
      <c r="T207" s="73" t="s">
        <v>31</v>
      </c>
    </row>
    <row r="208" spans="1:20" ht="12" customHeight="1" thickTop="1" thickBot="1" x14ac:dyDescent="0.35">
      <c r="A208" s="21">
        <v>13</v>
      </c>
      <c r="B208" s="19"/>
      <c r="C208" s="82" t="str">
        <f>DATA!J22</f>
        <v>Mafaza Ayatussyifa</v>
      </c>
      <c r="D208" s="42" t="s">
        <v>63</v>
      </c>
      <c r="E208" s="43"/>
      <c r="F208" s="43"/>
      <c r="G208" s="43"/>
      <c r="H208" s="44"/>
      <c r="I208" s="21">
        <f t="shared" si="38"/>
        <v>0</v>
      </c>
      <c r="J208" s="45">
        <f t="shared" si="39"/>
        <v>0</v>
      </c>
      <c r="K208" s="21" t="str">
        <f t="shared" si="40"/>
        <v>tdk tuntas</v>
      </c>
      <c r="L208" s="135" t="str">
        <f t="shared" si="41"/>
        <v>77</v>
      </c>
      <c r="M208" s="14" t="s">
        <v>12</v>
      </c>
      <c r="N208" s="58">
        <f>K232</f>
        <v>0</v>
      </c>
      <c r="O208" s="15"/>
      <c r="Q208" s="68" t="str">
        <f t="shared" si="42"/>
        <v>Mafaza Ayatussyifa</v>
      </c>
      <c r="R208" s="21" t="str">
        <f t="shared" si="44"/>
        <v>85</v>
      </c>
      <c r="S208" s="70"/>
      <c r="T208" s="73" t="s">
        <v>32</v>
      </c>
    </row>
    <row r="209" spans="1:20" ht="12" customHeight="1" thickTop="1" thickBot="1" x14ac:dyDescent="0.35">
      <c r="A209" s="21">
        <v>14</v>
      </c>
      <c r="B209" s="19"/>
      <c r="C209" s="82" t="str">
        <f>DATA!J23</f>
        <v>Mirzanatun Kuni Afifah</v>
      </c>
      <c r="D209" s="42" t="s">
        <v>63</v>
      </c>
      <c r="E209" s="43"/>
      <c r="F209" s="43"/>
      <c r="G209" s="43"/>
      <c r="H209" s="44"/>
      <c r="I209" s="21">
        <f t="shared" si="38"/>
        <v>0</v>
      </c>
      <c r="J209" s="45">
        <f t="shared" si="39"/>
        <v>0</v>
      </c>
      <c r="K209" s="21" t="str">
        <f t="shared" si="40"/>
        <v>tdk tuntas</v>
      </c>
      <c r="L209" s="135" t="str">
        <f t="shared" si="41"/>
        <v>77</v>
      </c>
      <c r="M209" s="14" t="s">
        <v>13</v>
      </c>
      <c r="N209" s="58">
        <f>N208/N207*100</f>
        <v>0</v>
      </c>
      <c r="O209" s="15" t="s">
        <v>4</v>
      </c>
      <c r="Q209" s="68" t="str">
        <f t="shared" si="42"/>
        <v>Mirzanatun Kuni Afifah</v>
      </c>
      <c r="R209" s="21" t="str">
        <f t="shared" si="44"/>
        <v>85</v>
      </c>
      <c r="S209" s="62"/>
      <c r="T209" s="15" t="s">
        <v>33</v>
      </c>
    </row>
    <row r="210" spans="1:20" ht="12" customHeight="1" thickTop="1" x14ac:dyDescent="0.25">
      <c r="A210" s="21">
        <v>15</v>
      </c>
      <c r="B210" s="19"/>
      <c r="C210" s="82" t="str">
        <f>DATA!J24</f>
        <v>Muhammad Adil Chizqi Azwan</v>
      </c>
      <c r="D210" s="42" t="s">
        <v>63</v>
      </c>
      <c r="E210" s="43"/>
      <c r="F210" s="43"/>
      <c r="G210" s="43"/>
      <c r="H210" s="44"/>
      <c r="I210" s="21">
        <f t="shared" si="38"/>
        <v>0</v>
      </c>
      <c r="J210" s="45">
        <f t="shared" si="39"/>
        <v>0</v>
      </c>
      <c r="K210" s="21" t="str">
        <f t="shared" si="40"/>
        <v>tdk tuntas</v>
      </c>
      <c r="L210" s="135" t="str">
        <f t="shared" si="41"/>
        <v>77</v>
      </c>
      <c r="M210" s="14"/>
      <c r="N210" s="24"/>
      <c r="O210" s="15"/>
      <c r="Q210" s="68" t="str">
        <f t="shared" si="42"/>
        <v>Muhammad Adil Chizqi Azwan</v>
      </c>
      <c r="R210" s="21" t="str">
        <f t="shared" si="44"/>
        <v>85</v>
      </c>
      <c r="S210" s="14"/>
      <c r="T210" s="15" t="s">
        <v>34</v>
      </c>
    </row>
    <row r="211" spans="1:20" ht="12" customHeight="1" x14ac:dyDescent="0.25">
      <c r="A211" s="21">
        <v>16</v>
      </c>
      <c r="B211" s="19"/>
      <c r="C211" s="82" t="str">
        <f>DATA!J25</f>
        <v>Muhammad Alif Aditya Hartafi</v>
      </c>
      <c r="D211" s="42" t="s">
        <v>63</v>
      </c>
      <c r="E211" s="43"/>
      <c r="F211" s="43"/>
      <c r="G211" s="43"/>
      <c r="H211" s="44"/>
      <c r="I211" s="21">
        <f t="shared" si="38"/>
        <v>0</v>
      </c>
      <c r="J211" s="45">
        <f t="shared" si="39"/>
        <v>0</v>
      </c>
      <c r="K211" s="21" t="str">
        <f t="shared" si="40"/>
        <v>tdk tuntas</v>
      </c>
      <c r="L211" s="135" t="str">
        <f t="shared" si="41"/>
        <v>77</v>
      </c>
      <c r="M211" s="14" t="s">
        <v>52</v>
      </c>
      <c r="N211" s="24"/>
      <c r="O211" s="15"/>
      <c r="Q211" s="68" t="str">
        <f t="shared" si="42"/>
        <v>Muhammad Alif Aditya Hartafi</v>
      </c>
      <c r="R211" s="21" t="str">
        <f>IF(I211&lt;$N$10,"84","")</f>
        <v>84</v>
      </c>
      <c r="S211" s="14"/>
      <c r="T211" s="15"/>
    </row>
    <row r="212" spans="1:20" ht="12" customHeight="1" x14ac:dyDescent="0.25">
      <c r="A212" s="21">
        <v>17</v>
      </c>
      <c r="B212" s="19"/>
      <c r="C212" s="82" t="str">
        <f>DATA!J26</f>
        <v>Muhammad Azid Syaifurridho</v>
      </c>
      <c r="D212" s="42" t="s">
        <v>63</v>
      </c>
      <c r="E212" s="43"/>
      <c r="F212" s="43"/>
      <c r="G212" s="43"/>
      <c r="H212" s="44"/>
      <c r="I212" s="21">
        <f t="shared" si="38"/>
        <v>0</v>
      </c>
      <c r="J212" s="45">
        <f t="shared" si="39"/>
        <v>0</v>
      </c>
      <c r="K212" s="21" t="str">
        <f t="shared" si="40"/>
        <v>tdk tuntas</v>
      </c>
      <c r="L212" s="135" t="str">
        <f t="shared" si="41"/>
        <v>77</v>
      </c>
      <c r="N212" s="24"/>
      <c r="O212" s="15"/>
      <c r="Q212" s="68" t="str">
        <f t="shared" si="42"/>
        <v>Muhammad Azid Syaifurridho</v>
      </c>
      <c r="R212" s="21" t="str">
        <f t="shared" ref="R212:R218" si="45">IF(I212&lt;$N$10,"82","")</f>
        <v>82</v>
      </c>
      <c r="S212" s="14"/>
      <c r="T212" s="63" t="s">
        <v>41</v>
      </c>
    </row>
    <row r="213" spans="1:20" ht="12" customHeight="1" x14ac:dyDescent="0.25">
      <c r="A213" s="21">
        <v>18</v>
      </c>
      <c r="B213" s="19"/>
      <c r="C213" s="82" t="str">
        <f>DATA!J27</f>
        <v>Muhammad Hayqal Al Farizzi</v>
      </c>
      <c r="D213" s="42" t="s">
        <v>63</v>
      </c>
      <c r="E213" s="43"/>
      <c r="F213" s="43"/>
      <c r="G213" s="43"/>
      <c r="H213" s="44"/>
      <c r="I213" s="21">
        <f t="shared" si="38"/>
        <v>0</v>
      </c>
      <c r="J213" s="45">
        <f t="shared" si="39"/>
        <v>0</v>
      </c>
      <c r="K213" s="21" t="str">
        <f t="shared" si="40"/>
        <v>tdk tuntas</v>
      </c>
      <c r="L213" s="135" t="str">
        <f t="shared" si="41"/>
        <v>77</v>
      </c>
      <c r="M213" s="14"/>
      <c r="N213" s="24"/>
      <c r="O213" s="15"/>
      <c r="Q213" s="68" t="str">
        <f t="shared" si="42"/>
        <v>Muhammad Hayqal Al Farizzi</v>
      </c>
      <c r="R213" s="21" t="str">
        <f t="shared" si="45"/>
        <v>82</v>
      </c>
      <c r="S213" s="14"/>
      <c r="T213" s="63"/>
    </row>
    <row r="214" spans="1:20" ht="12" customHeight="1" x14ac:dyDescent="0.25">
      <c r="A214" s="21">
        <v>19</v>
      </c>
      <c r="B214" s="19"/>
      <c r="C214" s="82" t="str">
        <f>DATA!J28</f>
        <v>Muhammad Shobar Shodiq</v>
      </c>
      <c r="D214" s="42" t="s">
        <v>63</v>
      </c>
      <c r="E214" s="43"/>
      <c r="F214" s="43"/>
      <c r="G214" s="43"/>
      <c r="H214" s="44"/>
      <c r="I214" s="21">
        <f t="shared" si="38"/>
        <v>0</v>
      </c>
      <c r="J214" s="45">
        <f t="shared" si="39"/>
        <v>0</v>
      </c>
      <c r="K214" s="21" t="str">
        <f t="shared" si="40"/>
        <v>tdk tuntas</v>
      </c>
      <c r="L214" s="135" t="str">
        <f t="shared" si="41"/>
        <v>77</v>
      </c>
      <c r="M214" s="14"/>
      <c r="N214" s="24"/>
      <c r="O214" s="15"/>
      <c r="Q214" s="68" t="str">
        <f t="shared" si="42"/>
        <v>Muhammad Shobar Shodiq</v>
      </c>
      <c r="R214" s="21" t="str">
        <f t="shared" si="45"/>
        <v>82</v>
      </c>
      <c r="S214" s="14"/>
      <c r="T214" s="63"/>
    </row>
    <row r="215" spans="1:20" ht="12" customHeight="1" x14ac:dyDescent="0.25">
      <c r="A215" s="21">
        <v>20</v>
      </c>
      <c r="B215" s="19"/>
      <c r="C215" s="82" t="str">
        <f>DATA!J29</f>
        <v>Nabila Putri Noor Maulidhanti</v>
      </c>
      <c r="D215" s="42" t="s">
        <v>63</v>
      </c>
      <c r="E215" s="43"/>
      <c r="F215" s="43"/>
      <c r="G215" s="43"/>
      <c r="H215" s="44"/>
      <c r="I215" s="21">
        <f t="shared" si="38"/>
        <v>0</v>
      </c>
      <c r="J215" s="45">
        <f t="shared" si="39"/>
        <v>0</v>
      </c>
      <c r="K215" s="21" t="str">
        <f t="shared" si="40"/>
        <v>tdk tuntas</v>
      </c>
      <c r="L215" s="135" t="str">
        <f t="shared" si="41"/>
        <v>77</v>
      </c>
      <c r="M215" s="14" t="s">
        <v>53</v>
      </c>
      <c r="N215" s="78">
        <f>I232</f>
        <v>0</v>
      </c>
      <c r="O215" s="15"/>
      <c r="Q215" s="68" t="str">
        <f t="shared" si="42"/>
        <v>Nabila Putri Noor Maulidhanti</v>
      </c>
      <c r="R215" s="21" t="str">
        <f t="shared" si="45"/>
        <v>82</v>
      </c>
      <c r="S215" s="14"/>
      <c r="T215" s="63"/>
    </row>
    <row r="216" spans="1:20" ht="12" customHeight="1" x14ac:dyDescent="0.25">
      <c r="A216" s="21">
        <v>21</v>
      </c>
      <c r="B216" s="19"/>
      <c r="C216" s="82" t="str">
        <f>DATA!J30</f>
        <v>Naila Faizatis Syifa</v>
      </c>
      <c r="D216" s="42" t="s">
        <v>63</v>
      </c>
      <c r="E216" s="43"/>
      <c r="F216" s="43"/>
      <c r="G216" s="43"/>
      <c r="H216" s="44"/>
      <c r="I216" s="21">
        <f t="shared" si="38"/>
        <v>0</v>
      </c>
      <c r="J216" s="45">
        <f t="shared" si="39"/>
        <v>0</v>
      </c>
      <c r="K216" s="21" t="str">
        <f t="shared" si="40"/>
        <v>tdk tuntas</v>
      </c>
      <c r="L216" s="135" t="str">
        <f t="shared" si="41"/>
        <v>77</v>
      </c>
      <c r="M216" s="14" t="s">
        <v>54</v>
      </c>
      <c r="N216" s="78">
        <f>I233</f>
        <v>3200</v>
      </c>
      <c r="O216" s="15"/>
      <c r="Q216" s="68" t="str">
        <f t="shared" si="42"/>
        <v>Naila Faizatis Syifa</v>
      </c>
      <c r="R216" s="21" t="str">
        <f t="shared" si="45"/>
        <v>82</v>
      </c>
      <c r="S216" s="14"/>
      <c r="T216" s="63" t="str">
        <f>T169</f>
        <v>KASMIN, S.Pd</v>
      </c>
    </row>
    <row r="217" spans="1:20" ht="12" customHeight="1" x14ac:dyDescent="0.25">
      <c r="A217" s="21">
        <v>22</v>
      </c>
      <c r="B217" s="19"/>
      <c r="C217" s="82" t="str">
        <f>DATA!J31</f>
        <v>Nur Hijrah Maudhina</v>
      </c>
      <c r="D217" s="42" t="s">
        <v>63</v>
      </c>
      <c r="E217" s="43"/>
      <c r="F217" s="43"/>
      <c r="G217" s="43"/>
      <c r="H217" s="44"/>
      <c r="I217" s="21">
        <f t="shared" si="38"/>
        <v>0</v>
      </c>
      <c r="J217" s="45">
        <f t="shared" si="39"/>
        <v>0</v>
      </c>
      <c r="K217" s="21" t="str">
        <f t="shared" si="40"/>
        <v>tdk tuntas</v>
      </c>
      <c r="L217" s="135" t="str">
        <f t="shared" si="41"/>
        <v>77</v>
      </c>
      <c r="M217" s="14" t="s">
        <v>13</v>
      </c>
      <c r="N217" s="84">
        <f>N215/N216*100</f>
        <v>0</v>
      </c>
      <c r="O217" s="79" t="s">
        <v>4</v>
      </c>
      <c r="Q217" s="68" t="str">
        <f t="shared" si="42"/>
        <v>Nur Hijrah Maudhina</v>
      </c>
      <c r="R217" s="21" t="str">
        <f t="shared" si="45"/>
        <v>82</v>
      </c>
      <c r="S217" s="14"/>
      <c r="T217" s="63" t="str">
        <f>T170</f>
        <v>NIP :19960914 199003 1 007</v>
      </c>
    </row>
    <row r="218" spans="1:20" ht="12" customHeight="1" x14ac:dyDescent="0.25">
      <c r="A218" s="21">
        <v>23</v>
      </c>
      <c r="B218" s="19"/>
      <c r="C218" s="82" t="str">
        <f>DATA!J32</f>
        <v>Ozil Azzariat</v>
      </c>
      <c r="D218" s="42" t="s">
        <v>63</v>
      </c>
      <c r="E218" s="43"/>
      <c r="F218" s="43"/>
      <c r="G218" s="43"/>
      <c r="H218" s="44"/>
      <c r="I218" s="21">
        <f t="shared" si="38"/>
        <v>0</v>
      </c>
      <c r="J218" s="45">
        <f t="shared" si="39"/>
        <v>0</v>
      </c>
      <c r="K218" s="21" t="str">
        <f t="shared" si="40"/>
        <v>tdk tuntas</v>
      </c>
      <c r="L218" s="135" t="str">
        <f t="shared" si="41"/>
        <v>77</v>
      </c>
      <c r="M218" s="14"/>
      <c r="N218" s="24"/>
      <c r="O218" s="15"/>
      <c r="Q218" s="68" t="str">
        <f t="shared" si="42"/>
        <v>Ozil Azzariat</v>
      </c>
      <c r="R218" s="21" t="str">
        <f t="shared" si="45"/>
        <v>82</v>
      </c>
      <c r="S218" s="14"/>
      <c r="T218" s="15"/>
    </row>
    <row r="219" spans="1:20" ht="12" customHeight="1" x14ac:dyDescent="0.25">
      <c r="A219" s="21">
        <v>24</v>
      </c>
      <c r="B219" s="19"/>
      <c r="C219" s="82" t="str">
        <f>DATA!J33</f>
        <v>Pranata Diaz Saputra</v>
      </c>
      <c r="D219" s="42" t="s">
        <v>63</v>
      </c>
      <c r="E219" s="43"/>
      <c r="F219" s="43"/>
      <c r="G219" s="43"/>
      <c r="H219" s="44"/>
      <c r="I219" s="21">
        <f t="shared" si="38"/>
        <v>0</v>
      </c>
      <c r="J219" s="45">
        <f t="shared" si="39"/>
        <v>0</v>
      </c>
      <c r="K219" s="21" t="str">
        <f t="shared" si="40"/>
        <v>tdk tuntas</v>
      </c>
      <c r="L219" s="135" t="str">
        <f t="shared" si="41"/>
        <v>77</v>
      </c>
      <c r="M219" s="14"/>
      <c r="N219" s="24"/>
      <c r="O219" s="15"/>
      <c r="Q219" s="68" t="str">
        <f t="shared" si="42"/>
        <v>Pranata Diaz Saputra</v>
      </c>
      <c r="R219" s="21" t="str">
        <f>IF(I219&lt;$N$10,"79","")</f>
        <v>79</v>
      </c>
      <c r="S219" s="14"/>
      <c r="T219" s="63" t="s">
        <v>42</v>
      </c>
    </row>
    <row r="220" spans="1:20" ht="12" customHeight="1" x14ac:dyDescent="0.25">
      <c r="A220" s="21">
        <v>25</v>
      </c>
      <c r="B220" s="19"/>
      <c r="C220" s="82" t="str">
        <f>DATA!J34</f>
        <v>Rafki Bais Abimanyu</v>
      </c>
      <c r="D220" s="42" t="s">
        <v>63</v>
      </c>
      <c r="E220" s="43"/>
      <c r="F220" s="43"/>
      <c r="G220" s="43"/>
      <c r="H220" s="44"/>
      <c r="I220" s="21">
        <f t="shared" si="38"/>
        <v>0</v>
      </c>
      <c r="J220" s="45">
        <f t="shared" si="39"/>
        <v>0</v>
      </c>
      <c r="K220" s="21" t="str">
        <f t="shared" si="40"/>
        <v>tdk tuntas</v>
      </c>
      <c r="L220" s="135" t="str">
        <f t="shared" si="41"/>
        <v>77</v>
      </c>
      <c r="M220" s="14" t="s">
        <v>14</v>
      </c>
      <c r="N220" s="24"/>
      <c r="O220" s="15"/>
      <c r="Q220" s="68" t="str">
        <f t="shared" si="42"/>
        <v>Rafki Bais Abimanyu</v>
      </c>
      <c r="R220" s="21" t="str">
        <f>IF(I220&lt;$N$10,"79","")</f>
        <v>79</v>
      </c>
      <c r="S220" s="14"/>
      <c r="T220" s="63"/>
    </row>
    <row r="221" spans="1:20" ht="12" customHeight="1" x14ac:dyDescent="0.25">
      <c r="A221" s="21">
        <v>26</v>
      </c>
      <c r="B221" s="19"/>
      <c r="C221" s="82" t="str">
        <f>DATA!J35</f>
        <v>Risma Liana Gita Pratiwi</v>
      </c>
      <c r="D221" s="42" t="s">
        <v>63</v>
      </c>
      <c r="E221" s="43"/>
      <c r="F221" s="43"/>
      <c r="G221" s="43"/>
      <c r="H221" s="44"/>
      <c r="I221" s="21">
        <f t="shared" si="38"/>
        <v>0</v>
      </c>
      <c r="J221" s="45">
        <f t="shared" si="39"/>
        <v>0</v>
      </c>
      <c r="K221" s="21" t="str">
        <f t="shared" si="40"/>
        <v>tdk tuntas</v>
      </c>
      <c r="L221" s="135" t="str">
        <f t="shared" si="41"/>
        <v>77</v>
      </c>
      <c r="M221" s="14" t="s">
        <v>15</v>
      </c>
      <c r="N221" s="24"/>
      <c r="O221" s="15"/>
      <c r="Q221" s="68" t="str">
        <f t="shared" si="42"/>
        <v>Risma Liana Gita Pratiwi</v>
      </c>
      <c r="R221" s="21" t="str">
        <f>IF(I221&lt;$N$10,"79","")</f>
        <v>79</v>
      </c>
      <c r="S221" s="14"/>
      <c r="T221" s="63"/>
    </row>
    <row r="222" spans="1:20" ht="12" customHeight="1" x14ac:dyDescent="0.3">
      <c r="A222" s="21">
        <v>27</v>
      </c>
      <c r="B222" s="19"/>
      <c r="C222" s="82" t="str">
        <f>DATA!J36</f>
        <v>Rizky Bagoes Sasongko</v>
      </c>
      <c r="D222" s="42" t="s">
        <v>63</v>
      </c>
      <c r="E222" s="43"/>
      <c r="F222" s="43"/>
      <c r="G222" s="43"/>
      <c r="H222" s="44"/>
      <c r="I222" s="21">
        <f t="shared" si="38"/>
        <v>0</v>
      </c>
      <c r="J222" s="45">
        <f t="shared" si="39"/>
        <v>0</v>
      </c>
      <c r="K222" s="21" t="str">
        <f t="shared" si="40"/>
        <v>tdk tuntas</v>
      </c>
      <c r="L222" s="135" t="str">
        <f t="shared" si="41"/>
        <v>77</v>
      </c>
      <c r="M222" s="155" t="s">
        <v>80</v>
      </c>
      <c r="N222" s="24"/>
      <c r="O222" s="15"/>
      <c r="Q222" s="68" t="str">
        <f t="shared" si="42"/>
        <v>Rizky Bagoes Sasongko</v>
      </c>
      <c r="R222" s="21" t="str">
        <f>IF(I222&lt;$N$10,"79","")</f>
        <v>79</v>
      </c>
      <c r="S222" s="14"/>
      <c r="T222" s="63"/>
    </row>
    <row r="223" spans="1:20" ht="12" customHeight="1" x14ac:dyDescent="0.25">
      <c r="A223" s="21">
        <v>28</v>
      </c>
      <c r="B223" s="19"/>
      <c r="C223" s="82" t="str">
        <f>DATA!J37</f>
        <v>Thalita Nava Ailsanti</v>
      </c>
      <c r="D223" s="42" t="s">
        <v>63</v>
      </c>
      <c r="E223" s="43"/>
      <c r="F223" s="43"/>
      <c r="G223" s="43"/>
      <c r="H223" s="44"/>
      <c r="I223" s="21">
        <f t="shared" si="38"/>
        <v>0</v>
      </c>
      <c r="J223" s="45">
        <f t="shared" si="39"/>
        <v>0</v>
      </c>
      <c r="K223" s="21" t="str">
        <f t="shared" si="40"/>
        <v>tdk tuntas</v>
      </c>
      <c r="L223" s="135" t="str">
        <f t="shared" si="41"/>
        <v>77</v>
      </c>
      <c r="M223" s="14"/>
      <c r="N223" s="24"/>
      <c r="O223" s="15"/>
      <c r="Q223" s="68" t="str">
        <f t="shared" si="42"/>
        <v>Thalita Nava Ailsanti</v>
      </c>
      <c r="R223" s="21" t="str">
        <f>IF(I223&lt;$N$10,"81","")</f>
        <v>81</v>
      </c>
      <c r="S223" s="14"/>
      <c r="T223" s="63"/>
    </row>
    <row r="224" spans="1:20" ht="12" customHeight="1" x14ac:dyDescent="0.25">
      <c r="A224" s="21">
        <v>29</v>
      </c>
      <c r="B224" s="19"/>
      <c r="C224" s="82" t="str">
        <f>DATA!J38</f>
        <v>Wahid Sulistiyo</v>
      </c>
      <c r="D224" s="42" t="s">
        <v>63</v>
      </c>
      <c r="E224" s="43"/>
      <c r="F224" s="43"/>
      <c r="G224" s="43"/>
      <c r="H224" s="44"/>
      <c r="I224" s="21">
        <f t="shared" si="38"/>
        <v>0</v>
      </c>
      <c r="J224" s="45">
        <f t="shared" si="39"/>
        <v>0</v>
      </c>
      <c r="K224" s="21" t="str">
        <f t="shared" si="40"/>
        <v>tdk tuntas</v>
      </c>
      <c r="L224" s="135" t="str">
        <f t="shared" si="41"/>
        <v>77</v>
      </c>
      <c r="M224" s="14"/>
      <c r="N224" s="24"/>
      <c r="O224" s="15"/>
      <c r="Q224" s="68" t="str">
        <f t="shared" si="42"/>
        <v>Wahid Sulistiyo</v>
      </c>
      <c r="R224" s="21" t="str">
        <f>IF(I224&lt;$N$10,"85","")</f>
        <v>85</v>
      </c>
      <c r="S224" s="14"/>
      <c r="T224" s="63"/>
    </row>
    <row r="225" spans="1:20" ht="12" customHeight="1" x14ac:dyDescent="0.25">
      <c r="A225" s="21">
        <v>30</v>
      </c>
      <c r="B225" s="19"/>
      <c r="C225" s="82" t="str">
        <f>DATA!J39</f>
        <v>Yanuar Putra Akbar</v>
      </c>
      <c r="D225" s="42" t="s">
        <v>63</v>
      </c>
      <c r="E225" s="43"/>
      <c r="F225" s="43"/>
      <c r="G225" s="43"/>
      <c r="H225" s="44"/>
      <c r="I225" s="21">
        <f t="shared" si="38"/>
        <v>0</v>
      </c>
      <c r="J225" s="45">
        <f t="shared" si="39"/>
        <v>0</v>
      </c>
      <c r="K225" s="21" t="str">
        <f t="shared" si="40"/>
        <v>tdk tuntas</v>
      </c>
      <c r="L225" s="135" t="str">
        <f t="shared" si="41"/>
        <v>77</v>
      </c>
      <c r="M225" s="14"/>
      <c r="N225" s="24"/>
      <c r="O225" s="15"/>
      <c r="Q225" s="68" t="str">
        <f t="shared" si="42"/>
        <v>Yanuar Putra Akbar</v>
      </c>
      <c r="R225" s="21" t="str">
        <f>IF(I225&lt;$N$10,"78","")</f>
        <v>78</v>
      </c>
      <c r="S225" s="14"/>
      <c r="T225" s="63" t="str">
        <f>T178</f>
        <v>Dra. BAROKAH GUNIARTI</v>
      </c>
    </row>
    <row r="226" spans="1:20" ht="12" customHeight="1" x14ac:dyDescent="0.25">
      <c r="A226" s="21">
        <v>31</v>
      </c>
      <c r="B226" s="19"/>
      <c r="C226" s="82">
        <f>DATA!J40</f>
        <v>0</v>
      </c>
      <c r="D226" s="42" t="s">
        <v>63</v>
      </c>
      <c r="E226" s="43"/>
      <c r="F226" s="43"/>
      <c r="G226" s="43"/>
      <c r="H226" s="44"/>
      <c r="I226" s="21">
        <f t="shared" si="38"/>
        <v>0</v>
      </c>
      <c r="J226" s="45">
        <f t="shared" si="39"/>
        <v>0</v>
      </c>
      <c r="K226" s="21" t="str">
        <f t="shared" si="40"/>
        <v>tdk tuntas</v>
      </c>
      <c r="L226" s="135" t="str">
        <f t="shared" si="41"/>
        <v>77</v>
      </c>
      <c r="M226" s="14" t="s">
        <v>56</v>
      </c>
      <c r="N226" s="24"/>
      <c r="O226" s="15"/>
      <c r="Q226" s="68">
        <f t="shared" si="42"/>
        <v>0</v>
      </c>
      <c r="R226" s="21" t="str">
        <f>IF(I226&lt;$N$10,"84","")</f>
        <v>84</v>
      </c>
      <c r="S226" s="14"/>
      <c r="T226" s="63" t="str">
        <f>T179</f>
        <v>NIP : 196901081996122004</v>
      </c>
    </row>
    <row r="227" spans="1:20" ht="12" customHeight="1" x14ac:dyDescent="0.25">
      <c r="A227" s="21">
        <v>32</v>
      </c>
      <c r="B227" s="19"/>
      <c r="C227" s="82">
        <f>DATA!J41</f>
        <v>0</v>
      </c>
      <c r="D227" s="42" t="s">
        <v>63</v>
      </c>
      <c r="E227" s="43"/>
      <c r="F227" s="43"/>
      <c r="G227" s="43"/>
      <c r="H227" s="44"/>
      <c r="I227" s="21">
        <f t="shared" si="38"/>
        <v>0</v>
      </c>
      <c r="J227" s="45">
        <f t="shared" si="39"/>
        <v>0</v>
      </c>
      <c r="K227" s="21" t="str">
        <f t="shared" si="40"/>
        <v>tdk tuntas</v>
      </c>
      <c r="L227" s="135" t="str">
        <f t="shared" si="41"/>
        <v>77</v>
      </c>
      <c r="M227" s="14"/>
      <c r="N227" s="24"/>
      <c r="O227" s="15"/>
      <c r="Q227" s="68">
        <f t="shared" si="42"/>
        <v>0</v>
      </c>
      <c r="R227" s="21" t="str">
        <f>IF(I227&lt;$N$10,"85","")</f>
        <v>85</v>
      </c>
      <c r="S227" s="14"/>
      <c r="T227" s="15"/>
    </row>
    <row r="228" spans="1:20" ht="12" customHeight="1" x14ac:dyDescent="0.25">
      <c r="A228" s="21">
        <v>33</v>
      </c>
      <c r="B228" s="19"/>
      <c r="C228" s="82"/>
      <c r="D228" s="42" t="s">
        <v>63</v>
      </c>
      <c r="E228" s="43"/>
      <c r="F228" s="43"/>
      <c r="G228" s="43"/>
      <c r="H228" s="44"/>
      <c r="I228" s="21"/>
      <c r="J228" s="45"/>
      <c r="K228" s="21"/>
      <c r="L228" s="135" t="str">
        <f t="shared" si="41"/>
        <v>77</v>
      </c>
      <c r="M228" s="14" t="s">
        <v>16</v>
      </c>
      <c r="N228" s="24"/>
      <c r="O228" s="15"/>
      <c r="Q228" s="68">
        <f t="shared" si="42"/>
        <v>0</v>
      </c>
      <c r="R228" s="21" t="str">
        <f>IF(I228&lt;$N$10,"83","")</f>
        <v>83</v>
      </c>
      <c r="S228" s="14"/>
      <c r="T228" s="15"/>
    </row>
    <row r="229" spans="1:20" ht="12" customHeight="1" x14ac:dyDescent="0.25">
      <c r="A229" s="21">
        <v>34</v>
      </c>
      <c r="B229" s="19"/>
      <c r="C229" s="82"/>
      <c r="D229" s="42" t="s">
        <v>63</v>
      </c>
      <c r="E229" s="43"/>
      <c r="F229" s="43"/>
      <c r="G229" s="43"/>
      <c r="H229" s="44"/>
      <c r="I229" s="21"/>
      <c r="J229" s="45"/>
      <c r="K229" s="21"/>
      <c r="L229" s="135" t="str">
        <f t="shared" si="41"/>
        <v>77</v>
      </c>
      <c r="M229" s="14" t="s">
        <v>59</v>
      </c>
      <c r="N229" s="24"/>
      <c r="O229" s="15"/>
      <c r="Q229" s="68">
        <f t="shared" si="42"/>
        <v>0</v>
      </c>
      <c r="R229" s="21" t="str">
        <f>IF(I229&lt;$N$10,"80","")</f>
        <v>80</v>
      </c>
      <c r="S229" s="14"/>
      <c r="T229" s="15"/>
    </row>
    <row r="230" spans="1:20" ht="12" customHeight="1" x14ac:dyDescent="0.25">
      <c r="A230" s="21">
        <v>35</v>
      </c>
      <c r="B230" s="22"/>
      <c r="C230" s="162"/>
      <c r="D230" s="136"/>
      <c r="E230" s="137"/>
      <c r="F230" s="137"/>
      <c r="G230" s="137"/>
      <c r="H230" s="138"/>
      <c r="I230" s="21"/>
      <c r="J230" s="45"/>
      <c r="K230" s="21"/>
      <c r="L230" s="139" t="str">
        <f t="shared" si="41"/>
        <v>77</v>
      </c>
      <c r="M230" s="14" t="s">
        <v>23</v>
      </c>
      <c r="N230" s="24"/>
      <c r="O230" s="15"/>
      <c r="Q230" s="69"/>
      <c r="R230" s="21"/>
      <c r="S230" s="16"/>
      <c r="T230" s="17"/>
    </row>
    <row r="231" spans="1:20" ht="12" customHeight="1" x14ac:dyDescent="0.25">
      <c r="A231" s="101" t="s">
        <v>64</v>
      </c>
      <c r="B231" s="96"/>
      <c r="C231" s="97"/>
      <c r="D231" s="93"/>
      <c r="E231" s="94"/>
      <c r="F231" s="94"/>
      <c r="G231" s="94"/>
      <c r="H231" s="95"/>
      <c r="I231" s="98">
        <f>AVERAGE(I196:I230)</f>
        <v>0</v>
      </c>
      <c r="J231" s="74"/>
      <c r="K231" s="47"/>
      <c r="L231" s="65"/>
      <c r="M231" s="14"/>
      <c r="N231" s="24"/>
      <c r="O231" s="15"/>
      <c r="Q231" s="60"/>
      <c r="R231" s="471" t="str">
        <f>C192</f>
        <v>9E</v>
      </c>
      <c r="S231" s="471"/>
      <c r="T231" s="61"/>
    </row>
    <row r="232" spans="1:20" ht="12" customHeight="1" x14ac:dyDescent="0.25">
      <c r="A232" s="14" t="s">
        <v>17</v>
      </c>
      <c r="B232" s="24"/>
      <c r="C232" s="15"/>
      <c r="D232" s="42">
        <f>SUM(D196:D230)</f>
        <v>0</v>
      </c>
      <c r="E232" s="43">
        <f>SUM(E196:E230)</f>
        <v>0</v>
      </c>
      <c r="F232" s="43">
        <f>SUM(F196:F230)</f>
        <v>0</v>
      </c>
      <c r="G232" s="43">
        <f>SUM(G196:G230)</f>
        <v>0</v>
      </c>
      <c r="H232" s="44">
        <f>SUM(H196:H230)</f>
        <v>0</v>
      </c>
      <c r="I232" s="80">
        <f>SUM(D232:H232)</f>
        <v>0</v>
      </c>
      <c r="J232" s="85" t="s">
        <v>49</v>
      </c>
      <c r="K232" s="48">
        <f>COUNTIF(K196:K230,J232)</f>
        <v>0</v>
      </c>
      <c r="L232" s="64"/>
      <c r="M232" s="14"/>
      <c r="N232" s="24"/>
      <c r="O232" s="15"/>
      <c r="Q232" s="30"/>
      <c r="R232" s="472"/>
      <c r="S232" s="472"/>
      <c r="T232" s="31"/>
    </row>
    <row r="233" spans="1:20" ht="12" customHeight="1" x14ac:dyDescent="0.25">
      <c r="A233" s="14" t="s">
        <v>18</v>
      </c>
      <c r="B233" s="24"/>
      <c r="C233" s="15"/>
      <c r="D233" s="42">
        <f>D194*K234</f>
        <v>640</v>
      </c>
      <c r="E233" s="42">
        <f>E194*K234</f>
        <v>640</v>
      </c>
      <c r="F233" s="42">
        <f>F194*K234</f>
        <v>640</v>
      </c>
      <c r="G233" s="42">
        <f>G194*K234</f>
        <v>640</v>
      </c>
      <c r="H233" s="42">
        <f>H194*K234</f>
        <v>640</v>
      </c>
      <c r="I233" s="80">
        <f>SUM(D233:H233)</f>
        <v>3200</v>
      </c>
      <c r="J233" s="86" t="s">
        <v>50</v>
      </c>
      <c r="K233" s="48">
        <f>COUNTIF(K196:K230,J233)</f>
        <v>32</v>
      </c>
      <c r="L233" s="64"/>
      <c r="M233" s="14"/>
      <c r="N233" s="24"/>
      <c r="O233" s="15"/>
      <c r="Q233" s="30"/>
      <c r="R233" s="472"/>
      <c r="S233" s="472"/>
      <c r="T233" s="31"/>
    </row>
    <row r="234" spans="1:20" ht="12" customHeight="1" x14ac:dyDescent="0.25">
      <c r="A234" s="26" t="s">
        <v>19</v>
      </c>
      <c r="B234" s="27"/>
      <c r="C234" s="28"/>
      <c r="D234" s="136">
        <f t="shared" ref="D234:I234" si="46">D232/D233*100</f>
        <v>0</v>
      </c>
      <c r="E234" s="136">
        <f t="shared" si="46"/>
        <v>0</v>
      </c>
      <c r="F234" s="136">
        <f t="shared" si="46"/>
        <v>0</v>
      </c>
      <c r="G234" s="136">
        <f t="shared" si="46"/>
        <v>0</v>
      </c>
      <c r="H234" s="136">
        <f t="shared" si="46"/>
        <v>0</v>
      </c>
      <c r="I234" s="50">
        <f t="shared" si="46"/>
        <v>0</v>
      </c>
      <c r="J234" s="75" t="s">
        <v>57</v>
      </c>
      <c r="K234" s="49">
        <f>SUM(K232:K233)</f>
        <v>32</v>
      </c>
      <c r="L234" s="66"/>
      <c r="M234" s="16"/>
      <c r="N234" s="25"/>
      <c r="O234" s="17"/>
      <c r="Q234" s="8"/>
      <c r="R234" s="473"/>
      <c r="S234" s="473"/>
      <c r="T234" s="9"/>
    </row>
    <row r="235" spans="1:20" ht="12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1:20" ht="12" customHeight="1" x14ac:dyDescent="0.25">
      <c r="A236" s="453" t="str">
        <f>'UH1'!A236</f>
        <v>ANALISA HASIL PH MATEMATIKA KLS IX  SMT GENAP</v>
      </c>
      <c r="B236" s="454"/>
      <c r="C236" s="454"/>
      <c r="D236" s="454"/>
      <c r="E236" s="454"/>
      <c r="F236" s="454"/>
      <c r="G236" s="454"/>
      <c r="H236" s="454"/>
      <c r="I236" s="454"/>
      <c r="J236" s="454"/>
      <c r="K236" s="454"/>
      <c r="L236" s="454"/>
      <c r="M236" s="454"/>
      <c r="N236" s="454"/>
      <c r="O236" s="455"/>
      <c r="Q236" s="456" t="s">
        <v>40</v>
      </c>
      <c r="R236" s="457"/>
      <c r="S236" s="457"/>
      <c r="T236" s="458"/>
    </row>
    <row r="237" spans="1:20" ht="12" customHeight="1" x14ac:dyDescent="0.25">
      <c r="A237" s="453" t="str">
        <f>A190</f>
        <v>SMP I LIMBANGAN  TH 2025/2026</v>
      </c>
      <c r="B237" s="454"/>
      <c r="C237" s="454"/>
      <c r="D237" s="454"/>
      <c r="E237" s="454"/>
      <c r="F237" s="454"/>
      <c r="G237" s="454"/>
      <c r="H237" s="454"/>
      <c r="I237" s="454"/>
      <c r="J237" s="454"/>
      <c r="K237" s="454"/>
      <c r="L237" s="454"/>
      <c r="M237" s="454"/>
      <c r="N237" s="454"/>
      <c r="O237" s="455"/>
      <c r="Q237" s="453" t="s">
        <v>61</v>
      </c>
      <c r="R237" s="454"/>
      <c r="S237" s="454"/>
      <c r="T237" s="455"/>
    </row>
    <row r="238" spans="1:20" ht="12" customHeight="1" x14ac:dyDescent="0.25"/>
    <row r="239" spans="1:20" ht="12" customHeight="1" x14ac:dyDescent="0.25">
      <c r="A239" s="99" t="s">
        <v>66</v>
      </c>
      <c r="C239" s="102" t="str">
        <f>DATA!L8</f>
        <v>9F</v>
      </c>
      <c r="D239" t="s">
        <v>21</v>
      </c>
      <c r="F239" s="87">
        <f>F51</f>
        <v>4</v>
      </c>
      <c r="I239" t="s">
        <v>20</v>
      </c>
      <c r="K239" s="72"/>
      <c r="M239" s="1" t="s">
        <v>60</v>
      </c>
      <c r="N239" s="87">
        <f>N51</f>
        <v>1</v>
      </c>
      <c r="Q239" t="s">
        <v>28</v>
      </c>
      <c r="R239" s="470"/>
      <c r="S239" s="470"/>
    </row>
    <row r="240" spans="1:20" ht="12" customHeight="1" x14ac:dyDescent="0.25">
      <c r="A240" s="2"/>
      <c r="B240" s="2"/>
      <c r="C240" s="3" t="s">
        <v>7</v>
      </c>
      <c r="D240" s="32">
        <v>1</v>
      </c>
      <c r="E240" s="33">
        <v>2</v>
      </c>
      <c r="F240" s="33">
        <v>3</v>
      </c>
      <c r="G240" s="33">
        <v>4</v>
      </c>
      <c r="H240" s="34">
        <v>5</v>
      </c>
      <c r="I240" s="35" t="s">
        <v>3</v>
      </c>
      <c r="J240" s="4" t="s">
        <v>4</v>
      </c>
      <c r="K240" s="53" t="s">
        <v>83</v>
      </c>
      <c r="L240" s="35" t="s">
        <v>43</v>
      </c>
      <c r="M240" s="459" t="s">
        <v>9</v>
      </c>
      <c r="N240" s="460"/>
      <c r="O240" s="461"/>
      <c r="Q240" s="2"/>
      <c r="R240" s="35" t="s">
        <v>24</v>
      </c>
      <c r="S240" s="60"/>
      <c r="T240" s="61"/>
    </row>
    <row r="241" spans="1:20" ht="12" customHeight="1" x14ac:dyDescent="0.25">
      <c r="A241" s="6" t="s">
        <v>0</v>
      </c>
      <c r="B241" s="6" t="s">
        <v>1</v>
      </c>
      <c r="C241" s="5" t="s">
        <v>8</v>
      </c>
      <c r="D241" s="55">
        <f>D194</f>
        <v>20</v>
      </c>
      <c r="E241" s="56">
        <f>E194</f>
        <v>20</v>
      </c>
      <c r="F241" s="56">
        <f>F194</f>
        <v>20</v>
      </c>
      <c r="G241" s="56">
        <f>G194</f>
        <v>20</v>
      </c>
      <c r="H241" s="105">
        <f>H194</f>
        <v>20</v>
      </c>
      <c r="I241" s="21">
        <f>SUM(D241:H241)</f>
        <v>100</v>
      </c>
      <c r="J241" s="6" t="s">
        <v>5</v>
      </c>
      <c r="K241" s="52" t="s">
        <v>22</v>
      </c>
      <c r="L241" s="11" t="s">
        <v>44</v>
      </c>
      <c r="M241" s="462"/>
      <c r="N241" s="463"/>
      <c r="O241" s="464"/>
      <c r="Q241" s="6" t="s">
        <v>2</v>
      </c>
      <c r="R241" s="11" t="s">
        <v>25</v>
      </c>
      <c r="S241" s="468" t="s">
        <v>27</v>
      </c>
      <c r="T241" s="469"/>
    </row>
    <row r="242" spans="1:20" ht="12" customHeight="1" x14ac:dyDescent="0.25">
      <c r="A242" s="6"/>
      <c r="B242" s="6"/>
      <c r="C242" s="51" t="s">
        <v>2</v>
      </c>
      <c r="D242" s="36"/>
      <c r="E242" s="37"/>
      <c r="F242" s="37"/>
      <c r="G242" s="37"/>
      <c r="H242" s="38"/>
      <c r="I242" s="11"/>
      <c r="J242" s="6" t="s">
        <v>6</v>
      </c>
      <c r="K242" s="54"/>
      <c r="L242" s="59" t="s">
        <v>45</v>
      </c>
      <c r="M242" s="465"/>
      <c r="N242" s="466"/>
      <c r="O242" s="467"/>
      <c r="Q242" s="7"/>
      <c r="R242" s="59" t="s">
        <v>26</v>
      </c>
      <c r="S242" s="8"/>
      <c r="T242" s="9"/>
    </row>
    <row r="243" spans="1:20" ht="12" customHeight="1" x14ac:dyDescent="0.25">
      <c r="A243" s="20">
        <v>1</v>
      </c>
      <c r="B243" s="18"/>
      <c r="C243" s="81" t="str">
        <f>DATA!L10</f>
        <v>Ahmad Azam Muhanif</v>
      </c>
      <c r="D243" s="39" t="s">
        <v>63</v>
      </c>
      <c r="E243" s="40"/>
      <c r="F243" s="40"/>
      <c r="G243" s="40"/>
      <c r="H243" s="41"/>
      <c r="I243" s="20">
        <f>SUM(D243:H243)</f>
        <v>0</v>
      </c>
      <c r="J243" s="46">
        <f>I243</f>
        <v>0</v>
      </c>
      <c r="K243" s="21" t="str">
        <f>IF(J243&lt;$N$10,"tdk tuntas","tuntas")</f>
        <v>tdk tuntas</v>
      </c>
      <c r="L243" s="132" t="str">
        <f>IF(J243&lt;=39.9,"77",IF(J243&lt;=59.9,"78",IF(J243&lt;=69.9,"79",IF(J243&lt;=74.9,"79",IF(J243&lt;=78.9,"79",IF(J243&lt;=78.9,"79",IF(J243&gt;=78.9,J243," ")))))))</f>
        <v>77</v>
      </c>
      <c r="M243" s="12"/>
      <c r="N243" s="23"/>
      <c r="O243" s="13"/>
      <c r="Q243" s="67" t="str">
        <f>C243</f>
        <v>Ahmad Azam Muhanif</v>
      </c>
      <c r="R243" s="21" t="str">
        <f>IF(I243&lt;$N$10,"80","")</f>
        <v>80</v>
      </c>
      <c r="S243" s="12"/>
      <c r="T243" s="13"/>
    </row>
    <row r="244" spans="1:20" ht="12" customHeight="1" x14ac:dyDescent="0.25">
      <c r="A244" s="21">
        <v>2</v>
      </c>
      <c r="B244" s="19"/>
      <c r="C244" s="82" t="str">
        <f>DATA!L11</f>
        <v>Ananda Rafa Mahesa Putra</v>
      </c>
      <c r="D244" s="42" t="s">
        <v>63</v>
      </c>
      <c r="E244" s="43"/>
      <c r="F244" s="43"/>
      <c r="G244" s="43"/>
      <c r="H244" s="44"/>
      <c r="I244" s="21">
        <f>SUM(D244:H244)</f>
        <v>0</v>
      </c>
      <c r="J244" s="45">
        <f>I244</f>
        <v>0</v>
      </c>
      <c r="K244" s="21" t="str">
        <f t="shared" ref="K244:K276" si="47">IF(J244&lt;$N$10,"tdk tuntas","tuntas")</f>
        <v>tdk tuntas</v>
      </c>
      <c r="L244" s="135" t="str">
        <f t="shared" ref="L244:L277" si="48">IF(J244&lt;=39.9,"77",IF(J244&lt;=59.9,"78",IF(J244&lt;=69.9,"79",IF(J244&lt;=74.9,"79",IF(J244&lt;=78.9,"79",IF(J244&lt;=78.9,"79",IF(J244&gt;=78.9,J244," ")))))))</f>
        <v>77</v>
      </c>
      <c r="M244" s="14"/>
      <c r="N244" s="24"/>
      <c r="O244" s="15"/>
      <c r="Q244" s="68" t="str">
        <f t="shared" ref="Q244:Q276" si="49">C244</f>
        <v>Ananda Rafa Mahesa Putra</v>
      </c>
      <c r="R244" s="21" t="str">
        <f>IF(I244&lt;$N$10,"79","")</f>
        <v>79</v>
      </c>
      <c r="S244" s="14" t="s">
        <v>29</v>
      </c>
      <c r="T244" s="15"/>
    </row>
    <row r="245" spans="1:20" ht="12" customHeight="1" thickBot="1" x14ac:dyDescent="0.35">
      <c r="A245" s="21">
        <v>3</v>
      </c>
      <c r="B245" s="19"/>
      <c r="C245" s="82" t="str">
        <f>DATA!L12</f>
        <v>Aprian Caysa Raditiansyah</v>
      </c>
      <c r="D245" s="42" t="s">
        <v>63</v>
      </c>
      <c r="E245" s="43"/>
      <c r="F245" s="43"/>
      <c r="G245" s="43"/>
      <c r="H245" s="44"/>
      <c r="I245" s="21">
        <f>SUM(D245:H245)</f>
        <v>0</v>
      </c>
      <c r="J245" s="45">
        <f>I245</f>
        <v>0</v>
      </c>
      <c r="K245" s="21" t="str">
        <f t="shared" si="47"/>
        <v>tdk tuntas</v>
      </c>
      <c r="L245" s="135" t="str">
        <f t="shared" si="48"/>
        <v>77</v>
      </c>
      <c r="M245" s="70" t="s">
        <v>62</v>
      </c>
      <c r="N245" s="76">
        <f>N57</f>
        <v>80</v>
      </c>
      <c r="O245" s="15"/>
      <c r="Q245" s="68" t="str">
        <f t="shared" si="49"/>
        <v>Aprian Caysa Raditiansyah</v>
      </c>
      <c r="R245" s="21" t="str">
        <f>IF(I245&lt;$N$10,"81","")</f>
        <v>81</v>
      </c>
      <c r="S245" s="26"/>
      <c r="T245" s="15"/>
    </row>
    <row r="246" spans="1:20" ht="12" customHeight="1" thickTop="1" thickBot="1" x14ac:dyDescent="0.3">
      <c r="A246" s="21">
        <v>4</v>
      </c>
      <c r="B246" s="19"/>
      <c r="C246" s="82" t="str">
        <f>DATA!L13</f>
        <v>Attaya Nadine Vanessa</v>
      </c>
      <c r="D246" s="42" t="s">
        <v>63</v>
      </c>
      <c r="E246" s="43"/>
      <c r="F246" s="43"/>
      <c r="G246" s="43"/>
      <c r="H246" s="44"/>
      <c r="I246" s="21">
        <f>SUM(D246:H246)</f>
        <v>0</v>
      </c>
      <c r="J246" s="45">
        <f>I246</f>
        <v>0</v>
      </c>
      <c r="K246" s="21" t="str">
        <f t="shared" si="47"/>
        <v>tdk tuntas</v>
      </c>
      <c r="L246" s="135" t="str">
        <f t="shared" si="48"/>
        <v>77</v>
      </c>
      <c r="M246" s="14"/>
      <c r="N246" s="24"/>
      <c r="O246" s="15"/>
      <c r="Q246" s="68" t="str">
        <f t="shared" si="49"/>
        <v>Attaya Nadine Vanessa</v>
      </c>
      <c r="R246" s="21" t="str">
        <f t="shared" ref="R246:R251" si="50">IF(I246&lt;$N$10,"79","")</f>
        <v>79</v>
      </c>
      <c r="S246" s="62"/>
      <c r="T246" s="15" t="s">
        <v>35</v>
      </c>
    </row>
    <row r="247" spans="1:20" ht="12" customHeight="1" thickTop="1" thickBot="1" x14ac:dyDescent="0.3">
      <c r="A247" s="21">
        <v>5</v>
      </c>
      <c r="B247" s="19"/>
      <c r="C247" s="82" t="str">
        <f>DATA!L14</f>
        <v>Dimas Suryo Admodjo</v>
      </c>
      <c r="D247" s="42" t="s">
        <v>63</v>
      </c>
      <c r="E247" s="43"/>
      <c r="F247" s="43"/>
      <c r="G247" s="43"/>
      <c r="H247" s="44"/>
      <c r="I247" s="21">
        <f t="shared" ref="I247:I276" si="51">SUM(D247:H247)</f>
        <v>0</v>
      </c>
      <c r="J247" s="45">
        <f t="shared" ref="J247:J276" si="52">I247</f>
        <v>0</v>
      </c>
      <c r="K247" s="21" t="str">
        <f t="shared" si="47"/>
        <v>tdk tuntas</v>
      </c>
      <c r="L247" s="135" t="str">
        <f t="shared" si="48"/>
        <v>77</v>
      </c>
      <c r="M247" s="14"/>
      <c r="N247" s="24"/>
      <c r="O247" s="15"/>
      <c r="Q247" s="68" t="str">
        <f t="shared" si="49"/>
        <v>Dimas Suryo Admodjo</v>
      </c>
      <c r="R247" s="21" t="str">
        <f t="shared" si="50"/>
        <v>79</v>
      </c>
      <c r="S247" s="62"/>
      <c r="T247" s="15" t="s">
        <v>38</v>
      </c>
    </row>
    <row r="248" spans="1:20" ht="12" customHeight="1" thickTop="1" thickBot="1" x14ac:dyDescent="0.3">
      <c r="A248" s="21">
        <v>6</v>
      </c>
      <c r="B248" s="19"/>
      <c r="C248" s="82" t="str">
        <f>DATA!L15</f>
        <v>Dwi Erinadestari</v>
      </c>
      <c r="D248" s="42" t="s">
        <v>63</v>
      </c>
      <c r="E248" s="43"/>
      <c r="F248" s="43"/>
      <c r="G248" s="43"/>
      <c r="H248" s="44"/>
      <c r="I248" s="21">
        <f t="shared" si="51"/>
        <v>0</v>
      </c>
      <c r="J248" s="45">
        <f t="shared" si="52"/>
        <v>0</v>
      </c>
      <c r="K248" s="21" t="str">
        <f t="shared" si="47"/>
        <v>tdk tuntas</v>
      </c>
      <c r="L248" s="135" t="str">
        <f t="shared" si="48"/>
        <v>77</v>
      </c>
      <c r="M248" s="14" t="s">
        <v>10</v>
      </c>
      <c r="N248" s="24"/>
      <c r="O248" s="15"/>
      <c r="Q248" s="68" t="str">
        <f t="shared" si="49"/>
        <v>Dwi Erinadestari</v>
      </c>
      <c r="R248" s="21" t="str">
        <f t="shared" si="50"/>
        <v>79</v>
      </c>
      <c r="S248" s="14"/>
      <c r="T248" s="15" t="s">
        <v>39</v>
      </c>
    </row>
    <row r="249" spans="1:20" ht="12" customHeight="1" thickTop="1" thickBot="1" x14ac:dyDescent="0.35">
      <c r="A249" s="21">
        <v>7</v>
      </c>
      <c r="B249" s="19"/>
      <c r="C249" s="82" t="str">
        <f>DATA!L16</f>
        <v>Eka Yuanita Safa</v>
      </c>
      <c r="D249" s="42" t="s">
        <v>63</v>
      </c>
      <c r="E249" s="43"/>
      <c r="F249" s="43"/>
      <c r="G249" s="43"/>
      <c r="H249" s="44"/>
      <c r="I249" s="21">
        <f t="shared" si="51"/>
        <v>0</v>
      </c>
      <c r="J249" s="45">
        <f t="shared" si="52"/>
        <v>0</v>
      </c>
      <c r="K249" s="21" t="str">
        <f t="shared" si="47"/>
        <v>tdk tuntas</v>
      </c>
      <c r="L249" s="135" t="str">
        <f t="shared" si="48"/>
        <v>77</v>
      </c>
      <c r="M249" s="14"/>
      <c r="N249" s="24"/>
      <c r="O249" s="15"/>
      <c r="Q249" s="68" t="str">
        <f t="shared" si="49"/>
        <v>Eka Yuanita Safa</v>
      </c>
      <c r="R249" s="21" t="str">
        <f t="shared" si="50"/>
        <v>79</v>
      </c>
      <c r="S249" s="71" t="s">
        <v>46</v>
      </c>
      <c r="T249" s="73" t="s">
        <v>36</v>
      </c>
    </row>
    <row r="250" spans="1:20" ht="12" customHeight="1" thickTop="1" x14ac:dyDescent="0.3">
      <c r="A250" s="21">
        <v>8</v>
      </c>
      <c r="B250" s="19"/>
      <c r="C250" s="82" t="str">
        <f>DATA!L17</f>
        <v>Ellisa Adelia Putri</v>
      </c>
      <c r="D250" s="42" t="s">
        <v>63</v>
      </c>
      <c r="E250" s="43"/>
      <c r="F250" s="43"/>
      <c r="G250" s="43"/>
      <c r="H250" s="44"/>
      <c r="I250" s="21">
        <f t="shared" si="51"/>
        <v>0</v>
      </c>
      <c r="J250" s="45">
        <f t="shared" si="52"/>
        <v>0</v>
      </c>
      <c r="K250" s="21" t="str">
        <f t="shared" si="47"/>
        <v>tdk tuntas</v>
      </c>
      <c r="L250" s="135" t="str">
        <f t="shared" si="48"/>
        <v>77</v>
      </c>
      <c r="M250" s="77" t="s">
        <v>51</v>
      </c>
      <c r="N250" s="24"/>
      <c r="O250" s="15"/>
      <c r="Q250" s="68" t="str">
        <f t="shared" si="49"/>
        <v>Ellisa Adelia Putri</v>
      </c>
      <c r="R250" s="21" t="str">
        <f t="shared" si="50"/>
        <v>79</v>
      </c>
      <c r="S250" s="70"/>
      <c r="T250" s="73" t="s">
        <v>37</v>
      </c>
    </row>
    <row r="251" spans="1:20" ht="12" customHeight="1" x14ac:dyDescent="0.25">
      <c r="A251" s="21">
        <v>9</v>
      </c>
      <c r="B251" s="19"/>
      <c r="C251" s="82" t="str">
        <f>DATA!L18</f>
        <v>Elsa Adinda Putri</v>
      </c>
      <c r="D251" s="42" t="s">
        <v>63</v>
      </c>
      <c r="E251" s="43"/>
      <c r="F251" s="43"/>
      <c r="G251" s="43"/>
      <c r="H251" s="44"/>
      <c r="I251" s="21">
        <f t="shared" si="51"/>
        <v>0</v>
      </c>
      <c r="J251" s="45">
        <f t="shared" si="52"/>
        <v>0</v>
      </c>
      <c r="K251" s="21" t="str">
        <f t="shared" si="47"/>
        <v>tdk tuntas</v>
      </c>
      <c r="L251" s="135" t="str">
        <f t="shared" si="48"/>
        <v>77</v>
      </c>
      <c r="N251" s="24"/>
      <c r="O251" s="15"/>
      <c r="Q251" s="68" t="str">
        <f t="shared" si="49"/>
        <v>Elsa Adinda Putri</v>
      </c>
      <c r="R251" s="21" t="str">
        <f t="shared" si="50"/>
        <v>79</v>
      </c>
      <c r="S251" s="14"/>
      <c r="T251" s="15"/>
    </row>
    <row r="252" spans="1:20" ht="12" customHeight="1" x14ac:dyDescent="0.25">
      <c r="A252" s="21">
        <v>10</v>
      </c>
      <c r="B252" s="19"/>
      <c r="C252" s="82" t="str">
        <f>DATA!L19</f>
        <v>Erick Putra Wijaya</v>
      </c>
      <c r="D252" s="42" t="s">
        <v>63</v>
      </c>
      <c r="E252" s="43"/>
      <c r="F252" s="43"/>
      <c r="G252" s="43"/>
      <c r="H252" s="44"/>
      <c r="I252" s="21">
        <f t="shared" si="51"/>
        <v>0</v>
      </c>
      <c r="J252" s="45">
        <f t="shared" si="52"/>
        <v>0</v>
      </c>
      <c r="K252" s="21" t="str">
        <f t="shared" si="47"/>
        <v>tdk tuntas</v>
      </c>
      <c r="L252" s="135" t="str">
        <f t="shared" si="48"/>
        <v>77</v>
      </c>
      <c r="M252" s="14"/>
      <c r="N252" s="24"/>
      <c r="O252" s="15"/>
      <c r="Q252" s="68" t="str">
        <f t="shared" si="49"/>
        <v>Erick Putra Wijaya</v>
      </c>
      <c r="R252" s="21" t="str">
        <f t="shared" ref="R252:R257" si="53">IF(I252&lt;$N$10,"85","")</f>
        <v>85</v>
      </c>
      <c r="S252" s="14" t="s">
        <v>30</v>
      </c>
      <c r="T252" s="15"/>
    </row>
    <row r="253" spans="1:20" ht="12" customHeight="1" thickBot="1" x14ac:dyDescent="0.3">
      <c r="A253" s="21">
        <v>11</v>
      </c>
      <c r="B253" s="19"/>
      <c r="C253" s="82" t="str">
        <f>DATA!L20</f>
        <v>Intan Qurrota A'Yun</v>
      </c>
      <c r="D253" s="42" t="s">
        <v>63</v>
      </c>
      <c r="E253" s="43"/>
      <c r="F253" s="43"/>
      <c r="G253" s="43"/>
      <c r="H253" s="44"/>
      <c r="I253" s="21">
        <f t="shared" si="51"/>
        <v>0</v>
      </c>
      <c r="J253" s="45">
        <f t="shared" si="52"/>
        <v>0</v>
      </c>
      <c r="K253" s="21" t="str">
        <f t="shared" si="47"/>
        <v>tdk tuntas</v>
      </c>
      <c r="L253" s="135" t="str">
        <f t="shared" si="48"/>
        <v>77</v>
      </c>
      <c r="M253" s="14"/>
      <c r="N253" s="24"/>
      <c r="O253" s="15"/>
      <c r="Q253" s="68" t="str">
        <f t="shared" si="49"/>
        <v>Intan Qurrota A'Yun</v>
      </c>
      <c r="R253" s="21" t="str">
        <f t="shared" si="53"/>
        <v>85</v>
      </c>
      <c r="T253" s="15"/>
    </row>
    <row r="254" spans="1:20" ht="12" customHeight="1" thickTop="1" thickBot="1" x14ac:dyDescent="0.35">
      <c r="A254" s="21">
        <v>12</v>
      </c>
      <c r="B254" s="19"/>
      <c r="C254" s="82" t="str">
        <f>DATA!L21</f>
        <v>Johan Renaldi</v>
      </c>
      <c r="D254" s="42" t="s">
        <v>63</v>
      </c>
      <c r="E254" s="43"/>
      <c r="F254" s="43"/>
      <c r="G254" s="43"/>
      <c r="H254" s="44"/>
      <c r="I254" s="21">
        <f t="shared" si="51"/>
        <v>0</v>
      </c>
      <c r="J254" s="45">
        <f t="shared" si="52"/>
        <v>0</v>
      </c>
      <c r="K254" s="21" t="str">
        <f t="shared" si="47"/>
        <v>tdk tuntas</v>
      </c>
      <c r="L254" s="135" t="str">
        <f t="shared" si="48"/>
        <v>77</v>
      </c>
      <c r="M254" s="14" t="s">
        <v>11</v>
      </c>
      <c r="N254" s="58">
        <f>K281</f>
        <v>34</v>
      </c>
      <c r="O254" s="15"/>
      <c r="Q254" s="68" t="str">
        <f t="shared" si="49"/>
        <v>Johan Renaldi</v>
      </c>
      <c r="R254" s="21" t="str">
        <f t="shared" si="53"/>
        <v>85</v>
      </c>
      <c r="S254" s="71" t="s">
        <v>46</v>
      </c>
      <c r="T254" s="73" t="s">
        <v>31</v>
      </c>
    </row>
    <row r="255" spans="1:20" ht="12" customHeight="1" thickTop="1" thickBot="1" x14ac:dyDescent="0.35">
      <c r="A255" s="21">
        <v>13</v>
      </c>
      <c r="B255" s="19"/>
      <c r="C255" s="82" t="str">
        <f>DATA!L22</f>
        <v>Lituhayu Sabrina</v>
      </c>
      <c r="D255" s="42" t="s">
        <v>63</v>
      </c>
      <c r="E255" s="43"/>
      <c r="F255" s="43"/>
      <c r="G255" s="43"/>
      <c r="H255" s="44"/>
      <c r="I255" s="21">
        <f t="shared" si="51"/>
        <v>0</v>
      </c>
      <c r="J255" s="45">
        <f t="shared" si="52"/>
        <v>0</v>
      </c>
      <c r="K255" s="21" t="str">
        <f t="shared" si="47"/>
        <v>tdk tuntas</v>
      </c>
      <c r="L255" s="135" t="str">
        <f t="shared" si="48"/>
        <v>77</v>
      </c>
      <c r="M255" s="14" t="s">
        <v>12</v>
      </c>
      <c r="N255" s="58">
        <f>K279</f>
        <v>0</v>
      </c>
      <c r="O255" s="15"/>
      <c r="Q255" s="68" t="str">
        <f t="shared" si="49"/>
        <v>Lituhayu Sabrina</v>
      </c>
      <c r="R255" s="21" t="str">
        <f t="shared" si="53"/>
        <v>85</v>
      </c>
      <c r="S255" s="70"/>
      <c r="T255" s="73" t="s">
        <v>32</v>
      </c>
    </row>
    <row r="256" spans="1:20" ht="12" customHeight="1" thickTop="1" thickBot="1" x14ac:dyDescent="0.35">
      <c r="A256" s="21">
        <v>14</v>
      </c>
      <c r="B256" s="19"/>
      <c r="C256" s="82" t="str">
        <f>DATA!L23</f>
        <v>Luthfi Az Zahra Aulyvia</v>
      </c>
      <c r="D256" s="42" t="s">
        <v>63</v>
      </c>
      <c r="E256" s="43"/>
      <c r="F256" s="43"/>
      <c r="G256" s="43"/>
      <c r="H256" s="44"/>
      <c r="I256" s="21">
        <f t="shared" si="51"/>
        <v>0</v>
      </c>
      <c r="J256" s="45">
        <f t="shared" si="52"/>
        <v>0</v>
      </c>
      <c r="K256" s="21" t="str">
        <f t="shared" si="47"/>
        <v>tdk tuntas</v>
      </c>
      <c r="L256" s="135" t="str">
        <f t="shared" si="48"/>
        <v>77</v>
      </c>
      <c r="M256" s="14" t="s">
        <v>13</v>
      </c>
      <c r="N256" s="58">
        <f>N255/N254*100</f>
        <v>0</v>
      </c>
      <c r="O256" s="15" t="s">
        <v>4</v>
      </c>
      <c r="Q256" s="68" t="str">
        <f t="shared" si="49"/>
        <v>Luthfi Az Zahra Aulyvia</v>
      </c>
      <c r="R256" s="21" t="str">
        <f t="shared" si="53"/>
        <v>85</v>
      </c>
      <c r="S256" s="62"/>
      <c r="T256" s="15" t="s">
        <v>33</v>
      </c>
    </row>
    <row r="257" spans="1:20" ht="12" customHeight="1" thickTop="1" x14ac:dyDescent="0.25">
      <c r="A257" s="21">
        <v>15</v>
      </c>
      <c r="B257" s="19"/>
      <c r="C257" s="82" t="str">
        <f>DATA!L24</f>
        <v>Maulana Rizki Kurniawan</v>
      </c>
      <c r="D257" s="42" t="s">
        <v>63</v>
      </c>
      <c r="E257" s="43"/>
      <c r="F257" s="43"/>
      <c r="G257" s="43"/>
      <c r="H257" s="44"/>
      <c r="I257" s="21">
        <f t="shared" si="51"/>
        <v>0</v>
      </c>
      <c r="J257" s="45">
        <f t="shared" si="52"/>
        <v>0</v>
      </c>
      <c r="K257" s="21" t="str">
        <f t="shared" si="47"/>
        <v>tdk tuntas</v>
      </c>
      <c r="L257" s="135" t="str">
        <f t="shared" si="48"/>
        <v>77</v>
      </c>
      <c r="M257" s="14"/>
      <c r="N257" s="24"/>
      <c r="O257" s="15"/>
      <c r="Q257" s="68" t="str">
        <f t="shared" si="49"/>
        <v>Maulana Rizki Kurniawan</v>
      </c>
      <c r="R257" s="21" t="str">
        <f t="shared" si="53"/>
        <v>85</v>
      </c>
      <c r="S257" s="14"/>
      <c r="T257" s="15" t="s">
        <v>34</v>
      </c>
    </row>
    <row r="258" spans="1:20" ht="12" customHeight="1" x14ac:dyDescent="0.25">
      <c r="A258" s="21">
        <v>16</v>
      </c>
      <c r="B258" s="19"/>
      <c r="C258" s="82" t="str">
        <f>DATA!L25</f>
        <v>Meisya Anindita</v>
      </c>
      <c r="D258" s="42" t="s">
        <v>63</v>
      </c>
      <c r="E258" s="43"/>
      <c r="F258" s="43"/>
      <c r="G258" s="43"/>
      <c r="H258" s="44"/>
      <c r="I258" s="21">
        <f t="shared" si="51"/>
        <v>0</v>
      </c>
      <c r="J258" s="45">
        <f t="shared" si="52"/>
        <v>0</v>
      </c>
      <c r="K258" s="21" t="str">
        <f t="shared" si="47"/>
        <v>tdk tuntas</v>
      </c>
      <c r="L258" s="135" t="str">
        <f t="shared" si="48"/>
        <v>77</v>
      </c>
      <c r="M258" s="14" t="s">
        <v>52</v>
      </c>
      <c r="N258" s="24"/>
      <c r="O258" s="15"/>
      <c r="Q258" s="68" t="str">
        <f t="shared" si="49"/>
        <v>Meisya Anindita</v>
      </c>
      <c r="R258" s="21" t="str">
        <f>IF(I258&lt;$N$10,"84","")</f>
        <v>84</v>
      </c>
      <c r="S258" s="14"/>
      <c r="T258" s="15"/>
    </row>
    <row r="259" spans="1:20" ht="12" customHeight="1" x14ac:dyDescent="0.25">
      <c r="A259" s="21">
        <v>17</v>
      </c>
      <c r="B259" s="19"/>
      <c r="C259" s="82" t="str">
        <f>DATA!L26</f>
        <v>Melilea Azahra</v>
      </c>
      <c r="D259" s="42" t="s">
        <v>63</v>
      </c>
      <c r="E259" s="43"/>
      <c r="F259" s="43"/>
      <c r="G259" s="43"/>
      <c r="H259" s="44"/>
      <c r="I259" s="21">
        <f t="shared" si="51"/>
        <v>0</v>
      </c>
      <c r="J259" s="45">
        <f t="shared" si="52"/>
        <v>0</v>
      </c>
      <c r="K259" s="21" t="str">
        <f t="shared" si="47"/>
        <v>tdk tuntas</v>
      </c>
      <c r="L259" s="135" t="str">
        <f t="shared" si="48"/>
        <v>77</v>
      </c>
      <c r="N259" s="24"/>
      <c r="O259" s="15"/>
      <c r="Q259" s="68" t="str">
        <f t="shared" si="49"/>
        <v>Melilea Azahra</v>
      </c>
      <c r="R259" s="21" t="str">
        <f t="shared" ref="R259:R265" si="54">IF(I259&lt;$N$10,"82","")</f>
        <v>82</v>
      </c>
      <c r="S259" s="14"/>
      <c r="T259" s="63" t="s">
        <v>41</v>
      </c>
    </row>
    <row r="260" spans="1:20" ht="12" customHeight="1" x14ac:dyDescent="0.25">
      <c r="A260" s="21">
        <v>18</v>
      </c>
      <c r="B260" s="19"/>
      <c r="C260" s="82" t="str">
        <f>DATA!L27</f>
        <v>Muhammad Furqon Ashfary</v>
      </c>
      <c r="D260" s="42" t="s">
        <v>63</v>
      </c>
      <c r="E260" s="43"/>
      <c r="F260" s="43"/>
      <c r="G260" s="43"/>
      <c r="H260" s="44"/>
      <c r="I260" s="21">
        <f t="shared" si="51"/>
        <v>0</v>
      </c>
      <c r="J260" s="45">
        <f t="shared" si="52"/>
        <v>0</v>
      </c>
      <c r="K260" s="21" t="str">
        <f t="shared" si="47"/>
        <v>tdk tuntas</v>
      </c>
      <c r="L260" s="135" t="str">
        <f t="shared" si="48"/>
        <v>77</v>
      </c>
      <c r="M260" s="14"/>
      <c r="N260" s="24"/>
      <c r="O260" s="15"/>
      <c r="Q260" s="68" t="str">
        <f t="shared" si="49"/>
        <v>Muhammad Furqon Ashfary</v>
      </c>
      <c r="R260" s="21" t="str">
        <f t="shared" si="54"/>
        <v>82</v>
      </c>
      <c r="S260" s="14"/>
      <c r="T260" s="63"/>
    </row>
    <row r="261" spans="1:20" ht="12" customHeight="1" x14ac:dyDescent="0.25">
      <c r="A261" s="21">
        <v>19</v>
      </c>
      <c r="B261" s="19"/>
      <c r="C261" s="82" t="str">
        <f>DATA!L28</f>
        <v>Muhammad Rizky Fahreza</v>
      </c>
      <c r="D261" s="42" t="s">
        <v>63</v>
      </c>
      <c r="E261" s="43"/>
      <c r="F261" s="43"/>
      <c r="G261" s="43"/>
      <c r="H261" s="44"/>
      <c r="I261" s="21">
        <f t="shared" si="51"/>
        <v>0</v>
      </c>
      <c r="J261" s="45">
        <f t="shared" si="52"/>
        <v>0</v>
      </c>
      <c r="K261" s="21" t="str">
        <f t="shared" si="47"/>
        <v>tdk tuntas</v>
      </c>
      <c r="L261" s="135" t="str">
        <f t="shared" si="48"/>
        <v>77</v>
      </c>
      <c r="M261" s="14"/>
      <c r="N261" s="24"/>
      <c r="O261" s="15"/>
      <c r="Q261" s="68" t="str">
        <f t="shared" si="49"/>
        <v>Muhammad Rizky Fahreza</v>
      </c>
      <c r="R261" s="21" t="str">
        <f t="shared" si="54"/>
        <v>82</v>
      </c>
      <c r="S261" s="14"/>
      <c r="T261" s="63"/>
    </row>
    <row r="262" spans="1:20" ht="12" customHeight="1" x14ac:dyDescent="0.25">
      <c r="A262" s="21">
        <v>20</v>
      </c>
      <c r="B262" s="19"/>
      <c r="C262" s="82" t="str">
        <f>DATA!L29</f>
        <v>Mutiara Yuliyanti</v>
      </c>
      <c r="D262" s="42" t="s">
        <v>63</v>
      </c>
      <c r="E262" s="43"/>
      <c r="F262" s="43"/>
      <c r="G262" s="43"/>
      <c r="H262" s="44"/>
      <c r="I262" s="21">
        <f t="shared" si="51"/>
        <v>0</v>
      </c>
      <c r="J262" s="45">
        <f t="shared" si="52"/>
        <v>0</v>
      </c>
      <c r="K262" s="21" t="str">
        <f t="shared" si="47"/>
        <v>tdk tuntas</v>
      </c>
      <c r="L262" s="135" t="str">
        <f t="shared" si="48"/>
        <v>77</v>
      </c>
      <c r="M262" s="14" t="s">
        <v>53</v>
      </c>
      <c r="N262" s="78">
        <f>I279</f>
        <v>0</v>
      </c>
      <c r="O262" s="15"/>
      <c r="Q262" s="68" t="str">
        <f t="shared" si="49"/>
        <v>Mutiara Yuliyanti</v>
      </c>
      <c r="R262" s="21" t="str">
        <f t="shared" si="54"/>
        <v>82</v>
      </c>
      <c r="S262" s="14"/>
      <c r="T262" s="63"/>
    </row>
    <row r="263" spans="1:20" ht="12" customHeight="1" x14ac:dyDescent="0.25">
      <c r="A263" s="21">
        <v>21</v>
      </c>
      <c r="B263" s="19"/>
      <c r="C263" s="82" t="str">
        <f>DATA!L30</f>
        <v>Nathasya Maharani Putri Agustina</v>
      </c>
      <c r="D263" s="42" t="s">
        <v>63</v>
      </c>
      <c r="E263" s="43"/>
      <c r="F263" s="43"/>
      <c r="G263" s="43"/>
      <c r="H263" s="44"/>
      <c r="I263" s="21">
        <f t="shared" si="51"/>
        <v>0</v>
      </c>
      <c r="J263" s="45">
        <f t="shared" si="52"/>
        <v>0</v>
      </c>
      <c r="K263" s="21" t="str">
        <f t="shared" si="47"/>
        <v>tdk tuntas</v>
      </c>
      <c r="L263" s="135" t="str">
        <f t="shared" si="48"/>
        <v>77</v>
      </c>
      <c r="M263" s="14" t="s">
        <v>54</v>
      </c>
      <c r="N263" s="78">
        <f>I280</f>
        <v>3400</v>
      </c>
      <c r="O263" s="15"/>
      <c r="Q263" s="68" t="str">
        <f t="shared" si="49"/>
        <v>Nathasya Maharani Putri Agustina</v>
      </c>
      <c r="R263" s="21" t="str">
        <f t="shared" si="54"/>
        <v>82</v>
      </c>
      <c r="S263" s="14"/>
      <c r="T263" s="63" t="str">
        <f>T216</f>
        <v>KASMIN, S.Pd</v>
      </c>
    </row>
    <row r="264" spans="1:20" ht="12" customHeight="1" x14ac:dyDescent="0.25">
      <c r="A264" s="21">
        <v>22</v>
      </c>
      <c r="B264" s="19"/>
      <c r="C264" s="82" t="str">
        <f>DATA!L31</f>
        <v>Naysilla Anindya Ramadhani Nayra</v>
      </c>
      <c r="D264" s="42" t="s">
        <v>63</v>
      </c>
      <c r="E264" s="43"/>
      <c r="F264" s="43"/>
      <c r="G264" s="43"/>
      <c r="H264" s="44"/>
      <c r="I264" s="21">
        <f t="shared" si="51"/>
        <v>0</v>
      </c>
      <c r="J264" s="45">
        <f t="shared" si="52"/>
        <v>0</v>
      </c>
      <c r="K264" s="21" t="str">
        <f t="shared" si="47"/>
        <v>tdk tuntas</v>
      </c>
      <c r="L264" s="135" t="str">
        <f t="shared" si="48"/>
        <v>77</v>
      </c>
      <c r="M264" s="14" t="s">
        <v>13</v>
      </c>
      <c r="N264" s="84">
        <f>N262/N263*100</f>
        <v>0</v>
      </c>
      <c r="O264" s="79" t="s">
        <v>4</v>
      </c>
      <c r="Q264" s="68" t="str">
        <f t="shared" si="49"/>
        <v>Naysilla Anindya Ramadhani Nayra</v>
      </c>
      <c r="R264" s="21" t="str">
        <f t="shared" si="54"/>
        <v>82</v>
      </c>
      <c r="S264" s="14"/>
      <c r="T264" s="63" t="str">
        <f>T217</f>
        <v>NIP :19960914 199003 1 007</v>
      </c>
    </row>
    <row r="265" spans="1:20" ht="12" customHeight="1" x14ac:dyDescent="0.25">
      <c r="A265" s="21">
        <v>23</v>
      </c>
      <c r="B265" s="19"/>
      <c r="C265" s="82" t="str">
        <f>DATA!L32</f>
        <v>Qaleesya Juliandhifa Putri Ajisia</v>
      </c>
      <c r="D265" s="42" t="s">
        <v>63</v>
      </c>
      <c r="E265" s="43"/>
      <c r="F265" s="43"/>
      <c r="G265" s="43"/>
      <c r="H265" s="44"/>
      <c r="I265" s="21">
        <f t="shared" si="51"/>
        <v>0</v>
      </c>
      <c r="J265" s="45">
        <f t="shared" si="52"/>
        <v>0</v>
      </c>
      <c r="K265" s="21" t="str">
        <f t="shared" si="47"/>
        <v>tdk tuntas</v>
      </c>
      <c r="L265" s="135" t="str">
        <f t="shared" si="48"/>
        <v>77</v>
      </c>
      <c r="M265" s="14"/>
      <c r="N265" s="24"/>
      <c r="O265" s="15"/>
      <c r="Q265" s="68" t="str">
        <f t="shared" si="49"/>
        <v>Qaleesya Juliandhifa Putri Ajisia</v>
      </c>
      <c r="R265" s="21" t="str">
        <f t="shared" si="54"/>
        <v>82</v>
      </c>
      <c r="S265" s="14"/>
      <c r="T265" s="15"/>
    </row>
    <row r="266" spans="1:20" ht="12" customHeight="1" x14ac:dyDescent="0.25">
      <c r="A266" s="21">
        <v>24</v>
      </c>
      <c r="B266" s="19"/>
      <c r="C266" s="82" t="str">
        <f>DATA!L33</f>
        <v>Rahesya Firmansah</v>
      </c>
      <c r="D266" s="42" t="s">
        <v>63</v>
      </c>
      <c r="E266" s="43"/>
      <c r="F266" s="43"/>
      <c r="G266" s="43"/>
      <c r="H266" s="44"/>
      <c r="I266" s="21">
        <f t="shared" si="51"/>
        <v>0</v>
      </c>
      <c r="J266" s="45">
        <f t="shared" si="52"/>
        <v>0</v>
      </c>
      <c r="K266" s="21" t="str">
        <f t="shared" si="47"/>
        <v>tdk tuntas</v>
      </c>
      <c r="L266" s="135" t="str">
        <f t="shared" si="48"/>
        <v>77</v>
      </c>
      <c r="M266" s="14"/>
      <c r="N266" s="24"/>
      <c r="O266" s="15"/>
      <c r="Q266" s="68" t="str">
        <f t="shared" si="49"/>
        <v>Rahesya Firmansah</v>
      </c>
      <c r="R266" s="21" t="str">
        <f>IF(I266&lt;$N$10,"79","")</f>
        <v>79</v>
      </c>
      <c r="S266" s="14"/>
      <c r="T266" s="63" t="s">
        <v>42</v>
      </c>
    </row>
    <row r="267" spans="1:20" ht="12" customHeight="1" x14ac:dyDescent="0.25">
      <c r="A267" s="21">
        <v>25</v>
      </c>
      <c r="B267" s="19"/>
      <c r="C267" s="82" t="str">
        <f>DATA!L34</f>
        <v>Revalino Adhyaqsa Pamungkas</v>
      </c>
      <c r="D267" s="42" t="s">
        <v>63</v>
      </c>
      <c r="E267" s="43"/>
      <c r="F267" s="43"/>
      <c r="G267" s="43"/>
      <c r="H267" s="44"/>
      <c r="I267" s="21">
        <f t="shared" si="51"/>
        <v>0</v>
      </c>
      <c r="J267" s="45">
        <f t="shared" si="52"/>
        <v>0</v>
      </c>
      <c r="K267" s="21" t="str">
        <f t="shared" si="47"/>
        <v>tdk tuntas</v>
      </c>
      <c r="L267" s="135" t="str">
        <f t="shared" si="48"/>
        <v>77</v>
      </c>
      <c r="M267" s="14" t="s">
        <v>14</v>
      </c>
      <c r="N267" s="24"/>
      <c r="O267" s="15"/>
      <c r="Q267" s="68" t="str">
        <f t="shared" si="49"/>
        <v>Revalino Adhyaqsa Pamungkas</v>
      </c>
      <c r="R267" s="21" t="str">
        <f>IF(I267&lt;$N$10,"79","")</f>
        <v>79</v>
      </c>
      <c r="S267" s="14"/>
      <c r="T267" s="63"/>
    </row>
    <row r="268" spans="1:20" ht="12" customHeight="1" x14ac:dyDescent="0.25">
      <c r="A268" s="21">
        <v>26</v>
      </c>
      <c r="B268" s="19"/>
      <c r="C268" s="82" t="str">
        <f>DATA!L35</f>
        <v>Rokhan Dwi Ma'Arif</v>
      </c>
      <c r="D268" s="42" t="s">
        <v>63</v>
      </c>
      <c r="E268" s="43"/>
      <c r="F268" s="43"/>
      <c r="G268" s="43"/>
      <c r="H268" s="44"/>
      <c r="I268" s="21">
        <f t="shared" si="51"/>
        <v>0</v>
      </c>
      <c r="J268" s="45">
        <f t="shared" si="52"/>
        <v>0</v>
      </c>
      <c r="K268" s="21" t="str">
        <f t="shared" si="47"/>
        <v>tdk tuntas</v>
      </c>
      <c r="L268" s="135" t="str">
        <f t="shared" si="48"/>
        <v>77</v>
      </c>
      <c r="M268" s="14" t="s">
        <v>15</v>
      </c>
      <c r="N268" s="24"/>
      <c r="O268" s="15"/>
      <c r="Q268" s="68" t="str">
        <f t="shared" si="49"/>
        <v>Rokhan Dwi Ma'Arif</v>
      </c>
      <c r="R268" s="21" t="str">
        <f>IF(I268&lt;$N$10,"79","")</f>
        <v>79</v>
      </c>
      <c r="S268" s="14"/>
      <c r="T268" s="63"/>
    </row>
    <row r="269" spans="1:20" ht="12" customHeight="1" x14ac:dyDescent="0.3">
      <c r="A269" s="21">
        <v>27</v>
      </c>
      <c r="B269" s="19"/>
      <c r="C269" s="82" t="str">
        <f>DATA!L36</f>
        <v>Sawung Lintang Kamandanu</v>
      </c>
      <c r="D269" s="42" t="s">
        <v>63</v>
      </c>
      <c r="E269" s="43"/>
      <c r="F269" s="43"/>
      <c r="G269" s="43"/>
      <c r="H269" s="44"/>
      <c r="I269" s="21">
        <f t="shared" si="51"/>
        <v>0</v>
      </c>
      <c r="J269" s="45">
        <f t="shared" si="52"/>
        <v>0</v>
      </c>
      <c r="K269" s="21" t="str">
        <f t="shared" si="47"/>
        <v>tdk tuntas</v>
      </c>
      <c r="L269" s="135" t="str">
        <f t="shared" si="48"/>
        <v>77</v>
      </c>
      <c r="M269" s="155" t="s">
        <v>80</v>
      </c>
      <c r="N269" s="24"/>
      <c r="O269" s="15"/>
      <c r="Q269" s="68" t="str">
        <f t="shared" si="49"/>
        <v>Sawung Lintang Kamandanu</v>
      </c>
      <c r="R269" s="21" t="str">
        <f>IF(I269&lt;$N$10,"79","")</f>
        <v>79</v>
      </c>
      <c r="S269" s="14"/>
      <c r="T269" s="63"/>
    </row>
    <row r="270" spans="1:20" ht="12" customHeight="1" x14ac:dyDescent="0.25">
      <c r="A270" s="21">
        <v>28</v>
      </c>
      <c r="B270" s="19"/>
      <c r="C270" s="82" t="str">
        <f>DATA!L37</f>
        <v>Taufik Hidayat</v>
      </c>
      <c r="D270" s="42" t="s">
        <v>63</v>
      </c>
      <c r="E270" s="43"/>
      <c r="F270" s="43"/>
      <c r="G270" s="43"/>
      <c r="H270" s="44"/>
      <c r="I270" s="21">
        <f t="shared" si="51"/>
        <v>0</v>
      </c>
      <c r="J270" s="45">
        <f t="shared" si="52"/>
        <v>0</v>
      </c>
      <c r="K270" s="21" t="str">
        <f t="shared" si="47"/>
        <v>tdk tuntas</v>
      </c>
      <c r="L270" s="135" t="str">
        <f t="shared" si="48"/>
        <v>77</v>
      </c>
      <c r="M270" s="14"/>
      <c r="N270" s="24"/>
      <c r="O270" s="15"/>
      <c r="Q270" s="68" t="str">
        <f t="shared" si="49"/>
        <v>Taufik Hidayat</v>
      </c>
      <c r="R270" s="21" t="str">
        <f>IF(I270&lt;$N$10,"81","")</f>
        <v>81</v>
      </c>
      <c r="S270" s="14"/>
      <c r="T270" s="63"/>
    </row>
    <row r="271" spans="1:20" ht="12" customHeight="1" x14ac:dyDescent="0.25">
      <c r="A271" s="21">
        <v>29</v>
      </c>
      <c r="B271" s="19"/>
      <c r="C271" s="82" t="str">
        <f>DATA!L38</f>
        <v>Valentino Febrianzah</v>
      </c>
      <c r="D271" s="42" t="s">
        <v>63</v>
      </c>
      <c r="E271" s="43"/>
      <c r="F271" s="43"/>
      <c r="G271" s="43"/>
      <c r="H271" s="44"/>
      <c r="I271" s="21">
        <f t="shared" si="51"/>
        <v>0</v>
      </c>
      <c r="J271" s="45">
        <f t="shared" si="52"/>
        <v>0</v>
      </c>
      <c r="K271" s="21" t="str">
        <f t="shared" si="47"/>
        <v>tdk tuntas</v>
      </c>
      <c r="L271" s="135" t="str">
        <f t="shared" si="48"/>
        <v>77</v>
      </c>
      <c r="M271" s="14"/>
      <c r="N271" s="24"/>
      <c r="O271" s="15"/>
      <c r="Q271" s="68" t="str">
        <f t="shared" si="49"/>
        <v>Valentino Febrianzah</v>
      </c>
      <c r="R271" s="21" t="str">
        <f>IF(I271&lt;$N$10,"85","")</f>
        <v>85</v>
      </c>
      <c r="S271" s="14"/>
      <c r="T271" s="63"/>
    </row>
    <row r="272" spans="1:20" ht="12" customHeight="1" x14ac:dyDescent="0.25">
      <c r="A272" s="21">
        <v>30</v>
      </c>
      <c r="B272" s="19"/>
      <c r="C272" s="82" t="str">
        <f>DATA!L39</f>
        <v>Vega Olivia Ramandhani</v>
      </c>
      <c r="D272" s="42" t="s">
        <v>63</v>
      </c>
      <c r="E272" s="43"/>
      <c r="F272" s="43"/>
      <c r="G272" s="43"/>
      <c r="H272" s="44"/>
      <c r="I272" s="21">
        <f t="shared" si="51"/>
        <v>0</v>
      </c>
      <c r="J272" s="45">
        <f t="shared" si="52"/>
        <v>0</v>
      </c>
      <c r="K272" s="21" t="str">
        <f t="shared" si="47"/>
        <v>tdk tuntas</v>
      </c>
      <c r="L272" s="135" t="str">
        <f t="shared" si="48"/>
        <v>77</v>
      </c>
      <c r="M272" s="14"/>
      <c r="N272" s="24"/>
      <c r="O272" s="15"/>
      <c r="Q272" s="68" t="str">
        <f t="shared" si="49"/>
        <v>Vega Olivia Ramandhani</v>
      </c>
      <c r="R272" s="21" t="str">
        <f>IF(I272&lt;$N$10,"78","")</f>
        <v>78</v>
      </c>
      <c r="S272" s="14"/>
      <c r="T272" s="63" t="str">
        <f>T225</f>
        <v>Dra. BAROKAH GUNIARTI</v>
      </c>
    </row>
    <row r="273" spans="1:20" ht="12" customHeight="1" x14ac:dyDescent="0.25">
      <c r="A273" s="21">
        <v>31</v>
      </c>
      <c r="B273" s="19"/>
      <c r="C273" s="82">
        <f>DATA!L40</f>
        <v>0</v>
      </c>
      <c r="D273" s="42" t="s">
        <v>63</v>
      </c>
      <c r="E273" s="43"/>
      <c r="F273" s="43"/>
      <c r="G273" s="43"/>
      <c r="H273" s="44"/>
      <c r="I273" s="21">
        <f t="shared" si="51"/>
        <v>0</v>
      </c>
      <c r="J273" s="45">
        <f t="shared" si="52"/>
        <v>0</v>
      </c>
      <c r="K273" s="21" t="str">
        <f t="shared" si="47"/>
        <v>tdk tuntas</v>
      </c>
      <c r="L273" s="135" t="str">
        <f t="shared" si="48"/>
        <v>77</v>
      </c>
      <c r="M273" s="14" t="s">
        <v>56</v>
      </c>
      <c r="N273" s="24"/>
      <c r="O273" s="15"/>
      <c r="Q273" s="68">
        <f t="shared" si="49"/>
        <v>0</v>
      </c>
      <c r="R273" s="21" t="str">
        <f>IF(I273&lt;$N$10,"84","")</f>
        <v>84</v>
      </c>
      <c r="S273" s="14"/>
      <c r="T273" s="63" t="str">
        <f>T226</f>
        <v>NIP : 196901081996122004</v>
      </c>
    </row>
    <row r="274" spans="1:20" ht="12" customHeight="1" x14ac:dyDescent="0.25">
      <c r="A274" s="21">
        <v>32</v>
      </c>
      <c r="B274" s="19"/>
      <c r="C274" s="82">
        <f>DATA!L41</f>
        <v>0</v>
      </c>
      <c r="D274" s="42" t="s">
        <v>63</v>
      </c>
      <c r="E274" s="43"/>
      <c r="F274" s="43"/>
      <c r="G274" s="43"/>
      <c r="H274" s="44"/>
      <c r="I274" s="21">
        <f t="shared" si="51"/>
        <v>0</v>
      </c>
      <c r="J274" s="45">
        <f t="shared" si="52"/>
        <v>0</v>
      </c>
      <c r="K274" s="21" t="str">
        <f t="shared" si="47"/>
        <v>tdk tuntas</v>
      </c>
      <c r="L274" s="135" t="str">
        <f t="shared" si="48"/>
        <v>77</v>
      </c>
      <c r="M274" s="14"/>
      <c r="N274" s="24"/>
      <c r="O274" s="15"/>
      <c r="Q274" s="68">
        <f t="shared" si="49"/>
        <v>0</v>
      </c>
      <c r="R274" s="21" t="str">
        <f>IF(I274&lt;$N$10,"85","")</f>
        <v>85</v>
      </c>
      <c r="S274" s="14"/>
      <c r="T274" s="15"/>
    </row>
    <row r="275" spans="1:20" ht="12" customHeight="1" x14ac:dyDescent="0.25">
      <c r="A275" s="21">
        <v>33</v>
      </c>
      <c r="B275" s="19"/>
      <c r="C275" s="82">
        <f>DATA!L42</f>
        <v>0</v>
      </c>
      <c r="D275" s="42" t="s">
        <v>63</v>
      </c>
      <c r="E275" s="43"/>
      <c r="F275" s="43"/>
      <c r="G275" s="43"/>
      <c r="H275" s="44"/>
      <c r="I275" s="21">
        <f t="shared" si="51"/>
        <v>0</v>
      </c>
      <c r="J275" s="45">
        <f t="shared" si="52"/>
        <v>0</v>
      </c>
      <c r="K275" s="21" t="str">
        <f t="shared" si="47"/>
        <v>tdk tuntas</v>
      </c>
      <c r="L275" s="135" t="str">
        <f t="shared" si="48"/>
        <v>77</v>
      </c>
      <c r="M275" s="14" t="s">
        <v>16</v>
      </c>
      <c r="N275" s="24"/>
      <c r="O275" s="15"/>
      <c r="Q275" s="68">
        <f t="shared" si="49"/>
        <v>0</v>
      </c>
      <c r="R275" s="21" t="str">
        <f>IF(I275&lt;$N$10,"83","")</f>
        <v>83</v>
      </c>
      <c r="S275" s="14"/>
      <c r="T275" s="15"/>
    </row>
    <row r="276" spans="1:20" ht="12" customHeight="1" x14ac:dyDescent="0.25">
      <c r="A276" s="21">
        <v>34</v>
      </c>
      <c r="B276" s="19"/>
      <c r="C276" s="82">
        <f>DATA!L43</f>
        <v>0</v>
      </c>
      <c r="D276" s="42" t="s">
        <v>63</v>
      </c>
      <c r="E276" s="43"/>
      <c r="F276" s="43"/>
      <c r="G276" s="43"/>
      <c r="H276" s="44"/>
      <c r="I276" s="21">
        <f t="shared" si="51"/>
        <v>0</v>
      </c>
      <c r="J276" s="45">
        <f t="shared" si="52"/>
        <v>0</v>
      </c>
      <c r="K276" s="21" t="str">
        <f t="shared" si="47"/>
        <v>tdk tuntas</v>
      </c>
      <c r="L276" s="135" t="str">
        <f t="shared" si="48"/>
        <v>77</v>
      </c>
      <c r="M276" s="14" t="s">
        <v>59</v>
      </c>
      <c r="N276" s="24"/>
      <c r="O276" s="15"/>
      <c r="Q276" s="68">
        <f t="shared" si="49"/>
        <v>0</v>
      </c>
      <c r="R276" s="21" t="str">
        <f>IF(I276&lt;$N$10,"80","")</f>
        <v>80</v>
      </c>
      <c r="S276" s="14"/>
      <c r="T276" s="15"/>
    </row>
    <row r="277" spans="1:20" ht="12" customHeight="1" x14ac:dyDescent="0.25">
      <c r="A277" s="21">
        <v>35</v>
      </c>
      <c r="B277" s="22"/>
      <c r="C277" s="82"/>
      <c r="D277" s="136"/>
      <c r="E277" s="137"/>
      <c r="F277" s="137"/>
      <c r="G277" s="137"/>
      <c r="H277" s="138"/>
      <c r="I277" s="21"/>
      <c r="J277" s="45"/>
      <c r="K277" s="21"/>
      <c r="L277" s="139" t="str">
        <f t="shared" si="48"/>
        <v>77</v>
      </c>
      <c r="M277" s="14" t="s">
        <v>23</v>
      </c>
      <c r="N277" s="24"/>
      <c r="O277" s="15"/>
      <c r="Q277" s="69"/>
      <c r="R277" s="21"/>
      <c r="S277" s="16"/>
      <c r="T277" s="17"/>
    </row>
    <row r="278" spans="1:20" ht="12" customHeight="1" x14ac:dyDescent="0.25">
      <c r="A278" s="101" t="s">
        <v>64</v>
      </c>
      <c r="B278" s="96"/>
      <c r="C278" s="97"/>
      <c r="D278" s="93"/>
      <c r="E278" s="94"/>
      <c r="F278" s="94"/>
      <c r="G278" s="94"/>
      <c r="H278" s="95"/>
      <c r="I278" s="98">
        <f>AVERAGE(I243:I277)</f>
        <v>0</v>
      </c>
      <c r="J278" s="74"/>
      <c r="K278" s="47"/>
      <c r="L278" s="65"/>
      <c r="M278" s="14"/>
      <c r="N278" s="24"/>
      <c r="O278" s="15"/>
      <c r="Q278" s="60"/>
      <c r="R278" s="471" t="str">
        <f>C239</f>
        <v>9F</v>
      </c>
      <c r="S278" s="471"/>
      <c r="T278" s="61"/>
    </row>
    <row r="279" spans="1:20" ht="12" customHeight="1" x14ac:dyDescent="0.25">
      <c r="A279" s="14" t="s">
        <v>17</v>
      </c>
      <c r="B279" s="24"/>
      <c r="C279" s="15"/>
      <c r="D279" s="42">
        <f>SUM(D243:D277)</f>
        <v>0</v>
      </c>
      <c r="E279" s="43">
        <f>SUM(E243:E277)</f>
        <v>0</v>
      </c>
      <c r="F279" s="43">
        <f>SUM(F243:F277)</f>
        <v>0</v>
      </c>
      <c r="G279" s="43">
        <f>SUM(G243:G277)</f>
        <v>0</v>
      </c>
      <c r="H279" s="44">
        <f>SUM(H243:H277)</f>
        <v>0</v>
      </c>
      <c r="I279" s="80">
        <f>SUM(D279:H279)</f>
        <v>0</v>
      </c>
      <c r="J279" s="85" t="s">
        <v>49</v>
      </c>
      <c r="K279" s="48">
        <f>COUNTIF(K243:K277,J279)</f>
        <v>0</v>
      </c>
      <c r="L279" s="64"/>
      <c r="M279" s="14"/>
      <c r="N279" s="24"/>
      <c r="O279" s="15"/>
      <c r="Q279" s="30"/>
      <c r="R279" s="472"/>
      <c r="S279" s="472"/>
      <c r="T279" s="31"/>
    </row>
    <row r="280" spans="1:20" ht="12" customHeight="1" x14ac:dyDescent="0.25">
      <c r="A280" s="14" t="s">
        <v>18</v>
      </c>
      <c r="B280" s="24"/>
      <c r="C280" s="15"/>
      <c r="D280" s="42">
        <f>D241*K281</f>
        <v>680</v>
      </c>
      <c r="E280" s="42">
        <f>E241*K281</f>
        <v>680</v>
      </c>
      <c r="F280" s="42">
        <f>F241*K281</f>
        <v>680</v>
      </c>
      <c r="G280" s="42">
        <f>G241*K281</f>
        <v>680</v>
      </c>
      <c r="H280" s="42">
        <f>H241*K281</f>
        <v>680</v>
      </c>
      <c r="I280" s="80">
        <f>SUM(D280:H280)</f>
        <v>3400</v>
      </c>
      <c r="J280" s="86" t="s">
        <v>50</v>
      </c>
      <c r="K280" s="48">
        <f>COUNTIF(K243:K277,J280)</f>
        <v>34</v>
      </c>
      <c r="L280" s="64"/>
      <c r="M280" s="14"/>
      <c r="N280" s="24"/>
      <c r="O280" s="15"/>
      <c r="Q280" s="30"/>
      <c r="R280" s="472"/>
      <c r="S280" s="472"/>
      <c r="T280" s="31"/>
    </row>
    <row r="281" spans="1:20" ht="12" customHeight="1" x14ac:dyDescent="0.25">
      <c r="A281" s="26" t="s">
        <v>19</v>
      </c>
      <c r="B281" s="27"/>
      <c r="C281" s="28"/>
      <c r="D281" s="136">
        <f t="shared" ref="D281:I281" si="55">D279/D280*100</f>
        <v>0</v>
      </c>
      <c r="E281" s="136">
        <f t="shared" si="55"/>
        <v>0</v>
      </c>
      <c r="F281" s="136">
        <f t="shared" si="55"/>
        <v>0</v>
      </c>
      <c r="G281" s="136">
        <f t="shared" si="55"/>
        <v>0</v>
      </c>
      <c r="H281" s="136">
        <f t="shared" si="55"/>
        <v>0</v>
      </c>
      <c r="I281" s="50">
        <f t="shared" si="55"/>
        <v>0</v>
      </c>
      <c r="J281" s="75" t="s">
        <v>57</v>
      </c>
      <c r="K281" s="49">
        <f>SUM(K279:K280)</f>
        <v>34</v>
      </c>
      <c r="L281" s="66"/>
      <c r="M281" s="16"/>
      <c r="N281" s="25"/>
      <c r="O281" s="17"/>
      <c r="Q281" s="8"/>
      <c r="R281" s="473"/>
      <c r="S281" s="473"/>
      <c r="T281" s="9"/>
    </row>
    <row r="282" spans="1:20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</sheetData>
  <mergeCells count="48">
    <mergeCell ref="R43:S46"/>
    <mergeCell ref="R90:S93"/>
    <mergeCell ref="R137:S140"/>
    <mergeCell ref="R184:S187"/>
    <mergeCell ref="R231:S234"/>
    <mergeCell ref="R278:S281"/>
    <mergeCell ref="A236:O236"/>
    <mergeCell ref="Q236:T236"/>
    <mergeCell ref="A237:O237"/>
    <mergeCell ref="Q237:T237"/>
    <mergeCell ref="R239:S239"/>
    <mergeCell ref="M240:O242"/>
    <mergeCell ref="S241:T241"/>
    <mergeCell ref="A1:O1"/>
    <mergeCell ref="Q1:T1"/>
    <mergeCell ref="A2:O2"/>
    <mergeCell ref="Q2:T2"/>
    <mergeCell ref="R4:S4"/>
    <mergeCell ref="M5:O7"/>
    <mergeCell ref="S6:T6"/>
    <mergeCell ref="A48:O48"/>
    <mergeCell ref="Q48:T48"/>
    <mergeCell ref="A49:O49"/>
    <mergeCell ref="Q49:T49"/>
    <mergeCell ref="R51:S51"/>
    <mergeCell ref="M52:O54"/>
    <mergeCell ref="S53:T53"/>
    <mergeCell ref="A95:O95"/>
    <mergeCell ref="Q95:T95"/>
    <mergeCell ref="A96:O96"/>
    <mergeCell ref="Q96:T96"/>
    <mergeCell ref="R98:S98"/>
    <mergeCell ref="M99:O101"/>
    <mergeCell ref="S100:T100"/>
    <mergeCell ref="A142:O142"/>
    <mergeCell ref="Q142:T142"/>
    <mergeCell ref="A143:O143"/>
    <mergeCell ref="Q143:T143"/>
    <mergeCell ref="R145:S145"/>
    <mergeCell ref="M146:O148"/>
    <mergeCell ref="S147:T147"/>
    <mergeCell ref="A189:O189"/>
    <mergeCell ref="Q189:T189"/>
    <mergeCell ref="A190:O190"/>
    <mergeCell ref="Q190:T190"/>
    <mergeCell ref="R192:S192"/>
    <mergeCell ref="M193:O195"/>
    <mergeCell ref="S194:T194"/>
  </mergeCells>
  <pageMargins left="0.28999999999999998" right="0.19" top="0.44" bottom="0.18" header="0.12" footer="0.14000000000000001"/>
  <pageSetup paperSize="5" orientation="landscape" horizontalDpi="0" verticalDpi="0" r:id="rId1"/>
  <drawing r:id="rId2"/>
  <legacyDrawing r:id="rId3"/>
  <oleObjects>
    <mc:AlternateContent xmlns:mc="http://schemas.openxmlformats.org/markup-compatibility/2006">
      <mc:Choice Requires="x14">
        <oleObject progId="Equation.3" shapeId="4101" r:id="rId4">
          <objectPr defaultSize="0" autoPict="0" r:id="rId5">
            <anchor moveWithCells="1" sizeWithCells="1">
              <from>
                <xdr:col>12</xdr:col>
                <xdr:colOff>12700</xdr:colOff>
                <xdr:row>108</xdr:row>
                <xdr:rowOff>133350</xdr:rowOff>
              </from>
              <to>
                <xdr:col>14</xdr:col>
                <xdr:colOff>450850</xdr:colOff>
                <xdr:row>111</xdr:row>
                <xdr:rowOff>38100</xdr:rowOff>
              </to>
            </anchor>
          </objectPr>
        </oleObject>
      </mc:Choice>
      <mc:Fallback>
        <oleObject progId="Equation.3" shapeId="4101" r:id="rId4"/>
      </mc:Fallback>
    </mc:AlternateContent>
    <mc:AlternateContent xmlns:mc="http://schemas.openxmlformats.org/markup-compatibility/2006">
      <mc:Choice Requires="x14">
        <oleObject progId="Equation.3" shapeId="4102" r:id="rId6">
          <objectPr defaultSize="0" autoPict="0" r:id="rId7">
            <anchor moveWithCells="1" sizeWithCells="1">
              <from>
                <xdr:col>12</xdr:col>
                <xdr:colOff>19050</xdr:colOff>
                <xdr:row>117</xdr:row>
                <xdr:rowOff>0</xdr:rowOff>
              </from>
              <to>
                <xdr:col>14</xdr:col>
                <xdr:colOff>463550</xdr:colOff>
                <xdr:row>119</xdr:row>
                <xdr:rowOff>12700</xdr:rowOff>
              </to>
            </anchor>
          </objectPr>
        </oleObject>
      </mc:Choice>
      <mc:Fallback>
        <oleObject progId="Equation.3" shapeId="4102" r:id="rId6"/>
      </mc:Fallback>
    </mc:AlternateContent>
    <mc:AlternateContent xmlns:mc="http://schemas.openxmlformats.org/markup-compatibility/2006">
      <mc:Choice Requires="x14">
        <oleObject progId="Equation.3" shapeId="4104" r:id="rId8">
          <objectPr defaultSize="0" autoPict="0" r:id="rId7">
            <anchor moveWithCells="1" sizeWithCells="1">
              <from>
                <xdr:col>11</xdr:col>
                <xdr:colOff>577850</xdr:colOff>
                <xdr:row>164</xdr:row>
                <xdr:rowOff>12700</xdr:rowOff>
              </from>
              <to>
                <xdr:col>14</xdr:col>
                <xdr:colOff>539750</xdr:colOff>
                <xdr:row>166</xdr:row>
                <xdr:rowOff>19050</xdr:rowOff>
              </to>
            </anchor>
          </objectPr>
        </oleObject>
      </mc:Choice>
      <mc:Fallback>
        <oleObject progId="Equation.3" shapeId="4104" r:id="rId8"/>
      </mc:Fallback>
    </mc:AlternateContent>
    <mc:AlternateContent xmlns:mc="http://schemas.openxmlformats.org/markup-compatibility/2006">
      <mc:Choice Requires="x14">
        <oleObject progId="Equation.3" shapeId="9182" r:id="rId9">
          <objectPr defaultSize="0" autoPict="0" r:id="rId5">
            <anchor moveWithCells="1" sizeWithCells="1">
              <from>
                <xdr:col>12</xdr:col>
                <xdr:colOff>82550</xdr:colOff>
                <xdr:row>15</xdr:row>
                <xdr:rowOff>12700</xdr:rowOff>
              </from>
              <to>
                <xdr:col>15</xdr:col>
                <xdr:colOff>0</xdr:colOff>
                <xdr:row>17</xdr:row>
                <xdr:rowOff>69850</xdr:rowOff>
              </to>
            </anchor>
          </objectPr>
        </oleObject>
      </mc:Choice>
      <mc:Fallback>
        <oleObject progId="Equation.3" shapeId="9182" r:id="rId9"/>
      </mc:Fallback>
    </mc:AlternateContent>
    <mc:AlternateContent xmlns:mc="http://schemas.openxmlformats.org/markup-compatibility/2006">
      <mc:Choice Requires="x14">
        <oleObject progId="Equation.3" shapeId="31977" r:id="rId10">
          <objectPr defaultSize="0" autoPict="0" r:id="rId7">
            <anchor moveWithCells="1" sizeWithCells="1">
              <from>
                <xdr:col>12</xdr:col>
                <xdr:colOff>19050</xdr:colOff>
                <xdr:row>70</xdr:row>
                <xdr:rowOff>57150</xdr:rowOff>
              </from>
              <to>
                <xdr:col>14</xdr:col>
                <xdr:colOff>463550</xdr:colOff>
                <xdr:row>72</xdr:row>
                <xdr:rowOff>69850</xdr:rowOff>
              </to>
            </anchor>
          </objectPr>
        </oleObject>
      </mc:Choice>
      <mc:Fallback>
        <oleObject progId="Equation.3" shapeId="31977" r:id="rId10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A343-87EB-43EE-83E0-6390ABA2246A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140F-2867-4415-9E78-67B02D370B3F}">
  <dimension ref="A1:W293"/>
  <sheetViews>
    <sheetView tabSelected="1" zoomScale="136" zoomScaleNormal="136" workbookViewId="0">
      <selection activeCell="J7" sqref="J7"/>
    </sheetView>
  </sheetViews>
  <sheetFormatPr defaultRowHeight="12.5" x14ac:dyDescent="0.25"/>
  <cols>
    <col min="1" max="1" width="3" customWidth="1"/>
    <col min="2" max="2" width="4" customWidth="1"/>
    <col min="3" max="3" width="16.453125" customWidth="1"/>
    <col min="4" max="4" width="6.26953125" customWidth="1"/>
    <col min="5" max="5" width="1.54296875" customWidth="1"/>
    <col min="6" max="6" width="5.26953125" customWidth="1"/>
    <col min="7" max="7" width="2" customWidth="1"/>
    <col min="8" max="8" width="5.7265625" customWidth="1"/>
    <col min="9" max="10" width="4.26953125" customWidth="1"/>
    <col min="11" max="12" width="5.26953125" customWidth="1"/>
    <col min="13" max="13" width="2.1796875" customWidth="1"/>
    <col min="14" max="14" width="4.1796875" customWidth="1"/>
    <col min="15" max="15" width="4.26953125" style="260" customWidth="1"/>
    <col min="16" max="16" width="5" style="260" customWidth="1"/>
    <col min="17" max="17" width="6.54296875" customWidth="1"/>
    <col min="21" max="21" width="4.54296875" customWidth="1"/>
  </cols>
  <sheetData>
    <row r="1" spans="1:23" ht="11.15" customHeight="1" x14ac:dyDescent="0.3">
      <c r="A1" s="478"/>
      <c r="B1" s="478"/>
      <c r="C1" s="478" t="s">
        <v>489</v>
      </c>
      <c r="D1" s="478"/>
      <c r="E1" s="478"/>
      <c r="F1" s="478"/>
      <c r="G1" s="478"/>
      <c r="H1" s="478"/>
      <c r="I1" s="478"/>
      <c r="J1" s="478"/>
      <c r="K1" s="478"/>
      <c r="L1" s="478"/>
    </row>
    <row r="2" spans="1:23" ht="11.15" customHeight="1" x14ac:dyDescent="0.3">
      <c r="A2" s="487"/>
      <c r="B2" s="487"/>
      <c r="N2" s="498" t="s">
        <v>497</v>
      </c>
      <c r="O2" s="498"/>
      <c r="P2" s="128"/>
      <c r="Q2" s="492" t="s">
        <v>90</v>
      </c>
    </row>
    <row r="3" spans="1:23" ht="11.15" customHeight="1" x14ac:dyDescent="0.3">
      <c r="A3" s="302"/>
      <c r="B3" s="275"/>
      <c r="C3" s="303" t="s">
        <v>63</v>
      </c>
      <c r="D3" s="124"/>
      <c r="E3" s="124"/>
      <c r="F3" s="124"/>
      <c r="G3" s="124"/>
      <c r="H3" s="124"/>
      <c r="I3" s="124"/>
      <c r="J3" s="124"/>
      <c r="K3" s="124"/>
      <c r="L3" s="124"/>
      <c r="N3" s="493" t="s">
        <v>496</v>
      </c>
      <c r="O3" s="493"/>
      <c r="P3" s="104"/>
      <c r="Q3" s="492"/>
    </row>
    <row r="4" spans="1:23" ht="11.15" customHeight="1" x14ac:dyDescent="0.3">
      <c r="A4" s="484" t="s">
        <v>0</v>
      </c>
      <c r="B4" s="153"/>
      <c r="C4" s="484" t="s">
        <v>2</v>
      </c>
      <c r="D4" s="477" t="s">
        <v>85</v>
      </c>
      <c r="E4" s="477"/>
      <c r="F4" s="477"/>
      <c r="G4" s="477"/>
      <c r="H4" s="477"/>
      <c r="I4" s="53" t="s">
        <v>70</v>
      </c>
      <c r="J4" s="474" t="s">
        <v>493</v>
      </c>
      <c r="K4" s="474"/>
      <c r="L4" s="474" t="s">
        <v>87</v>
      </c>
      <c r="M4" s="313"/>
      <c r="N4" s="494" t="s">
        <v>494</v>
      </c>
      <c r="O4" s="496" t="s">
        <v>495</v>
      </c>
      <c r="P4" s="501" t="s">
        <v>499</v>
      </c>
      <c r="Q4" s="502"/>
      <c r="R4" s="60"/>
      <c r="S4" s="10"/>
      <c r="T4" s="61"/>
    </row>
    <row r="5" spans="1:23" ht="11.15" customHeight="1" x14ac:dyDescent="0.3">
      <c r="A5" s="484"/>
      <c r="B5" s="153"/>
      <c r="C5" s="484"/>
      <c r="D5" s="289" t="s">
        <v>97</v>
      </c>
      <c r="E5" s="289"/>
      <c r="F5" s="289" t="s">
        <v>98</v>
      </c>
      <c r="G5" s="289"/>
      <c r="H5" s="289" t="s">
        <v>99</v>
      </c>
      <c r="I5" s="129" t="s">
        <v>85</v>
      </c>
      <c r="J5" s="289" t="s">
        <v>100</v>
      </c>
      <c r="K5" s="365" t="s">
        <v>101</v>
      </c>
      <c r="L5" s="474"/>
      <c r="M5" s="313"/>
      <c r="N5" s="495"/>
      <c r="O5" s="497"/>
      <c r="P5" s="428" t="s">
        <v>494</v>
      </c>
      <c r="Q5" s="429" t="s">
        <v>495</v>
      </c>
      <c r="R5" s="29"/>
      <c r="S5" s="29"/>
      <c r="T5" s="31"/>
    </row>
    <row r="6" spans="1:23" ht="11.15" customHeight="1" x14ac:dyDescent="0.25">
      <c r="A6" s="20">
        <v>1</v>
      </c>
      <c r="B6" s="110">
        <v>1</v>
      </c>
      <c r="C6" s="280" t="str">
        <f>DATA!B10</f>
        <v>Affan Bagus Ramadhani</v>
      </c>
      <c r="D6" s="342" t="str">
        <f>'UH1'!L8</f>
        <v>80</v>
      </c>
      <c r="E6" s="40"/>
      <c r="F6" s="287" t="str">
        <f>UHB!L8</f>
        <v>81</v>
      </c>
      <c r="G6" s="287"/>
      <c r="H6" s="367"/>
      <c r="I6" s="120">
        <f>(D6+F6)/2</f>
        <v>80.5</v>
      </c>
      <c r="J6" s="350">
        <v>39.5</v>
      </c>
      <c r="K6" s="350">
        <f>J6+25</f>
        <v>64.5</v>
      </c>
      <c r="L6" s="352">
        <f t="shared" ref="L6:L36" si="0">I6*0.75+K6*0.25</f>
        <v>76.5</v>
      </c>
      <c r="M6" s="313"/>
      <c r="N6" s="430">
        <v>82</v>
      </c>
      <c r="O6" s="431">
        <v>80</v>
      </c>
      <c r="P6" s="435">
        <f>RANK(N6,$N$6:$N$40,0)</f>
        <v>14</v>
      </c>
      <c r="Q6" s="436">
        <f>RANK(O6,$O$6:$O$40,0)</f>
        <v>23</v>
      </c>
      <c r="R6" s="30"/>
      <c r="S6" s="29"/>
      <c r="T6" s="31"/>
    </row>
    <row r="7" spans="1:23" ht="11.15" customHeight="1" x14ac:dyDescent="0.25">
      <c r="A7" s="21">
        <v>2</v>
      </c>
      <c r="B7" s="234">
        <v>2</v>
      </c>
      <c r="C7" s="343" t="str">
        <f>DATA!B11</f>
        <v>Affansa Rayya Assalafi</v>
      </c>
      <c r="D7" s="248" t="str">
        <f>'UH1'!L9</f>
        <v>80</v>
      </c>
      <c r="E7" s="43"/>
      <c r="F7" s="344" t="str">
        <f>UHB!L9</f>
        <v>81</v>
      </c>
      <c r="G7" s="43"/>
      <c r="H7" s="368"/>
      <c r="I7" s="122">
        <f t="shared" ref="I7:I37" si="1">(D7+F7)/2</f>
        <v>80.5</v>
      </c>
      <c r="J7" s="351">
        <v>36.5</v>
      </c>
      <c r="K7" s="351">
        <f t="shared" ref="K7:K37" si="2">J7+25</f>
        <v>61.5</v>
      </c>
      <c r="L7" s="353">
        <f t="shared" si="0"/>
        <v>75.75</v>
      </c>
      <c r="M7" s="313"/>
      <c r="N7" s="290">
        <v>81</v>
      </c>
      <c r="O7" s="432">
        <v>82</v>
      </c>
      <c r="P7" s="437">
        <f t="shared" ref="P7:P37" si="3">RANK(N7,$N$6:$N$40,0)</f>
        <v>18</v>
      </c>
      <c r="Q7" s="438">
        <f t="shared" ref="Q7:Q37" si="4">RANK(O7,$O$6:$O$40,0)</f>
        <v>10</v>
      </c>
      <c r="R7" s="30"/>
      <c r="S7" s="29"/>
      <c r="T7" s="31"/>
    </row>
    <row r="8" spans="1:23" ht="11.15" customHeight="1" x14ac:dyDescent="0.25">
      <c r="A8" s="21">
        <v>3</v>
      </c>
      <c r="B8" s="234">
        <v>3</v>
      </c>
      <c r="C8" s="343" t="str">
        <f>DATA!B12</f>
        <v>Agel Fransiska</v>
      </c>
      <c r="D8" s="248" t="str">
        <f>'UH1'!L10</f>
        <v>81</v>
      </c>
      <c r="E8" s="43"/>
      <c r="F8" s="344" t="str">
        <f>UHB!L10</f>
        <v>81</v>
      </c>
      <c r="G8" s="43"/>
      <c r="H8" s="368"/>
      <c r="I8" s="122">
        <f t="shared" si="1"/>
        <v>81</v>
      </c>
      <c r="J8" s="351">
        <v>38.5</v>
      </c>
      <c r="K8" s="351">
        <f t="shared" si="2"/>
        <v>63.5</v>
      </c>
      <c r="L8" s="353">
        <f t="shared" si="0"/>
        <v>76.625</v>
      </c>
      <c r="M8" s="313"/>
      <c r="N8" s="290">
        <v>82</v>
      </c>
      <c r="O8" s="432">
        <v>80</v>
      </c>
      <c r="P8" s="437">
        <f t="shared" si="3"/>
        <v>14</v>
      </c>
      <c r="Q8" s="438">
        <f t="shared" si="4"/>
        <v>23</v>
      </c>
      <c r="R8" s="30"/>
      <c r="S8" s="29"/>
      <c r="T8" s="31"/>
      <c r="V8" s="414" t="s">
        <v>100</v>
      </c>
      <c r="W8" s="102" t="s">
        <v>488</v>
      </c>
    </row>
    <row r="9" spans="1:23" ht="11.15" customHeight="1" x14ac:dyDescent="0.25">
      <c r="A9" s="21">
        <v>4</v>
      </c>
      <c r="B9" s="234">
        <v>4</v>
      </c>
      <c r="C9" s="343" t="str">
        <f>DATA!B13</f>
        <v>Alfin Putra Firmansyah</v>
      </c>
      <c r="D9" s="248" t="str">
        <f>'UH1'!L11</f>
        <v>82</v>
      </c>
      <c r="E9" s="43"/>
      <c r="F9" s="344" t="str">
        <f>UHB!L11</f>
        <v>80</v>
      </c>
      <c r="G9" s="43"/>
      <c r="H9" s="368"/>
      <c r="I9" s="122">
        <f t="shared" si="1"/>
        <v>81</v>
      </c>
      <c r="J9" s="351">
        <v>27.5</v>
      </c>
      <c r="K9" s="351">
        <f t="shared" si="2"/>
        <v>52.5</v>
      </c>
      <c r="L9" s="353">
        <f t="shared" si="0"/>
        <v>73.875</v>
      </c>
      <c r="M9" s="313"/>
      <c r="N9" s="290">
        <v>80</v>
      </c>
      <c r="O9" s="432">
        <v>81</v>
      </c>
      <c r="P9" s="437">
        <f t="shared" si="3"/>
        <v>22</v>
      </c>
      <c r="Q9" s="438">
        <f t="shared" si="4"/>
        <v>15</v>
      </c>
      <c r="R9" s="30"/>
      <c r="S9" s="128" t="s">
        <v>498</v>
      </c>
      <c r="T9" s="31"/>
      <c r="V9" s="173"/>
      <c r="W9" s="102"/>
    </row>
    <row r="10" spans="1:23" ht="11.15" customHeight="1" x14ac:dyDescent="0.25">
      <c r="A10" s="21">
        <v>5</v>
      </c>
      <c r="B10" s="234">
        <v>5</v>
      </c>
      <c r="C10" s="343" t="str">
        <f>DATA!B14</f>
        <v>Almira Sadia Qonitah</v>
      </c>
      <c r="D10" s="248">
        <f>'UH1'!L12</f>
        <v>80</v>
      </c>
      <c r="E10" s="43"/>
      <c r="F10" s="344" t="str">
        <f>UHB!L12</f>
        <v>81</v>
      </c>
      <c r="G10" s="43"/>
      <c r="H10" s="368"/>
      <c r="I10" s="122">
        <f t="shared" si="1"/>
        <v>80.5</v>
      </c>
      <c r="J10" s="351">
        <v>40.5</v>
      </c>
      <c r="K10" s="351">
        <f t="shared" si="2"/>
        <v>65.5</v>
      </c>
      <c r="L10" s="353">
        <f t="shared" si="0"/>
        <v>76.75</v>
      </c>
      <c r="M10" s="313"/>
      <c r="N10" s="290">
        <v>86</v>
      </c>
      <c r="O10" s="432">
        <v>89</v>
      </c>
      <c r="P10" s="437">
        <f t="shared" si="3"/>
        <v>8</v>
      </c>
      <c r="Q10" s="438">
        <f t="shared" si="4"/>
        <v>2</v>
      </c>
      <c r="R10" s="30"/>
      <c r="S10" s="29"/>
      <c r="T10" s="31"/>
      <c r="V10" s="99">
        <v>70</v>
      </c>
      <c r="W10" s="326"/>
    </row>
    <row r="11" spans="1:23" ht="11.15" customHeight="1" x14ac:dyDescent="0.25">
      <c r="A11" s="21">
        <v>6</v>
      </c>
      <c r="B11" s="234">
        <v>6</v>
      </c>
      <c r="C11" s="343" t="str">
        <f>DATA!B15</f>
        <v>Arif Perdana Putra</v>
      </c>
      <c r="D11" s="248" t="str">
        <f>'UH1'!L13</f>
        <v>80</v>
      </c>
      <c r="E11" s="43"/>
      <c r="F11" s="344" t="str">
        <f>UHB!L13</f>
        <v>80</v>
      </c>
      <c r="G11" s="43"/>
      <c r="H11" s="368"/>
      <c r="I11" s="122">
        <f t="shared" si="1"/>
        <v>80</v>
      </c>
      <c r="J11" s="351">
        <v>28</v>
      </c>
      <c r="K11" s="351">
        <f t="shared" si="2"/>
        <v>53</v>
      </c>
      <c r="L11" s="353">
        <f t="shared" si="0"/>
        <v>73.25</v>
      </c>
      <c r="M11" s="313"/>
      <c r="N11" s="290">
        <v>80</v>
      </c>
      <c r="O11" s="432">
        <v>82</v>
      </c>
      <c r="P11" s="437">
        <f t="shared" si="3"/>
        <v>22</v>
      </c>
      <c r="Q11" s="438">
        <f t="shared" si="4"/>
        <v>10</v>
      </c>
      <c r="R11" s="30"/>
      <c r="S11" s="128" t="s">
        <v>41</v>
      </c>
      <c r="T11" s="31"/>
      <c r="V11" s="99">
        <v>71</v>
      </c>
      <c r="W11" s="326"/>
    </row>
    <row r="12" spans="1:23" ht="11.15" customHeight="1" x14ac:dyDescent="0.25">
      <c r="A12" s="21">
        <v>7</v>
      </c>
      <c r="B12" s="234">
        <v>7</v>
      </c>
      <c r="C12" s="343" t="str">
        <f>DATA!B16</f>
        <v>Asifa Nariyati</v>
      </c>
      <c r="D12" s="248" t="str">
        <f>'UH1'!L14</f>
        <v>80</v>
      </c>
      <c r="E12" s="43"/>
      <c r="F12" s="344" t="str">
        <f>UHB!L14</f>
        <v>81</v>
      </c>
      <c r="G12" s="43"/>
      <c r="H12" s="368"/>
      <c r="I12" s="122">
        <f t="shared" si="1"/>
        <v>80.5</v>
      </c>
      <c r="J12" s="351">
        <v>32.5</v>
      </c>
      <c r="K12" s="351">
        <f t="shared" si="2"/>
        <v>57.5</v>
      </c>
      <c r="L12" s="353">
        <f t="shared" si="0"/>
        <v>74.75</v>
      </c>
      <c r="M12" s="313"/>
      <c r="N12" s="290">
        <v>80</v>
      </c>
      <c r="O12" s="432">
        <v>81</v>
      </c>
      <c r="P12" s="437">
        <f t="shared" si="3"/>
        <v>22</v>
      </c>
      <c r="Q12" s="438">
        <f t="shared" si="4"/>
        <v>15</v>
      </c>
      <c r="R12" s="30"/>
      <c r="S12" s="128"/>
      <c r="T12" s="31"/>
      <c r="V12" s="99">
        <v>72</v>
      </c>
      <c r="W12" s="424"/>
    </row>
    <row r="13" spans="1:23" ht="11.15" customHeight="1" x14ac:dyDescent="0.25">
      <c r="A13" s="21">
        <v>8</v>
      </c>
      <c r="B13" s="234">
        <v>8</v>
      </c>
      <c r="C13" s="343" t="str">
        <f>DATA!B17</f>
        <v>Calvin Mandala Putra</v>
      </c>
      <c r="D13" s="248" t="str">
        <f>'UH1'!L15</f>
        <v>80</v>
      </c>
      <c r="E13" s="43"/>
      <c r="F13" s="344" t="str">
        <f>UHB!L15</f>
        <v>80</v>
      </c>
      <c r="G13" s="43"/>
      <c r="H13" s="368"/>
      <c r="I13" s="122">
        <f t="shared" si="1"/>
        <v>80</v>
      </c>
      <c r="J13" s="351">
        <v>34.5</v>
      </c>
      <c r="K13" s="351">
        <f t="shared" si="2"/>
        <v>59.5</v>
      </c>
      <c r="L13" s="353">
        <f t="shared" si="0"/>
        <v>74.875</v>
      </c>
      <c r="M13" s="313"/>
      <c r="N13" s="290">
        <v>80</v>
      </c>
      <c r="O13" s="432">
        <v>80</v>
      </c>
      <c r="P13" s="437">
        <f t="shared" si="3"/>
        <v>22</v>
      </c>
      <c r="Q13" s="438">
        <f t="shared" si="4"/>
        <v>23</v>
      </c>
      <c r="R13" s="30"/>
      <c r="S13" s="128"/>
      <c r="T13" s="31"/>
      <c r="V13" s="99">
        <v>73</v>
      </c>
      <c r="W13" s="425"/>
    </row>
    <row r="14" spans="1:23" ht="11.15" customHeight="1" x14ac:dyDescent="0.25">
      <c r="A14" s="21">
        <v>9</v>
      </c>
      <c r="B14" s="234">
        <v>9</v>
      </c>
      <c r="C14" s="343" t="str">
        <f>DATA!B18</f>
        <v>Decha Rifqoh Alma Dhini</v>
      </c>
      <c r="D14" s="248" t="str">
        <f>'UH1'!L16</f>
        <v>80</v>
      </c>
      <c r="E14" s="43"/>
      <c r="F14" s="344" t="str">
        <f>UHB!L16</f>
        <v>80</v>
      </c>
      <c r="G14" s="43"/>
      <c r="H14" s="368"/>
      <c r="I14" s="122">
        <f t="shared" si="1"/>
        <v>80</v>
      </c>
      <c r="J14" s="351">
        <v>32.5</v>
      </c>
      <c r="K14" s="351">
        <f t="shared" si="2"/>
        <v>57.5</v>
      </c>
      <c r="L14" s="353">
        <f t="shared" si="0"/>
        <v>74.375</v>
      </c>
      <c r="M14" s="313"/>
      <c r="N14" s="290">
        <v>80</v>
      </c>
      <c r="O14" s="432">
        <v>81</v>
      </c>
      <c r="P14" s="437">
        <f t="shared" si="3"/>
        <v>22</v>
      </c>
      <c r="Q14" s="438">
        <f t="shared" si="4"/>
        <v>15</v>
      </c>
      <c r="R14" s="30"/>
      <c r="S14" s="128"/>
      <c r="T14" s="31"/>
      <c r="V14" s="99">
        <v>74</v>
      </c>
      <c r="W14" s="425"/>
    </row>
    <row r="15" spans="1:23" ht="11.15" customHeight="1" x14ac:dyDescent="0.25">
      <c r="A15" s="21">
        <v>10</v>
      </c>
      <c r="B15" s="234">
        <v>10</v>
      </c>
      <c r="C15" s="343" t="str">
        <f>DATA!B19</f>
        <v>Fathir Hibatullah Harahap</v>
      </c>
      <c r="D15" s="248" t="str">
        <f>'UH1'!L17</f>
        <v>80</v>
      </c>
      <c r="E15" s="43"/>
      <c r="F15" s="344" t="str">
        <f>UHB!L17</f>
        <v>81</v>
      </c>
      <c r="G15" s="43"/>
      <c r="H15" s="368"/>
      <c r="I15" s="122">
        <f t="shared" si="1"/>
        <v>80.5</v>
      </c>
      <c r="J15" s="351">
        <v>42.5</v>
      </c>
      <c r="K15" s="351">
        <f t="shared" si="2"/>
        <v>67.5</v>
      </c>
      <c r="L15" s="353">
        <f t="shared" si="0"/>
        <v>77.25</v>
      </c>
      <c r="M15" s="313"/>
      <c r="N15" s="290">
        <v>82</v>
      </c>
      <c r="O15" s="432">
        <v>81</v>
      </c>
      <c r="P15" s="437">
        <f t="shared" si="3"/>
        <v>14</v>
      </c>
      <c r="Q15" s="438">
        <f t="shared" si="4"/>
        <v>15</v>
      </c>
      <c r="R15" s="30"/>
      <c r="S15" s="128" t="s">
        <v>58</v>
      </c>
      <c r="T15" s="31"/>
      <c r="V15" s="99">
        <v>75</v>
      </c>
      <c r="W15" s="422">
        <v>80</v>
      </c>
    </row>
    <row r="16" spans="1:23" ht="11.15" customHeight="1" x14ac:dyDescent="0.25">
      <c r="A16" s="21">
        <v>11</v>
      </c>
      <c r="B16" s="234">
        <v>11</v>
      </c>
      <c r="C16" s="343" t="str">
        <f>DATA!B20</f>
        <v>Gendhis Putri Ayreanti</v>
      </c>
      <c r="D16" s="248" t="str">
        <f>'UH1'!L18</f>
        <v>81</v>
      </c>
      <c r="E16" s="43"/>
      <c r="F16" s="344" t="str">
        <f>UHB!L18</f>
        <v>82</v>
      </c>
      <c r="G16" s="43"/>
      <c r="H16" s="368"/>
      <c r="I16" s="122">
        <f t="shared" si="1"/>
        <v>81.5</v>
      </c>
      <c r="J16" s="351">
        <v>50</v>
      </c>
      <c r="K16" s="351">
        <f t="shared" si="2"/>
        <v>75</v>
      </c>
      <c r="L16" s="353">
        <f t="shared" si="0"/>
        <v>79.875</v>
      </c>
      <c r="M16" s="313"/>
      <c r="N16" s="290">
        <v>85</v>
      </c>
      <c r="O16" s="432">
        <v>83</v>
      </c>
      <c r="P16" s="437">
        <f t="shared" si="3"/>
        <v>9</v>
      </c>
      <c r="Q16" s="438">
        <f t="shared" si="4"/>
        <v>9</v>
      </c>
      <c r="R16" s="30"/>
      <c r="S16" s="128" t="s">
        <v>68</v>
      </c>
      <c r="T16" s="31"/>
      <c r="V16" s="99">
        <v>76</v>
      </c>
      <c r="W16" s="422">
        <v>81</v>
      </c>
    </row>
    <row r="17" spans="1:23" ht="11.15" customHeight="1" x14ac:dyDescent="0.25">
      <c r="A17" s="21">
        <v>12</v>
      </c>
      <c r="B17" s="234">
        <v>12</v>
      </c>
      <c r="C17" s="343" t="str">
        <f>DATA!B21</f>
        <v>Habibi Lazuardi</v>
      </c>
      <c r="D17" s="248">
        <f>'UH1'!L19</f>
        <v>90</v>
      </c>
      <c r="E17" s="43"/>
      <c r="F17" s="344" t="str">
        <f>UHB!L19</f>
        <v>81</v>
      </c>
      <c r="G17" s="43"/>
      <c r="H17" s="368"/>
      <c r="I17" s="122">
        <f t="shared" si="1"/>
        <v>85.5</v>
      </c>
      <c r="J17" s="351">
        <v>44.5</v>
      </c>
      <c r="K17" s="351">
        <f t="shared" si="2"/>
        <v>69.5</v>
      </c>
      <c r="L17" s="353">
        <f t="shared" si="0"/>
        <v>81.5</v>
      </c>
      <c r="M17" s="313"/>
      <c r="N17" s="290">
        <v>87</v>
      </c>
      <c r="O17" s="432">
        <v>86</v>
      </c>
      <c r="P17" s="437">
        <f t="shared" si="3"/>
        <v>6</v>
      </c>
      <c r="Q17" s="438">
        <f t="shared" si="4"/>
        <v>4</v>
      </c>
      <c r="R17" s="30"/>
      <c r="S17" s="128"/>
      <c r="T17" s="31"/>
      <c r="V17" s="99">
        <v>77</v>
      </c>
      <c r="W17" s="423">
        <v>82</v>
      </c>
    </row>
    <row r="18" spans="1:23" ht="11.15" customHeight="1" x14ac:dyDescent="0.25">
      <c r="A18" s="21">
        <v>13</v>
      </c>
      <c r="B18" s="234">
        <v>13</v>
      </c>
      <c r="C18" s="343" t="str">
        <f>DATA!B22</f>
        <v>Herina Sasha Rasati</v>
      </c>
      <c r="D18" s="248" t="str">
        <f>'UH1'!L20</f>
        <v>80</v>
      </c>
      <c r="E18" s="43"/>
      <c r="F18" s="344" t="str">
        <f>UHB!L20</f>
        <v>81</v>
      </c>
      <c r="G18" s="43"/>
      <c r="H18" s="368"/>
      <c r="I18" s="122">
        <f t="shared" si="1"/>
        <v>80.5</v>
      </c>
      <c r="J18" s="351">
        <v>42.5</v>
      </c>
      <c r="K18" s="351">
        <f t="shared" si="2"/>
        <v>67.5</v>
      </c>
      <c r="L18" s="353">
        <f t="shared" si="0"/>
        <v>77.25</v>
      </c>
      <c r="M18" s="313"/>
      <c r="N18" s="290">
        <v>84</v>
      </c>
      <c r="O18" s="432">
        <v>88</v>
      </c>
      <c r="P18" s="437">
        <f t="shared" si="3"/>
        <v>10</v>
      </c>
      <c r="Q18" s="438">
        <f t="shared" si="4"/>
        <v>3</v>
      </c>
      <c r="R18" s="30"/>
      <c r="S18" s="128"/>
      <c r="T18" s="31"/>
      <c r="V18" s="99">
        <v>78</v>
      </c>
      <c r="W18" s="422">
        <v>83</v>
      </c>
    </row>
    <row r="19" spans="1:23" ht="11.15" customHeight="1" x14ac:dyDescent="0.25">
      <c r="A19" s="21">
        <v>14</v>
      </c>
      <c r="B19" s="234">
        <v>14</v>
      </c>
      <c r="C19" s="343" t="str">
        <f>DATA!B23</f>
        <v>Ivan Adi Saputra</v>
      </c>
      <c r="D19" s="248" t="str">
        <f>'UH1'!L21</f>
        <v>80</v>
      </c>
      <c r="E19" s="43"/>
      <c r="F19" s="344" t="str">
        <f>UHB!L21</f>
        <v>80</v>
      </c>
      <c r="G19" s="43"/>
      <c r="H19" s="368"/>
      <c r="I19" s="122">
        <f t="shared" si="1"/>
        <v>80</v>
      </c>
      <c r="J19" s="351">
        <v>31.5</v>
      </c>
      <c r="K19" s="351">
        <f t="shared" si="2"/>
        <v>56.5</v>
      </c>
      <c r="L19" s="353">
        <f t="shared" si="0"/>
        <v>74.125</v>
      </c>
      <c r="M19" s="313"/>
      <c r="N19" s="290">
        <v>80</v>
      </c>
      <c r="O19" s="432">
        <v>80</v>
      </c>
      <c r="P19" s="437">
        <f t="shared" si="3"/>
        <v>22</v>
      </c>
      <c r="Q19" s="438">
        <f t="shared" si="4"/>
        <v>23</v>
      </c>
      <c r="R19" s="30"/>
      <c r="S19" s="128" t="s">
        <v>42</v>
      </c>
      <c r="T19" s="31"/>
      <c r="V19" s="99">
        <v>79</v>
      </c>
      <c r="W19" s="422">
        <v>84</v>
      </c>
    </row>
    <row r="20" spans="1:23" ht="11.15" customHeight="1" x14ac:dyDescent="0.25">
      <c r="A20" s="21">
        <v>15</v>
      </c>
      <c r="B20" s="234">
        <v>15</v>
      </c>
      <c r="C20" s="343" t="str">
        <f>DATA!B24</f>
        <v>Ivander Veda Ardyanta</v>
      </c>
      <c r="D20" s="248">
        <f>'UH1'!L22</f>
        <v>90</v>
      </c>
      <c r="E20" s="43"/>
      <c r="F20" s="344" t="str">
        <f>UHB!L22</f>
        <v>82</v>
      </c>
      <c r="G20" s="43"/>
      <c r="H20" s="368"/>
      <c r="I20" s="122">
        <f t="shared" si="1"/>
        <v>86</v>
      </c>
      <c r="J20" s="351">
        <v>56</v>
      </c>
      <c r="K20" s="351">
        <f t="shared" si="2"/>
        <v>81</v>
      </c>
      <c r="L20" s="353">
        <f t="shared" si="0"/>
        <v>84.75</v>
      </c>
      <c r="M20" s="313"/>
      <c r="N20" s="290">
        <v>90</v>
      </c>
      <c r="O20" s="432">
        <v>81</v>
      </c>
      <c r="P20" s="437">
        <f t="shared" si="3"/>
        <v>3</v>
      </c>
      <c r="Q20" s="438">
        <f t="shared" si="4"/>
        <v>15</v>
      </c>
      <c r="R20" s="30"/>
      <c r="S20" s="128"/>
      <c r="T20" s="31"/>
      <c r="V20" s="99">
        <v>80</v>
      </c>
      <c r="W20" s="422">
        <v>85</v>
      </c>
    </row>
    <row r="21" spans="1:23" ht="11.15" customHeight="1" x14ac:dyDescent="0.25">
      <c r="A21" s="21">
        <v>16</v>
      </c>
      <c r="B21" s="234">
        <v>16</v>
      </c>
      <c r="C21" s="343" t="str">
        <f>DATA!B25</f>
        <v>Keysa Lutfi Yana Putri</v>
      </c>
      <c r="D21" s="248" t="str">
        <f>'UH1'!L23</f>
        <v>80</v>
      </c>
      <c r="E21" s="43"/>
      <c r="F21" s="344" t="str">
        <f>UHB!L23</f>
        <v>80</v>
      </c>
      <c r="G21" s="43"/>
      <c r="H21" s="368"/>
      <c r="I21" s="122">
        <f t="shared" si="1"/>
        <v>80</v>
      </c>
      <c r="J21" s="351">
        <v>33</v>
      </c>
      <c r="K21" s="351">
        <f t="shared" si="2"/>
        <v>58</v>
      </c>
      <c r="L21" s="353">
        <f t="shared" si="0"/>
        <v>74.5</v>
      </c>
      <c r="M21" s="313"/>
      <c r="N21" s="290">
        <v>80</v>
      </c>
      <c r="O21" s="432">
        <v>81</v>
      </c>
      <c r="P21" s="437">
        <f t="shared" si="3"/>
        <v>22</v>
      </c>
      <c r="Q21" s="438">
        <f t="shared" si="4"/>
        <v>15</v>
      </c>
      <c r="R21" s="30"/>
      <c r="S21" s="128"/>
      <c r="T21" s="31"/>
      <c r="V21" s="99">
        <v>81</v>
      </c>
      <c r="W21" s="422">
        <v>86</v>
      </c>
    </row>
    <row r="22" spans="1:23" ht="11.15" customHeight="1" x14ac:dyDescent="0.25">
      <c r="A22" s="21">
        <v>17</v>
      </c>
      <c r="B22" s="234">
        <v>17</v>
      </c>
      <c r="C22" s="343" t="str">
        <f>DATA!B26</f>
        <v>Khanaya Putri Emeyliana</v>
      </c>
      <c r="D22" s="248" t="str">
        <f>'UH1'!L24</f>
        <v>80</v>
      </c>
      <c r="E22" s="43"/>
      <c r="F22" s="344" t="str">
        <f>UHB!L24</f>
        <v>80</v>
      </c>
      <c r="G22" s="43"/>
      <c r="H22" s="368"/>
      <c r="I22" s="122">
        <f t="shared" si="1"/>
        <v>80</v>
      </c>
      <c r="J22" s="351">
        <v>30</v>
      </c>
      <c r="K22" s="351">
        <f t="shared" si="2"/>
        <v>55</v>
      </c>
      <c r="L22" s="353">
        <f t="shared" si="0"/>
        <v>73.75</v>
      </c>
      <c r="M22" s="313"/>
      <c r="N22" s="290">
        <v>80</v>
      </c>
      <c r="O22" s="432">
        <v>82</v>
      </c>
      <c r="P22" s="437">
        <f t="shared" si="3"/>
        <v>22</v>
      </c>
      <c r="Q22" s="438">
        <f t="shared" si="4"/>
        <v>10</v>
      </c>
      <c r="R22" s="30"/>
      <c r="S22" s="128"/>
      <c r="T22" s="31"/>
      <c r="V22" s="99">
        <v>82</v>
      </c>
      <c r="W22" s="422">
        <v>87</v>
      </c>
    </row>
    <row r="23" spans="1:23" ht="11.15" customHeight="1" x14ac:dyDescent="0.25">
      <c r="A23" s="21">
        <v>18</v>
      </c>
      <c r="B23" s="234">
        <v>18</v>
      </c>
      <c r="C23" s="343" t="str">
        <f>DATA!B27</f>
        <v>Khoirul Rodzikin</v>
      </c>
      <c r="D23" s="248" t="str">
        <f>'UH1'!L25</f>
        <v>80</v>
      </c>
      <c r="E23" s="43"/>
      <c r="F23" s="344" t="str">
        <f>UHB!L25</f>
        <v>80</v>
      </c>
      <c r="G23" s="43"/>
      <c r="H23" s="368"/>
      <c r="I23" s="122">
        <f t="shared" si="1"/>
        <v>80</v>
      </c>
      <c r="J23" s="351">
        <v>33</v>
      </c>
      <c r="K23" s="351">
        <f t="shared" si="2"/>
        <v>58</v>
      </c>
      <c r="L23" s="353">
        <f t="shared" si="0"/>
        <v>74.5</v>
      </c>
      <c r="M23" s="313"/>
      <c r="N23" s="290">
        <v>80</v>
      </c>
      <c r="O23" s="432">
        <v>80</v>
      </c>
      <c r="P23" s="437">
        <f t="shared" si="3"/>
        <v>22</v>
      </c>
      <c r="Q23" s="438">
        <f t="shared" si="4"/>
        <v>23</v>
      </c>
      <c r="R23" s="30"/>
      <c r="S23" s="128"/>
      <c r="T23" s="31"/>
      <c r="V23" s="99">
        <v>83</v>
      </c>
      <c r="W23" s="422">
        <v>88</v>
      </c>
    </row>
    <row r="24" spans="1:23" ht="11.15" customHeight="1" x14ac:dyDescent="0.25">
      <c r="A24" s="21">
        <v>19</v>
      </c>
      <c r="B24" s="234">
        <v>19</v>
      </c>
      <c r="C24" s="343" t="str">
        <f>DATA!B28</f>
        <v>Livia Mozavina</v>
      </c>
      <c r="D24" s="248" t="str">
        <f>'UH1'!L26</f>
        <v>81</v>
      </c>
      <c r="E24" s="43"/>
      <c r="F24" s="344" t="str">
        <f>UHB!L26</f>
        <v>81</v>
      </c>
      <c r="G24" s="43"/>
      <c r="H24" s="368"/>
      <c r="I24" s="122">
        <f t="shared" si="1"/>
        <v>81</v>
      </c>
      <c r="J24" s="351">
        <v>46.5</v>
      </c>
      <c r="K24" s="351">
        <f t="shared" si="2"/>
        <v>71.5</v>
      </c>
      <c r="L24" s="353">
        <f t="shared" si="0"/>
        <v>78.625</v>
      </c>
      <c r="M24" s="313"/>
      <c r="N24" s="290">
        <v>84</v>
      </c>
      <c r="O24" s="432">
        <v>80</v>
      </c>
      <c r="P24" s="437">
        <f t="shared" si="3"/>
        <v>10</v>
      </c>
      <c r="Q24" s="438">
        <f t="shared" si="4"/>
        <v>23</v>
      </c>
      <c r="R24" s="30"/>
      <c r="S24" s="128" t="str">
        <f>DATA!D3</f>
        <v>Dra. BAROKAH GUNIARTI</v>
      </c>
      <c r="T24" s="31"/>
      <c r="V24" s="99">
        <v>84</v>
      </c>
      <c r="W24" s="421">
        <v>89</v>
      </c>
    </row>
    <row r="25" spans="1:23" ht="11.15" customHeight="1" x14ac:dyDescent="0.25">
      <c r="A25" s="185">
        <v>20</v>
      </c>
      <c r="B25" s="234">
        <v>20</v>
      </c>
      <c r="C25" s="343" t="str">
        <f>DATA!B29</f>
        <v>Milatul Ulya Azzahra</v>
      </c>
      <c r="D25" s="248">
        <f>'UH1'!L27</f>
        <v>100</v>
      </c>
      <c r="E25" s="43"/>
      <c r="F25" s="344" t="str">
        <f>UHB!L27</f>
        <v>81</v>
      </c>
      <c r="G25" s="43"/>
      <c r="H25" s="368"/>
      <c r="I25" s="122">
        <f t="shared" si="1"/>
        <v>90.5</v>
      </c>
      <c r="J25" s="351">
        <v>47</v>
      </c>
      <c r="K25" s="351">
        <f t="shared" si="2"/>
        <v>72</v>
      </c>
      <c r="L25" s="353">
        <f t="shared" si="0"/>
        <v>85.875</v>
      </c>
      <c r="M25" s="313"/>
      <c r="N25" s="290">
        <v>91</v>
      </c>
      <c r="O25" s="432">
        <v>85</v>
      </c>
      <c r="P25" s="437">
        <f t="shared" si="3"/>
        <v>2</v>
      </c>
      <c r="Q25" s="438">
        <f t="shared" si="4"/>
        <v>6</v>
      </c>
      <c r="R25" s="30"/>
      <c r="S25" s="128" t="str">
        <f>DATA!D4</f>
        <v>NIP : 196901081996122004</v>
      </c>
      <c r="T25" s="31"/>
      <c r="V25" s="99">
        <v>85</v>
      </c>
      <c r="W25" s="422">
        <v>90</v>
      </c>
    </row>
    <row r="26" spans="1:23" ht="11.15" customHeight="1" x14ac:dyDescent="0.25">
      <c r="A26" s="21">
        <v>21</v>
      </c>
      <c r="B26" s="234">
        <v>21</v>
      </c>
      <c r="C26" s="343" t="str">
        <f>DATA!B30</f>
        <v>Muhammad Arif Pratama</v>
      </c>
      <c r="D26" s="248" t="str">
        <f>'UH1'!L28</f>
        <v>80</v>
      </c>
      <c r="E26" s="43"/>
      <c r="F26" s="344" t="str">
        <f>UHB!L28</f>
        <v>81</v>
      </c>
      <c r="G26" s="43"/>
      <c r="H26" s="368"/>
      <c r="I26" s="122">
        <f t="shared" si="1"/>
        <v>80.5</v>
      </c>
      <c r="J26" s="351">
        <v>38.5</v>
      </c>
      <c r="K26" s="351">
        <f t="shared" si="2"/>
        <v>63.5</v>
      </c>
      <c r="L26" s="353">
        <f t="shared" si="0"/>
        <v>76.25</v>
      </c>
      <c r="M26" s="313"/>
      <c r="N26" s="290">
        <v>81</v>
      </c>
      <c r="O26" s="432">
        <v>80</v>
      </c>
      <c r="P26" s="437">
        <f t="shared" si="3"/>
        <v>18</v>
      </c>
      <c r="Q26" s="438">
        <f t="shared" si="4"/>
        <v>23</v>
      </c>
      <c r="R26" s="30"/>
      <c r="S26" s="29"/>
      <c r="T26" s="31"/>
      <c r="V26" s="99">
        <v>86</v>
      </c>
      <c r="W26" s="421">
        <v>91</v>
      </c>
    </row>
    <row r="27" spans="1:23" ht="11.15" customHeight="1" x14ac:dyDescent="0.25">
      <c r="A27" s="21">
        <v>22</v>
      </c>
      <c r="B27" s="234">
        <v>22</v>
      </c>
      <c r="C27" s="343" t="str">
        <f>DATA!B31</f>
        <v>Muhammad Fahri Khoirudin</v>
      </c>
      <c r="D27" s="248" t="str">
        <f>'UH1'!L29</f>
        <v>82</v>
      </c>
      <c r="E27" s="43"/>
      <c r="F27" s="344" t="str">
        <f>UHB!L29</f>
        <v>81</v>
      </c>
      <c r="G27" s="43"/>
      <c r="H27" s="368"/>
      <c r="I27" s="122">
        <f t="shared" si="1"/>
        <v>81.5</v>
      </c>
      <c r="J27" s="351">
        <v>41</v>
      </c>
      <c r="K27" s="351">
        <f t="shared" si="2"/>
        <v>66</v>
      </c>
      <c r="L27" s="353">
        <f t="shared" si="0"/>
        <v>77.625</v>
      </c>
      <c r="M27" s="313"/>
      <c r="N27" s="290">
        <v>83</v>
      </c>
      <c r="O27" s="432">
        <v>84</v>
      </c>
      <c r="P27" s="437">
        <f t="shared" si="3"/>
        <v>13</v>
      </c>
      <c r="Q27" s="438">
        <f t="shared" si="4"/>
        <v>7</v>
      </c>
      <c r="R27" s="30"/>
      <c r="S27" s="29"/>
      <c r="T27" s="31"/>
      <c r="V27" s="99">
        <v>87</v>
      </c>
      <c r="W27" s="421">
        <v>92</v>
      </c>
    </row>
    <row r="28" spans="1:23" ht="11.15" customHeight="1" x14ac:dyDescent="0.25">
      <c r="A28" s="21">
        <v>23</v>
      </c>
      <c r="B28" s="234">
        <v>23</v>
      </c>
      <c r="C28" s="343" t="str">
        <f>DATA!B32</f>
        <v>Muhammad Rakha Razansyah</v>
      </c>
      <c r="D28" s="248">
        <f>'UH1'!L30</f>
        <v>100</v>
      </c>
      <c r="E28" s="43"/>
      <c r="F28" s="344" t="str">
        <f>UHB!L30</f>
        <v>82</v>
      </c>
      <c r="G28" s="43"/>
      <c r="H28" s="368"/>
      <c r="I28" s="122">
        <f t="shared" si="1"/>
        <v>91</v>
      </c>
      <c r="J28" s="351">
        <v>47</v>
      </c>
      <c r="K28" s="351">
        <f t="shared" si="2"/>
        <v>72</v>
      </c>
      <c r="L28" s="353">
        <f t="shared" si="0"/>
        <v>86.25</v>
      </c>
      <c r="M28" s="313"/>
      <c r="N28" s="290">
        <v>90</v>
      </c>
      <c r="O28" s="432">
        <v>84</v>
      </c>
      <c r="P28" s="437">
        <f t="shared" si="3"/>
        <v>3</v>
      </c>
      <c r="Q28" s="438">
        <f t="shared" si="4"/>
        <v>7</v>
      </c>
      <c r="R28" s="30"/>
      <c r="S28" s="29"/>
      <c r="T28" s="31"/>
      <c r="V28" s="99">
        <v>88</v>
      </c>
      <c r="W28" s="421">
        <v>93</v>
      </c>
    </row>
    <row r="29" spans="1:23" ht="11.15" customHeight="1" x14ac:dyDescent="0.25">
      <c r="A29" s="21">
        <v>24</v>
      </c>
      <c r="B29" s="234">
        <v>24</v>
      </c>
      <c r="C29" s="343" t="str">
        <f>DATA!B33</f>
        <v>Mutiara Dewi Khusna</v>
      </c>
      <c r="D29" s="248" t="str">
        <f>'UH1'!L31</f>
        <v>82</v>
      </c>
      <c r="E29" s="43"/>
      <c r="F29" s="344" t="str">
        <f>UHB!L31</f>
        <v>80</v>
      </c>
      <c r="G29" s="43"/>
      <c r="H29" s="368"/>
      <c r="I29" s="122">
        <f t="shared" si="1"/>
        <v>81</v>
      </c>
      <c r="J29" s="351">
        <v>32</v>
      </c>
      <c r="K29" s="351">
        <f t="shared" si="2"/>
        <v>57</v>
      </c>
      <c r="L29" s="353">
        <f t="shared" si="0"/>
        <v>75</v>
      </c>
      <c r="M29" s="313"/>
      <c r="N29" s="290">
        <v>80</v>
      </c>
      <c r="O29" s="432">
        <v>80</v>
      </c>
      <c r="P29" s="437">
        <f t="shared" si="3"/>
        <v>22</v>
      </c>
      <c r="Q29" s="438">
        <f t="shared" si="4"/>
        <v>23</v>
      </c>
      <c r="R29" s="30"/>
      <c r="S29" s="29"/>
      <c r="T29" s="31"/>
      <c r="V29" s="99">
        <v>89</v>
      </c>
      <c r="W29" s="421">
        <v>94</v>
      </c>
    </row>
    <row r="30" spans="1:23" ht="11.15" customHeight="1" x14ac:dyDescent="0.25">
      <c r="A30" s="21">
        <v>25</v>
      </c>
      <c r="B30" s="234">
        <v>25</v>
      </c>
      <c r="C30" s="343" t="str">
        <f>DATA!B34</f>
        <v>Qeysya Nabila Maharani</v>
      </c>
      <c r="D30" s="248" t="str">
        <f>'UH1'!L32</f>
        <v>83</v>
      </c>
      <c r="E30" s="43"/>
      <c r="F30" s="344" t="str">
        <f>UHB!L32</f>
        <v>81</v>
      </c>
      <c r="G30" s="43"/>
      <c r="H30" s="368"/>
      <c r="I30" s="122">
        <f t="shared" si="1"/>
        <v>82</v>
      </c>
      <c r="J30" s="351">
        <v>38.5</v>
      </c>
      <c r="K30" s="351">
        <f t="shared" si="2"/>
        <v>63.5</v>
      </c>
      <c r="L30" s="353">
        <f t="shared" si="0"/>
        <v>77.375</v>
      </c>
      <c r="M30" s="313"/>
      <c r="N30" s="290">
        <v>82</v>
      </c>
      <c r="O30" s="432">
        <v>82</v>
      </c>
      <c r="P30" s="437">
        <f t="shared" si="3"/>
        <v>14</v>
      </c>
      <c r="Q30" s="438">
        <f t="shared" si="4"/>
        <v>10</v>
      </c>
      <c r="R30" s="30"/>
      <c r="S30" s="29"/>
      <c r="T30" s="31"/>
      <c r="V30" s="99">
        <v>90</v>
      </c>
      <c r="W30" s="421">
        <v>95</v>
      </c>
    </row>
    <row r="31" spans="1:23" ht="11.15" customHeight="1" x14ac:dyDescent="0.25">
      <c r="A31" s="21">
        <v>26</v>
      </c>
      <c r="B31" s="234">
        <v>26</v>
      </c>
      <c r="C31" s="343" t="str">
        <f>DATA!B35</f>
        <v>Raihan Akbar Ramadhan</v>
      </c>
      <c r="D31" s="248" t="str">
        <f>'UH1'!L33</f>
        <v>80</v>
      </c>
      <c r="E31" s="43"/>
      <c r="F31" s="344" t="str">
        <f>UHB!L33</f>
        <v>82</v>
      </c>
      <c r="G31" s="43"/>
      <c r="H31" s="368"/>
      <c r="I31" s="122">
        <f t="shared" si="1"/>
        <v>81</v>
      </c>
      <c r="J31" s="351">
        <v>49.5</v>
      </c>
      <c r="K31" s="351">
        <f t="shared" si="2"/>
        <v>74.5</v>
      </c>
      <c r="L31" s="353">
        <f t="shared" si="0"/>
        <v>79.375</v>
      </c>
      <c r="M31" s="313"/>
      <c r="N31" s="290">
        <v>84</v>
      </c>
      <c r="O31" s="432">
        <v>80</v>
      </c>
      <c r="P31" s="437">
        <f t="shared" si="3"/>
        <v>10</v>
      </c>
      <c r="Q31" s="438">
        <f t="shared" si="4"/>
        <v>23</v>
      </c>
      <c r="R31" s="30"/>
      <c r="S31" s="29"/>
      <c r="T31" s="31"/>
    </row>
    <row r="32" spans="1:23" ht="11.15" customHeight="1" x14ac:dyDescent="0.25">
      <c r="A32" s="21">
        <v>27</v>
      </c>
      <c r="B32" s="234">
        <v>27</v>
      </c>
      <c r="C32" s="343" t="str">
        <f>DATA!B36</f>
        <v>Ramadhani</v>
      </c>
      <c r="D32" s="248" t="str">
        <f>'UH1'!L34</f>
        <v>80</v>
      </c>
      <c r="E32" s="43"/>
      <c r="F32" s="344" t="str">
        <f>UHB!L34</f>
        <v>81</v>
      </c>
      <c r="G32" s="43"/>
      <c r="H32" s="368"/>
      <c r="I32" s="122">
        <f t="shared" si="1"/>
        <v>80.5</v>
      </c>
      <c r="J32" s="351">
        <v>37.5</v>
      </c>
      <c r="K32" s="351">
        <f t="shared" si="2"/>
        <v>62.5</v>
      </c>
      <c r="L32" s="353">
        <f t="shared" si="0"/>
        <v>76</v>
      </c>
      <c r="M32" s="313"/>
      <c r="N32" s="290">
        <v>81</v>
      </c>
      <c r="O32" s="432">
        <v>81</v>
      </c>
      <c r="P32" s="437">
        <f t="shared" si="3"/>
        <v>18</v>
      </c>
      <c r="Q32" s="438">
        <f t="shared" si="4"/>
        <v>15</v>
      </c>
      <c r="R32" s="30"/>
      <c r="S32" s="29"/>
      <c r="T32" s="31"/>
    </row>
    <row r="33" spans="1:20" ht="11.15" customHeight="1" x14ac:dyDescent="0.25">
      <c r="A33" s="21">
        <v>28</v>
      </c>
      <c r="B33" s="234">
        <v>28</v>
      </c>
      <c r="C33" s="343" t="str">
        <f>DATA!B37</f>
        <v>Rangga Putra Raditya</v>
      </c>
      <c r="D33" s="248" t="str">
        <f>'UH1'!L35</f>
        <v>80</v>
      </c>
      <c r="E33" s="43"/>
      <c r="F33" s="344" t="str">
        <f>UHB!L35</f>
        <v>80</v>
      </c>
      <c r="G33" s="43"/>
      <c r="H33" s="368"/>
      <c r="I33" s="122">
        <f t="shared" si="1"/>
        <v>80</v>
      </c>
      <c r="J33" s="351">
        <v>25.5</v>
      </c>
      <c r="K33" s="351">
        <f t="shared" si="2"/>
        <v>50.5</v>
      </c>
      <c r="L33" s="353">
        <f t="shared" si="0"/>
        <v>72.625</v>
      </c>
      <c r="M33" s="313"/>
      <c r="N33" s="290">
        <v>80</v>
      </c>
      <c r="O33" s="432">
        <v>81</v>
      </c>
      <c r="P33" s="437">
        <f t="shared" si="3"/>
        <v>22</v>
      </c>
      <c r="Q33" s="438">
        <f t="shared" si="4"/>
        <v>15</v>
      </c>
      <c r="R33" s="30"/>
      <c r="S33" s="29"/>
      <c r="T33" s="31"/>
    </row>
    <row r="34" spans="1:20" ht="11.15" customHeight="1" x14ac:dyDescent="0.25">
      <c r="A34" s="21">
        <v>29</v>
      </c>
      <c r="B34" s="234">
        <v>29</v>
      </c>
      <c r="C34" s="343" t="str">
        <f>DATA!B38</f>
        <v>Safa Nasila Anajwa</v>
      </c>
      <c r="D34" s="248">
        <f>'UH1'!L36</f>
        <v>100</v>
      </c>
      <c r="E34" s="43"/>
      <c r="F34" s="344" t="str">
        <f>UHB!L36</f>
        <v>81</v>
      </c>
      <c r="G34" s="43"/>
      <c r="H34" s="368"/>
      <c r="I34" s="122">
        <f t="shared" si="1"/>
        <v>90.5</v>
      </c>
      <c r="J34" s="351">
        <v>40.5</v>
      </c>
      <c r="K34" s="351">
        <f t="shared" si="2"/>
        <v>65.5</v>
      </c>
      <c r="L34" s="353">
        <f t="shared" si="0"/>
        <v>84.25</v>
      </c>
      <c r="M34" s="313"/>
      <c r="N34" s="290">
        <v>89</v>
      </c>
      <c r="O34" s="432">
        <v>82</v>
      </c>
      <c r="P34" s="437">
        <f t="shared" si="3"/>
        <v>5</v>
      </c>
      <c r="Q34" s="438">
        <f t="shared" si="4"/>
        <v>10</v>
      </c>
      <c r="R34" s="30"/>
      <c r="S34" s="29"/>
      <c r="T34" s="31"/>
    </row>
    <row r="35" spans="1:20" ht="11.15" customHeight="1" x14ac:dyDescent="0.25">
      <c r="A35" s="21">
        <v>30</v>
      </c>
      <c r="B35" s="234">
        <v>30</v>
      </c>
      <c r="C35" s="343" t="str">
        <f>DATA!B39</f>
        <v>Sila Ayu Kurnia</v>
      </c>
      <c r="D35" s="248">
        <f>'UH1'!L37</f>
        <v>90</v>
      </c>
      <c r="E35" s="43"/>
      <c r="F35" s="344" t="str">
        <f>UHB!L37</f>
        <v>81</v>
      </c>
      <c r="G35" s="43"/>
      <c r="H35" s="368"/>
      <c r="I35" s="122">
        <f t="shared" si="1"/>
        <v>85.5</v>
      </c>
      <c r="J35" s="351">
        <v>44.5</v>
      </c>
      <c r="K35" s="351">
        <f t="shared" si="2"/>
        <v>69.5</v>
      </c>
      <c r="L35" s="353">
        <f t="shared" si="0"/>
        <v>81.5</v>
      </c>
      <c r="M35" s="313"/>
      <c r="N35" s="290">
        <v>87</v>
      </c>
      <c r="O35" s="432">
        <v>86</v>
      </c>
      <c r="P35" s="437">
        <f t="shared" si="3"/>
        <v>6</v>
      </c>
      <c r="Q35" s="438">
        <f t="shared" si="4"/>
        <v>4</v>
      </c>
      <c r="R35" s="30"/>
      <c r="S35" s="29"/>
      <c r="T35" s="31"/>
    </row>
    <row r="36" spans="1:20" ht="11.15" customHeight="1" x14ac:dyDescent="0.25">
      <c r="A36" s="21">
        <v>31</v>
      </c>
      <c r="B36" s="234">
        <v>31</v>
      </c>
      <c r="C36" s="343" t="str">
        <f>DATA!B40</f>
        <v>Sindhi Nandha Lusia</v>
      </c>
      <c r="D36" s="248" t="str">
        <f>'UH1'!L38</f>
        <v>80</v>
      </c>
      <c r="E36" s="43"/>
      <c r="F36" s="344" t="str">
        <f>UHB!L38</f>
        <v>81</v>
      </c>
      <c r="G36" s="43"/>
      <c r="H36" s="368"/>
      <c r="I36" s="122">
        <f t="shared" si="1"/>
        <v>80.5</v>
      </c>
      <c r="J36" s="351">
        <v>39</v>
      </c>
      <c r="K36" s="351">
        <f t="shared" si="2"/>
        <v>64</v>
      </c>
      <c r="L36" s="353">
        <f t="shared" si="0"/>
        <v>76.375</v>
      </c>
      <c r="M36" s="313"/>
      <c r="N36" s="290">
        <v>81</v>
      </c>
      <c r="O36" s="432">
        <v>80</v>
      </c>
      <c r="P36" s="437">
        <f t="shared" si="3"/>
        <v>18</v>
      </c>
      <c r="Q36" s="438">
        <f t="shared" si="4"/>
        <v>23</v>
      </c>
      <c r="R36" s="30"/>
      <c r="S36" s="29"/>
      <c r="T36" s="31"/>
    </row>
    <row r="37" spans="1:20" ht="11.15" customHeight="1" x14ac:dyDescent="0.25">
      <c r="A37" s="21">
        <v>32</v>
      </c>
      <c r="B37" s="234">
        <v>32</v>
      </c>
      <c r="C37" s="343" t="str">
        <f>DATA!B41</f>
        <v>Siti Alfiani</v>
      </c>
      <c r="D37" s="248">
        <v>90</v>
      </c>
      <c r="E37" s="43"/>
      <c r="F37" s="344">
        <v>90</v>
      </c>
      <c r="G37" s="43"/>
      <c r="H37" s="368"/>
      <c r="I37" s="122">
        <f t="shared" si="1"/>
        <v>90</v>
      </c>
      <c r="J37" s="351">
        <v>43.5</v>
      </c>
      <c r="K37" s="351">
        <f t="shared" si="2"/>
        <v>68.5</v>
      </c>
      <c r="L37" s="353">
        <f>I37*0.75+K37*0.25</f>
        <v>84.625</v>
      </c>
      <c r="M37" s="313"/>
      <c r="N37" s="290">
        <v>92</v>
      </c>
      <c r="O37" s="432">
        <v>95</v>
      </c>
      <c r="P37" s="437">
        <f t="shared" si="3"/>
        <v>1</v>
      </c>
      <c r="Q37" s="438">
        <f t="shared" si="4"/>
        <v>1</v>
      </c>
      <c r="R37" s="30"/>
      <c r="S37" s="29"/>
      <c r="T37" s="31"/>
    </row>
    <row r="38" spans="1:20" ht="11.15" customHeight="1" x14ac:dyDescent="0.25">
      <c r="A38" s="21">
        <v>33</v>
      </c>
      <c r="B38" s="133"/>
      <c r="C38" s="288"/>
      <c r="D38" s="42"/>
      <c r="E38" s="43"/>
      <c r="F38" s="344"/>
      <c r="G38" s="43"/>
      <c r="H38" s="44"/>
      <c r="I38" s="122"/>
      <c r="J38" s="133"/>
      <c r="K38" s="133"/>
      <c r="L38" s="298"/>
      <c r="M38" s="313"/>
      <c r="N38" s="433"/>
      <c r="O38" s="44"/>
      <c r="P38" s="437"/>
      <c r="Q38" s="439"/>
      <c r="R38" s="30"/>
      <c r="S38" s="29"/>
      <c r="T38" s="31"/>
    </row>
    <row r="39" spans="1:20" ht="11.15" customHeight="1" x14ac:dyDescent="0.25">
      <c r="A39" s="21">
        <v>34</v>
      </c>
      <c r="B39" s="133"/>
      <c r="C39" s="288"/>
      <c r="D39" s="42"/>
      <c r="E39" s="43"/>
      <c r="F39" s="344"/>
      <c r="G39" s="43"/>
      <c r="H39" s="44"/>
      <c r="I39" s="122"/>
      <c r="J39" s="133"/>
      <c r="K39" s="133"/>
      <c r="L39" s="298"/>
      <c r="M39" s="313"/>
      <c r="N39" s="433"/>
      <c r="O39" s="44"/>
      <c r="P39" s="437"/>
      <c r="Q39" s="439"/>
      <c r="R39" s="30"/>
      <c r="S39" s="29"/>
      <c r="T39" s="31"/>
    </row>
    <row r="40" spans="1:20" ht="11.15" customHeight="1" x14ac:dyDescent="0.25">
      <c r="A40" s="21">
        <v>35</v>
      </c>
      <c r="B40" s="133"/>
      <c r="C40" s="171"/>
      <c r="D40" s="136"/>
      <c r="E40" s="137"/>
      <c r="F40" s="137"/>
      <c r="G40" s="137"/>
      <c r="H40" s="138"/>
      <c r="I40" s="390"/>
      <c r="J40" s="285"/>
      <c r="K40" s="285"/>
      <c r="L40" s="299"/>
      <c r="M40" s="313"/>
      <c r="N40" s="434"/>
      <c r="O40" s="138"/>
      <c r="P40" s="441"/>
      <c r="Q40" s="440"/>
      <c r="R40" s="8"/>
      <c r="S40" s="124"/>
      <c r="T40" s="9"/>
    </row>
    <row r="41" spans="1:20" ht="11.15" customHeight="1" x14ac:dyDescent="0.25">
      <c r="A41" s="488"/>
      <c r="B41" s="489"/>
      <c r="C41" s="106"/>
      <c r="D41" s="308"/>
      <c r="E41" s="308"/>
      <c r="F41" s="308"/>
      <c r="G41" s="308"/>
      <c r="H41" s="308"/>
      <c r="I41" s="309"/>
      <c r="J41" s="309"/>
      <c r="K41" s="310"/>
      <c r="L41" s="311"/>
      <c r="M41" s="313"/>
      <c r="N41" s="313"/>
    </row>
    <row r="42" spans="1:20" ht="11.15" customHeight="1" x14ac:dyDescent="0.3">
      <c r="A42" s="490"/>
      <c r="B42" s="491"/>
      <c r="C42" s="306" t="s">
        <v>71</v>
      </c>
      <c r="D42" s="307"/>
      <c r="E42" s="150"/>
      <c r="F42" s="307"/>
      <c r="G42" s="150"/>
      <c r="H42" s="307"/>
      <c r="I42" s="307"/>
      <c r="J42" s="403">
        <f>COUNTIF(J6:J40,"&gt;=79,5")</f>
        <v>0</v>
      </c>
      <c r="K42" s="307">
        <f>COUNTIF(K6:K40,"&gt;=79,5")</f>
        <v>1</v>
      </c>
      <c r="L42" s="356">
        <f>COUNTIF(L6:L40,"&gt;=79,5")</f>
        <v>8</v>
      </c>
      <c r="M42" s="313"/>
      <c r="N42" s="449">
        <f>COUNTIF(N6:N40,"&gt;=79,5")</f>
        <v>32</v>
      </c>
      <c r="O42" s="449">
        <f>COUNTIF(O6:O40,"&gt;=79,5")</f>
        <v>32</v>
      </c>
      <c r="P42" s="125"/>
    </row>
    <row r="43" spans="1:20" ht="11.15" customHeight="1" x14ac:dyDescent="0.3">
      <c r="A43" s="482"/>
      <c r="B43" s="483"/>
      <c r="C43" s="273" t="s">
        <v>72</v>
      </c>
      <c r="D43" s="304"/>
      <c r="E43" s="42"/>
      <c r="F43" s="304"/>
      <c r="G43" s="42"/>
      <c r="H43" s="304"/>
      <c r="I43" s="304"/>
      <c r="J43" s="404">
        <f>COUNTIF(J6:J40,"&lt;79,5")</f>
        <v>32</v>
      </c>
      <c r="K43" s="304">
        <f>COUNTIF(K6:K40,"&lt;79,5")</f>
        <v>31</v>
      </c>
      <c r="L43" s="357">
        <f>COUNTIF(L6:L40,"&lt;79,5")</f>
        <v>24</v>
      </c>
      <c r="M43" s="313"/>
      <c r="N43" s="404">
        <f>COUNTIF(N6:N40,"&lt;79,5")</f>
        <v>0</v>
      </c>
      <c r="O43" s="404">
        <f>COUNTIF(O6:O40,"&lt;79,5")</f>
        <v>0</v>
      </c>
      <c r="P43" s="125"/>
    </row>
    <row r="44" spans="1:20" ht="11.15" customHeight="1" x14ac:dyDescent="0.3">
      <c r="A44" s="482"/>
      <c r="B44" s="483"/>
      <c r="C44" s="273" t="s">
        <v>73</v>
      </c>
      <c r="D44" s="304"/>
      <c r="E44" s="42"/>
      <c r="F44" s="304"/>
      <c r="G44" s="42"/>
      <c r="H44" s="304"/>
      <c r="I44" s="304"/>
      <c r="J44" s="405">
        <f>MIN(J6:J40)</f>
        <v>25.5</v>
      </c>
      <c r="K44" s="304">
        <f>MIN(K6:K40)</f>
        <v>50.5</v>
      </c>
      <c r="L44" s="358">
        <f>MIN(L6:L40)</f>
        <v>72.625</v>
      </c>
      <c r="M44" s="313"/>
      <c r="N44" s="405">
        <f>MIN(N6:N40)</f>
        <v>80</v>
      </c>
      <c r="O44" s="405">
        <f>MIN(O6:O40)</f>
        <v>80</v>
      </c>
      <c r="P44" s="427"/>
    </row>
    <row r="45" spans="1:20" ht="11.15" customHeight="1" x14ac:dyDescent="0.3">
      <c r="A45" s="482"/>
      <c r="B45" s="483"/>
      <c r="C45" s="273" t="s">
        <v>74</v>
      </c>
      <c r="D45" s="304"/>
      <c r="E45" s="42" t="s">
        <v>63</v>
      </c>
      <c r="F45" s="304"/>
      <c r="G45" s="42"/>
      <c r="H45" s="304"/>
      <c r="I45" s="304"/>
      <c r="J45" s="405">
        <f>MAX(J6:J40)</f>
        <v>56</v>
      </c>
      <c r="K45" s="304">
        <f>MAX(K6:K40)</f>
        <v>81</v>
      </c>
      <c r="L45" s="358">
        <f>MAX(L6:L40)</f>
        <v>86.25</v>
      </c>
      <c r="M45" s="313"/>
      <c r="N45" s="405">
        <f>MAX(N6:N40)</f>
        <v>92</v>
      </c>
      <c r="O45" s="405">
        <f>MAX(O6:O40)</f>
        <v>95</v>
      </c>
      <c r="P45" s="427"/>
    </row>
    <row r="46" spans="1:20" ht="11.15" customHeight="1" x14ac:dyDescent="0.3">
      <c r="A46" s="475"/>
      <c r="B46" s="476"/>
      <c r="C46" s="274" t="s">
        <v>75</v>
      </c>
      <c r="D46" s="305"/>
      <c r="E46" s="136"/>
      <c r="F46" s="305"/>
      <c r="G46" s="136"/>
      <c r="H46" s="305"/>
      <c r="I46" s="305"/>
      <c r="J46" s="406">
        <f>AVERAGE(J6:J40)</f>
        <v>38.859375</v>
      </c>
      <c r="K46" s="305">
        <f>AVERAGE(K6:K40)</f>
        <v>63.859375</v>
      </c>
      <c r="L46" s="359">
        <f>AVERAGE(L6:L40)</f>
        <v>77.6875</v>
      </c>
      <c r="M46" s="313"/>
      <c r="N46" s="406">
        <f>AVERAGE(N6:N40)</f>
        <v>83.25</v>
      </c>
      <c r="O46" s="406">
        <f>AVERAGE(O6:O40)</f>
        <v>82.4375</v>
      </c>
      <c r="P46" s="427"/>
    </row>
    <row r="47" spans="1:20" ht="11.15" customHeight="1" x14ac:dyDescent="0.25">
      <c r="A47" s="481"/>
      <c r="B47" s="481"/>
      <c r="D47" s="277"/>
      <c r="E47" s="277"/>
      <c r="F47" s="277"/>
      <c r="G47" s="277"/>
      <c r="H47" s="277"/>
      <c r="K47" s="282"/>
      <c r="L47" s="301"/>
      <c r="M47" s="313"/>
      <c r="N47" s="313"/>
    </row>
    <row r="48" spans="1:20" ht="11.15" customHeight="1" x14ac:dyDescent="0.25">
      <c r="A48" s="128"/>
      <c r="B48" s="128"/>
      <c r="D48" s="277"/>
      <c r="E48" s="277"/>
      <c r="F48" s="277"/>
      <c r="G48" s="277"/>
      <c r="H48" s="277"/>
      <c r="K48" s="282"/>
      <c r="L48" s="301"/>
      <c r="M48" s="313"/>
      <c r="N48" s="313"/>
    </row>
    <row r="49" spans="1:23" ht="11.15" customHeight="1" x14ac:dyDescent="0.25">
      <c r="A49" s="128"/>
      <c r="B49" s="128"/>
      <c r="D49" s="277"/>
      <c r="E49" s="277"/>
      <c r="F49" s="277"/>
      <c r="G49" s="277"/>
      <c r="H49" s="277"/>
      <c r="K49" s="282"/>
      <c r="L49" s="301"/>
      <c r="M49" s="313"/>
      <c r="N49" s="313"/>
    </row>
    <row r="50" spans="1:23" ht="11.15" customHeight="1" x14ac:dyDescent="0.3">
      <c r="A50" s="478"/>
      <c r="B50" s="478"/>
      <c r="C50" s="478" t="str">
        <f>C1</f>
        <v>DAFTAR  NILAI MATEMATIKA SMT 1 TP 2025/2026</v>
      </c>
      <c r="D50" s="478"/>
      <c r="E50" s="478"/>
      <c r="F50" s="478"/>
      <c r="G50" s="478"/>
      <c r="H50" s="478"/>
      <c r="I50" s="478"/>
      <c r="J50" s="478"/>
      <c r="K50" s="478"/>
      <c r="L50" s="478"/>
      <c r="M50" s="313"/>
      <c r="N50" s="313"/>
    </row>
    <row r="51" spans="1:23" ht="11.15" customHeight="1" x14ac:dyDescent="0.3">
      <c r="A51" s="487"/>
      <c r="B51" s="487"/>
      <c r="D51" s="277"/>
      <c r="E51" s="277"/>
      <c r="F51" s="277"/>
      <c r="G51" s="277"/>
      <c r="H51" s="277"/>
      <c r="K51" s="282"/>
      <c r="L51" s="301"/>
      <c r="M51" s="313"/>
      <c r="N51" s="498" t="s">
        <v>497</v>
      </c>
      <c r="O51" s="498"/>
      <c r="P51" s="128"/>
      <c r="Q51" s="492" t="s">
        <v>91</v>
      </c>
    </row>
    <row r="52" spans="1:23" ht="11.15" customHeight="1" x14ac:dyDescent="0.3">
      <c r="A52" s="302"/>
      <c r="B52" s="275"/>
      <c r="C52" s="303" t="s">
        <v>63</v>
      </c>
      <c r="D52" s="124"/>
      <c r="E52" s="124"/>
      <c r="F52" s="124"/>
      <c r="G52" s="124"/>
      <c r="H52" s="124"/>
      <c r="I52" s="124"/>
      <c r="J52" s="124"/>
      <c r="K52" s="124"/>
      <c r="L52" s="124"/>
      <c r="M52" s="313"/>
      <c r="N52" s="493" t="s">
        <v>496</v>
      </c>
      <c r="O52" s="493"/>
      <c r="P52" s="104"/>
      <c r="Q52" s="492"/>
    </row>
    <row r="53" spans="1:23" ht="11.15" customHeight="1" x14ac:dyDescent="0.3">
      <c r="A53" s="484" t="s">
        <v>0</v>
      </c>
      <c r="B53" s="153"/>
      <c r="C53" s="484" t="s">
        <v>2</v>
      </c>
      <c r="D53" s="477" t="s">
        <v>85</v>
      </c>
      <c r="E53" s="477"/>
      <c r="F53" s="477"/>
      <c r="G53" s="477"/>
      <c r="H53" s="477"/>
      <c r="I53" s="53" t="s">
        <v>70</v>
      </c>
      <c r="J53" s="474" t="s">
        <v>296</v>
      </c>
      <c r="K53" s="474"/>
      <c r="L53" s="474" t="s">
        <v>87</v>
      </c>
      <c r="M53" s="313"/>
      <c r="N53" s="494" t="s">
        <v>494</v>
      </c>
      <c r="O53" s="496" t="s">
        <v>495</v>
      </c>
      <c r="P53" s="501" t="s">
        <v>499</v>
      </c>
      <c r="Q53" s="502"/>
      <c r="R53" s="60"/>
      <c r="S53" s="10"/>
      <c r="T53" s="61"/>
    </row>
    <row r="54" spans="1:23" ht="11.15" customHeight="1" x14ac:dyDescent="0.3">
      <c r="A54" s="484"/>
      <c r="B54" s="153"/>
      <c r="C54" s="484"/>
      <c r="D54" s="289" t="s">
        <v>97</v>
      </c>
      <c r="E54" s="289"/>
      <c r="F54" s="289" t="s">
        <v>98</v>
      </c>
      <c r="G54" s="289"/>
      <c r="H54" s="289" t="s">
        <v>99</v>
      </c>
      <c r="I54" s="129" t="s">
        <v>85</v>
      </c>
      <c r="J54" s="289" t="s">
        <v>100</v>
      </c>
      <c r="K54" s="365" t="s">
        <v>101</v>
      </c>
      <c r="L54" s="474"/>
      <c r="M54" s="313"/>
      <c r="N54" s="495"/>
      <c r="O54" s="497"/>
      <c r="P54" s="428" t="s">
        <v>494</v>
      </c>
      <c r="Q54" s="429" t="s">
        <v>495</v>
      </c>
      <c r="R54" s="29"/>
      <c r="S54" s="29"/>
      <c r="T54" s="31"/>
    </row>
    <row r="55" spans="1:23" ht="11.15" customHeight="1" x14ac:dyDescent="0.25">
      <c r="A55" s="20">
        <v>1</v>
      </c>
      <c r="B55" s="235"/>
      <c r="C55" s="278" t="str">
        <f>DATA!D10</f>
        <v>Abid Lionel Abdillah</v>
      </c>
      <c r="D55" s="342">
        <f>'UH1'!L55</f>
        <v>100</v>
      </c>
      <c r="E55" s="40"/>
      <c r="F55" s="131" t="str">
        <f>UHB!L55</f>
        <v>80</v>
      </c>
      <c r="G55" s="40"/>
      <c r="H55" s="367"/>
      <c r="I55" s="120">
        <f>(D55+F55)/2</f>
        <v>90</v>
      </c>
      <c r="J55" s="350">
        <v>33.5</v>
      </c>
      <c r="K55" s="350">
        <f>J55+25</f>
        <v>58.5</v>
      </c>
      <c r="L55" s="352">
        <f t="shared" ref="L55:L86" si="5">I55*0.75+K55*0.25</f>
        <v>82.125</v>
      </c>
      <c r="M55" s="313"/>
      <c r="N55" s="444">
        <v>87</v>
      </c>
      <c r="O55" s="431">
        <v>80</v>
      </c>
      <c r="P55" s="435">
        <f>RANK(N55,$N$55:$N$89,0)</f>
        <v>9</v>
      </c>
      <c r="Q55" s="436">
        <f>RANK(O55,$O$55:$O$89,0)</f>
        <v>22</v>
      </c>
      <c r="R55" s="30"/>
      <c r="S55" s="29"/>
      <c r="T55" s="31"/>
    </row>
    <row r="56" spans="1:23" ht="11.15" customHeight="1" x14ac:dyDescent="0.25">
      <c r="A56" s="21">
        <v>2</v>
      </c>
      <c r="B56" s="236"/>
      <c r="C56" s="279" t="str">
        <f>DATA!D11</f>
        <v>Aditria Bintang Mustofa</v>
      </c>
      <c r="D56" s="248" t="str">
        <f>'UH1'!L56</f>
        <v>80</v>
      </c>
      <c r="E56" s="43"/>
      <c r="F56" s="134" t="str">
        <f>UHB!L56</f>
        <v>80</v>
      </c>
      <c r="G56" s="43"/>
      <c r="H56" s="368"/>
      <c r="I56" s="122">
        <f t="shared" ref="I56:I86" si="6">(D56+F56)/2</f>
        <v>80</v>
      </c>
      <c r="J56" s="351">
        <v>32.5</v>
      </c>
      <c r="K56" s="351">
        <f t="shared" ref="K56:K86" si="7">J56+25</f>
        <v>57.5</v>
      </c>
      <c r="L56" s="353">
        <f t="shared" si="5"/>
        <v>74.375</v>
      </c>
      <c r="M56" s="313"/>
      <c r="N56" s="445">
        <v>80</v>
      </c>
      <c r="O56" s="432">
        <v>80</v>
      </c>
      <c r="P56" s="437">
        <f t="shared" ref="P56:P86" si="8">RANK(N56,$N$55:$N$89,0)</f>
        <v>18</v>
      </c>
      <c r="Q56" s="438">
        <f t="shared" ref="Q56:Q86" si="9">RANK(O56,$O$55:$O$89,0)</f>
        <v>22</v>
      </c>
      <c r="R56" s="30"/>
      <c r="S56" s="29"/>
      <c r="T56" s="31"/>
    </row>
    <row r="57" spans="1:23" ht="11.15" customHeight="1" x14ac:dyDescent="0.25">
      <c r="A57" s="21">
        <v>3</v>
      </c>
      <c r="B57" s="234"/>
      <c r="C57" s="279" t="str">
        <f>DATA!D12</f>
        <v>Agni Wulan Pramesti</v>
      </c>
      <c r="D57" s="248">
        <f>'UH1'!L57</f>
        <v>100</v>
      </c>
      <c r="E57" s="43"/>
      <c r="F57" s="134" t="str">
        <f>UHB!L57</f>
        <v>80</v>
      </c>
      <c r="G57" s="43"/>
      <c r="H57" s="368"/>
      <c r="I57" s="122">
        <f t="shared" si="6"/>
        <v>90</v>
      </c>
      <c r="J57" s="351">
        <v>34</v>
      </c>
      <c r="K57" s="351">
        <f t="shared" si="7"/>
        <v>59</v>
      </c>
      <c r="L57" s="353">
        <f t="shared" si="5"/>
        <v>82.25</v>
      </c>
      <c r="M57" s="313"/>
      <c r="N57" s="445">
        <v>87</v>
      </c>
      <c r="O57" s="432">
        <v>83</v>
      </c>
      <c r="P57" s="437">
        <f t="shared" si="8"/>
        <v>9</v>
      </c>
      <c r="Q57" s="438">
        <f t="shared" si="9"/>
        <v>6</v>
      </c>
      <c r="R57" s="30"/>
      <c r="S57" s="29"/>
      <c r="T57" s="31"/>
      <c r="V57" s="414" t="s">
        <v>100</v>
      </c>
      <c r="W57" s="102" t="s">
        <v>488</v>
      </c>
    </row>
    <row r="58" spans="1:23" ht="11.15" customHeight="1" x14ac:dyDescent="0.25">
      <c r="A58" s="185">
        <v>4</v>
      </c>
      <c r="B58" s="234"/>
      <c r="C58" s="279" t="str">
        <f>DATA!D13</f>
        <v>Ahmad Irfan Annadif</v>
      </c>
      <c r="D58" s="248" t="str">
        <f>'UH1'!L58</f>
        <v>81</v>
      </c>
      <c r="E58" s="43"/>
      <c r="F58" s="134" t="str">
        <f>UHB!L58</f>
        <v>80</v>
      </c>
      <c r="G58" s="43"/>
      <c r="H58" s="368"/>
      <c r="I58" s="122">
        <f t="shared" si="6"/>
        <v>80.5</v>
      </c>
      <c r="J58" s="351">
        <v>31.5</v>
      </c>
      <c r="K58" s="351">
        <f t="shared" si="7"/>
        <v>56.5</v>
      </c>
      <c r="L58" s="353">
        <f t="shared" si="5"/>
        <v>74.5</v>
      </c>
      <c r="M58" s="313"/>
      <c r="N58" s="445">
        <v>80</v>
      </c>
      <c r="O58" s="432">
        <v>81</v>
      </c>
      <c r="P58" s="437">
        <f t="shared" si="8"/>
        <v>18</v>
      </c>
      <c r="Q58" s="438">
        <f t="shared" si="9"/>
        <v>15</v>
      </c>
      <c r="R58" s="30"/>
      <c r="S58" s="128" t="str">
        <f>S9</f>
        <v>Limbangan, 15 Mei 2026</v>
      </c>
      <c r="T58" s="31"/>
      <c r="V58" s="173"/>
      <c r="W58" s="102"/>
    </row>
    <row r="59" spans="1:23" ht="11.15" customHeight="1" x14ac:dyDescent="0.25">
      <c r="A59" s="21">
        <v>5</v>
      </c>
      <c r="B59" s="234"/>
      <c r="C59" s="279" t="str">
        <f>DATA!D14</f>
        <v>Alesha Najwa Adelia</v>
      </c>
      <c r="D59" s="248" t="str">
        <f>'UH1'!L59</f>
        <v>80</v>
      </c>
      <c r="E59" s="43"/>
      <c r="F59" s="134" t="str">
        <f>UHB!L59</f>
        <v>80</v>
      </c>
      <c r="G59" s="43"/>
      <c r="H59" s="368"/>
      <c r="I59" s="122">
        <f t="shared" si="6"/>
        <v>80</v>
      </c>
      <c r="J59" s="351">
        <v>35</v>
      </c>
      <c r="K59" s="351">
        <f t="shared" si="7"/>
        <v>60</v>
      </c>
      <c r="L59" s="353">
        <f t="shared" si="5"/>
        <v>75</v>
      </c>
      <c r="M59" s="313"/>
      <c r="N59" s="445">
        <v>80</v>
      </c>
      <c r="O59" s="432">
        <v>80</v>
      </c>
      <c r="P59" s="437">
        <f t="shared" si="8"/>
        <v>18</v>
      </c>
      <c r="Q59" s="438">
        <f t="shared" si="9"/>
        <v>22</v>
      </c>
      <c r="R59" s="30"/>
      <c r="S59" s="29"/>
      <c r="T59" s="31"/>
      <c r="V59" s="99">
        <v>70</v>
      </c>
      <c r="W59" s="326"/>
    </row>
    <row r="60" spans="1:23" ht="11.15" customHeight="1" x14ac:dyDescent="0.25">
      <c r="A60" s="21">
        <v>6</v>
      </c>
      <c r="B60" s="234"/>
      <c r="C60" s="279" t="str">
        <f>DATA!D15</f>
        <v>Ana Kharisma Wardani</v>
      </c>
      <c r="D60" s="248" t="str">
        <f>'UH1'!L60</f>
        <v>80</v>
      </c>
      <c r="E60" s="43"/>
      <c r="F60" s="134" t="str">
        <f>UHB!L60</f>
        <v>83</v>
      </c>
      <c r="G60" s="43"/>
      <c r="H60" s="368"/>
      <c r="I60" s="122">
        <f t="shared" si="6"/>
        <v>81.5</v>
      </c>
      <c r="J60" s="351">
        <v>55.5</v>
      </c>
      <c r="K60" s="351">
        <f t="shared" si="7"/>
        <v>80.5</v>
      </c>
      <c r="L60" s="353">
        <f t="shared" si="5"/>
        <v>81.25</v>
      </c>
      <c r="M60" s="313"/>
      <c r="N60" s="445">
        <v>86</v>
      </c>
      <c r="O60" s="432">
        <v>84</v>
      </c>
      <c r="P60" s="437">
        <f t="shared" si="8"/>
        <v>13</v>
      </c>
      <c r="Q60" s="438">
        <f t="shared" si="9"/>
        <v>4</v>
      </c>
      <c r="R60" s="30"/>
      <c r="S60" s="128" t="s">
        <v>41</v>
      </c>
      <c r="T60" s="31"/>
      <c r="V60" s="99">
        <v>71</v>
      </c>
      <c r="W60" s="326"/>
    </row>
    <row r="61" spans="1:23" ht="11.15" customHeight="1" x14ac:dyDescent="0.25">
      <c r="A61" s="21">
        <v>7</v>
      </c>
      <c r="B61" s="234"/>
      <c r="C61" s="279" t="str">
        <f>DATA!D16</f>
        <v>Angga Rizki Satriya Utama</v>
      </c>
      <c r="D61" s="248" t="str">
        <f>'UH1'!L61</f>
        <v>80</v>
      </c>
      <c r="E61" s="43"/>
      <c r="F61" s="134" t="str">
        <f>UHB!L61</f>
        <v>80</v>
      </c>
      <c r="G61" s="43"/>
      <c r="H61" s="368"/>
      <c r="I61" s="122">
        <f t="shared" si="6"/>
        <v>80</v>
      </c>
      <c r="J61" s="351">
        <v>30</v>
      </c>
      <c r="K61" s="351">
        <f t="shared" si="7"/>
        <v>55</v>
      </c>
      <c r="L61" s="353">
        <f t="shared" si="5"/>
        <v>73.75</v>
      </c>
      <c r="M61" s="313"/>
      <c r="N61" s="445">
        <v>80</v>
      </c>
      <c r="O61" s="432">
        <v>82</v>
      </c>
      <c r="P61" s="437">
        <f t="shared" si="8"/>
        <v>18</v>
      </c>
      <c r="Q61" s="438">
        <f t="shared" si="9"/>
        <v>11</v>
      </c>
      <c r="R61" s="30"/>
      <c r="S61" s="128"/>
      <c r="T61" s="31"/>
      <c r="V61" s="99">
        <v>72</v>
      </c>
      <c r="W61" s="424"/>
    </row>
    <row r="62" spans="1:23" ht="11.15" customHeight="1" x14ac:dyDescent="0.25">
      <c r="A62" s="21">
        <v>8</v>
      </c>
      <c r="B62" s="234"/>
      <c r="C62" s="279" t="str">
        <f>DATA!D17</f>
        <v>Ardiyan Vebri Pratama</v>
      </c>
      <c r="D62" s="248" t="str">
        <f>'UH1'!L62</f>
        <v>80</v>
      </c>
      <c r="E62" s="43"/>
      <c r="F62" s="134" t="str">
        <f>UHB!L62</f>
        <v>80</v>
      </c>
      <c r="G62" s="43"/>
      <c r="H62" s="368"/>
      <c r="I62" s="122">
        <f t="shared" si="6"/>
        <v>80</v>
      </c>
      <c r="J62" s="351">
        <v>34.5</v>
      </c>
      <c r="K62" s="351">
        <f t="shared" si="7"/>
        <v>59.5</v>
      </c>
      <c r="L62" s="353">
        <f t="shared" si="5"/>
        <v>74.875</v>
      </c>
      <c r="M62" s="313"/>
      <c r="N62" s="445">
        <v>80</v>
      </c>
      <c r="O62" s="432">
        <v>80</v>
      </c>
      <c r="P62" s="437">
        <f t="shared" si="8"/>
        <v>18</v>
      </c>
      <c r="Q62" s="438">
        <f t="shared" si="9"/>
        <v>22</v>
      </c>
      <c r="R62" s="30"/>
      <c r="S62" s="128"/>
      <c r="T62" s="31"/>
      <c r="V62" s="99">
        <v>73</v>
      </c>
      <c r="W62" s="425"/>
    </row>
    <row r="63" spans="1:23" ht="11.15" customHeight="1" x14ac:dyDescent="0.25">
      <c r="A63" s="21">
        <v>9</v>
      </c>
      <c r="B63" s="234"/>
      <c r="C63" s="279" t="str">
        <f>DATA!D18</f>
        <v>Aurel Azza Adellia Putri</v>
      </c>
      <c r="D63" s="248">
        <f>'UH1'!L63</f>
        <v>100</v>
      </c>
      <c r="E63" s="43"/>
      <c r="F63" s="134" t="str">
        <f>UHB!L63</f>
        <v>80</v>
      </c>
      <c r="G63" s="43"/>
      <c r="H63" s="368"/>
      <c r="I63" s="122">
        <f t="shared" si="6"/>
        <v>90</v>
      </c>
      <c r="J63" s="351">
        <v>35.5</v>
      </c>
      <c r="K63" s="351">
        <f t="shared" si="7"/>
        <v>60.5</v>
      </c>
      <c r="L63" s="353">
        <f t="shared" si="5"/>
        <v>82.625</v>
      </c>
      <c r="M63" s="313"/>
      <c r="N63" s="445">
        <v>88</v>
      </c>
      <c r="O63" s="432">
        <v>80</v>
      </c>
      <c r="P63" s="437">
        <f t="shared" si="8"/>
        <v>7</v>
      </c>
      <c r="Q63" s="438">
        <f t="shared" si="9"/>
        <v>22</v>
      </c>
      <c r="R63" s="30"/>
      <c r="S63" s="128"/>
      <c r="T63" s="31"/>
      <c r="V63" s="99">
        <v>74</v>
      </c>
      <c r="W63" s="425"/>
    </row>
    <row r="64" spans="1:23" ht="11.15" customHeight="1" x14ac:dyDescent="0.25">
      <c r="A64" s="21">
        <v>10</v>
      </c>
      <c r="B64" s="234"/>
      <c r="C64" s="279" t="str">
        <f>DATA!D19</f>
        <v>Darasti Keyshafa Azumi</v>
      </c>
      <c r="D64" s="248" t="str">
        <f>'UH1'!L64</f>
        <v>80</v>
      </c>
      <c r="E64" s="43"/>
      <c r="F64" s="134" t="str">
        <f>UHB!L64</f>
        <v>80</v>
      </c>
      <c r="G64" s="43"/>
      <c r="H64" s="368"/>
      <c r="I64" s="122">
        <f t="shared" si="6"/>
        <v>80</v>
      </c>
      <c r="J64" s="351">
        <v>36</v>
      </c>
      <c r="K64" s="351">
        <f t="shared" si="7"/>
        <v>61</v>
      </c>
      <c r="L64" s="353">
        <f t="shared" si="5"/>
        <v>75.25</v>
      </c>
      <c r="M64" s="313"/>
      <c r="N64" s="445">
        <v>80</v>
      </c>
      <c r="O64" s="432">
        <v>80</v>
      </c>
      <c r="P64" s="437">
        <f t="shared" si="8"/>
        <v>18</v>
      </c>
      <c r="Q64" s="438">
        <f t="shared" si="9"/>
        <v>22</v>
      </c>
      <c r="R64" s="30"/>
      <c r="S64" s="128" t="s">
        <v>58</v>
      </c>
      <c r="T64" s="31"/>
      <c r="V64" s="99">
        <v>75</v>
      </c>
      <c r="W64" s="422">
        <v>80</v>
      </c>
    </row>
    <row r="65" spans="1:23" ht="11.15" customHeight="1" x14ac:dyDescent="0.25">
      <c r="A65" s="21">
        <v>11</v>
      </c>
      <c r="B65" s="234"/>
      <c r="C65" s="279" t="str">
        <f>DATA!D20</f>
        <v>Dea Resti Lian Dana Sari</v>
      </c>
      <c r="D65" s="248" t="str">
        <f>'UH1'!L65</f>
        <v>81</v>
      </c>
      <c r="E65" s="43"/>
      <c r="F65" s="134" t="str">
        <f>UHB!L65</f>
        <v>80</v>
      </c>
      <c r="G65" s="43"/>
      <c r="H65" s="368"/>
      <c r="I65" s="122">
        <f t="shared" si="6"/>
        <v>80.5</v>
      </c>
      <c r="J65" s="351">
        <v>50</v>
      </c>
      <c r="K65" s="351">
        <f t="shared" si="7"/>
        <v>75</v>
      </c>
      <c r="L65" s="353">
        <f t="shared" si="5"/>
        <v>79.125</v>
      </c>
      <c r="M65" s="313"/>
      <c r="N65" s="445">
        <v>90</v>
      </c>
      <c r="O65" s="432">
        <v>90</v>
      </c>
      <c r="P65" s="437">
        <f t="shared" si="8"/>
        <v>2</v>
      </c>
      <c r="Q65" s="438">
        <f t="shared" si="9"/>
        <v>2</v>
      </c>
      <c r="R65" s="30"/>
      <c r="S65" s="128" t="s">
        <v>68</v>
      </c>
      <c r="T65" s="31"/>
      <c r="V65" s="99">
        <v>76</v>
      </c>
      <c r="W65" s="422">
        <v>81</v>
      </c>
    </row>
    <row r="66" spans="1:23" ht="11.15" customHeight="1" x14ac:dyDescent="0.25">
      <c r="A66" s="21">
        <v>12</v>
      </c>
      <c r="B66" s="234"/>
      <c r="C66" s="279" t="str">
        <f>DATA!D21</f>
        <v>Desta Dwi Lestari</v>
      </c>
      <c r="D66" s="248">
        <f>'UH1'!L66</f>
        <v>100</v>
      </c>
      <c r="E66" s="43"/>
      <c r="F66" s="134" t="str">
        <f>UHB!L66</f>
        <v>80</v>
      </c>
      <c r="G66" s="43"/>
      <c r="H66" s="368"/>
      <c r="I66" s="122">
        <f t="shared" si="6"/>
        <v>90</v>
      </c>
      <c r="J66" s="351">
        <v>41.5</v>
      </c>
      <c r="K66" s="351">
        <f t="shared" si="7"/>
        <v>66.5</v>
      </c>
      <c r="L66" s="353">
        <f t="shared" si="5"/>
        <v>84.125</v>
      </c>
      <c r="M66" s="313"/>
      <c r="N66" s="445">
        <v>89</v>
      </c>
      <c r="O66" s="432">
        <v>81</v>
      </c>
      <c r="P66" s="437">
        <f t="shared" si="8"/>
        <v>4</v>
      </c>
      <c r="Q66" s="438">
        <f t="shared" si="9"/>
        <v>15</v>
      </c>
      <c r="R66" s="30"/>
      <c r="S66" s="128"/>
      <c r="T66" s="31"/>
      <c r="V66" s="99">
        <v>77</v>
      </c>
      <c r="W66" s="423">
        <v>82</v>
      </c>
    </row>
    <row r="67" spans="1:23" ht="11.15" customHeight="1" x14ac:dyDescent="0.25">
      <c r="A67" s="21">
        <v>13</v>
      </c>
      <c r="B67" s="234"/>
      <c r="C67" s="279" t="str">
        <f>DATA!D22</f>
        <v>Faaz Nizzar Ardiansyah</v>
      </c>
      <c r="D67" s="248" t="str">
        <f>'UH1'!L67</f>
        <v>80</v>
      </c>
      <c r="E67" s="43"/>
      <c r="F67" s="134" t="str">
        <f>UHB!L67</f>
        <v>80</v>
      </c>
      <c r="G67" s="43"/>
      <c r="H67" s="368"/>
      <c r="I67" s="122">
        <f t="shared" si="6"/>
        <v>80</v>
      </c>
      <c r="J67" s="351">
        <v>24.5</v>
      </c>
      <c r="K67" s="351">
        <f t="shared" si="7"/>
        <v>49.5</v>
      </c>
      <c r="L67" s="353">
        <f t="shared" si="5"/>
        <v>72.375</v>
      </c>
      <c r="M67" s="313"/>
      <c r="N67" s="445">
        <v>80</v>
      </c>
      <c r="O67" s="432">
        <v>81</v>
      </c>
      <c r="P67" s="437">
        <f t="shared" si="8"/>
        <v>18</v>
      </c>
      <c r="Q67" s="438">
        <f t="shared" si="9"/>
        <v>15</v>
      </c>
      <c r="R67" s="30"/>
      <c r="S67" s="128"/>
      <c r="T67" s="31"/>
      <c r="V67" s="99">
        <v>78</v>
      </c>
      <c r="W67" s="422">
        <v>83</v>
      </c>
    </row>
    <row r="68" spans="1:23" ht="11.15" customHeight="1" x14ac:dyDescent="0.25">
      <c r="A68" s="21">
        <v>14</v>
      </c>
      <c r="B68" s="234"/>
      <c r="C68" s="279" t="str">
        <f>DATA!D23</f>
        <v>Hazel Javier Ozora</v>
      </c>
      <c r="D68" s="248">
        <f>'UH1'!L68</f>
        <v>90</v>
      </c>
      <c r="E68" s="43"/>
      <c r="F68" s="134" t="str">
        <f>UHB!L68</f>
        <v>81</v>
      </c>
      <c r="G68" s="43"/>
      <c r="H68" s="368"/>
      <c r="I68" s="122">
        <f t="shared" si="6"/>
        <v>85.5</v>
      </c>
      <c r="J68" s="351">
        <v>41.5</v>
      </c>
      <c r="K68" s="351">
        <f t="shared" si="7"/>
        <v>66.5</v>
      </c>
      <c r="L68" s="353">
        <f t="shared" si="5"/>
        <v>80.75</v>
      </c>
      <c r="M68" s="313"/>
      <c r="N68" s="445">
        <v>86</v>
      </c>
      <c r="O68" s="432">
        <v>84</v>
      </c>
      <c r="P68" s="437">
        <f t="shared" si="8"/>
        <v>13</v>
      </c>
      <c r="Q68" s="438">
        <f t="shared" si="9"/>
        <v>4</v>
      </c>
      <c r="R68" s="30"/>
      <c r="S68" s="128" t="s">
        <v>42</v>
      </c>
      <c r="T68" s="31"/>
      <c r="V68" s="99">
        <v>79</v>
      </c>
      <c r="W68" s="422">
        <v>84</v>
      </c>
    </row>
    <row r="69" spans="1:23" ht="11.15" customHeight="1" x14ac:dyDescent="0.25">
      <c r="A69" s="21">
        <v>15</v>
      </c>
      <c r="B69" s="234"/>
      <c r="C69" s="279" t="str">
        <f>DATA!D24</f>
        <v>Indika Dwi Laksono</v>
      </c>
      <c r="D69" s="248">
        <f>'UH1'!L69</f>
        <v>100</v>
      </c>
      <c r="E69" s="43"/>
      <c r="F69" s="134" t="str">
        <f>UHB!L69</f>
        <v>80</v>
      </c>
      <c r="G69" s="43"/>
      <c r="H69" s="368"/>
      <c r="I69" s="122">
        <f t="shared" si="6"/>
        <v>90</v>
      </c>
      <c r="J69" s="351">
        <v>36</v>
      </c>
      <c r="K69" s="351">
        <f t="shared" si="7"/>
        <v>61</v>
      </c>
      <c r="L69" s="353">
        <f t="shared" si="5"/>
        <v>82.75</v>
      </c>
      <c r="M69" s="313"/>
      <c r="N69" s="445">
        <v>88</v>
      </c>
      <c r="O69" s="432">
        <v>81</v>
      </c>
      <c r="P69" s="437">
        <f t="shared" si="8"/>
        <v>7</v>
      </c>
      <c r="Q69" s="438">
        <f t="shared" si="9"/>
        <v>15</v>
      </c>
      <c r="R69" s="30"/>
      <c r="S69" s="128"/>
      <c r="T69" s="31"/>
      <c r="V69" s="99">
        <v>80</v>
      </c>
      <c r="W69" s="422">
        <v>85</v>
      </c>
    </row>
    <row r="70" spans="1:23" ht="11.15" customHeight="1" x14ac:dyDescent="0.25">
      <c r="A70" s="21">
        <v>16</v>
      </c>
      <c r="B70" s="234"/>
      <c r="C70" s="279" t="str">
        <f>DATA!D25</f>
        <v>Indra Rahma Azzahra</v>
      </c>
      <c r="D70" s="248">
        <f>'UH1'!L70</f>
        <v>100</v>
      </c>
      <c r="E70" s="43"/>
      <c r="F70" s="134" t="str">
        <f>UHB!L70</f>
        <v>81</v>
      </c>
      <c r="G70" s="43"/>
      <c r="H70" s="368"/>
      <c r="I70" s="122">
        <f t="shared" si="6"/>
        <v>90.5</v>
      </c>
      <c r="J70" s="351">
        <v>52</v>
      </c>
      <c r="K70" s="351">
        <f t="shared" si="7"/>
        <v>77</v>
      </c>
      <c r="L70" s="353">
        <f t="shared" si="5"/>
        <v>87.125</v>
      </c>
      <c r="M70" s="313"/>
      <c r="N70" s="445">
        <v>92</v>
      </c>
      <c r="O70" s="432">
        <v>94</v>
      </c>
      <c r="P70" s="437">
        <f t="shared" si="8"/>
        <v>1</v>
      </c>
      <c r="Q70" s="438">
        <f t="shared" si="9"/>
        <v>1</v>
      </c>
      <c r="R70" s="30"/>
      <c r="S70" s="128"/>
      <c r="T70" s="31"/>
      <c r="V70" s="99">
        <v>81</v>
      </c>
      <c r="W70" s="422">
        <v>86</v>
      </c>
    </row>
    <row r="71" spans="1:23" ht="11.15" customHeight="1" x14ac:dyDescent="0.25">
      <c r="A71" s="21">
        <v>17</v>
      </c>
      <c r="B71" s="234"/>
      <c r="C71" s="279" t="str">
        <f>DATA!D26</f>
        <v>Lutfia Asri Wahyuni</v>
      </c>
      <c r="D71" s="248" t="str">
        <f>'UH1'!L71</f>
        <v>80</v>
      </c>
      <c r="E71" s="43"/>
      <c r="F71" s="134" t="str">
        <f>UHB!L71</f>
        <v>80</v>
      </c>
      <c r="G71" s="43"/>
      <c r="H71" s="368"/>
      <c r="I71" s="122">
        <f t="shared" si="6"/>
        <v>80</v>
      </c>
      <c r="J71" s="351">
        <v>31.5</v>
      </c>
      <c r="K71" s="351">
        <f t="shared" si="7"/>
        <v>56.5</v>
      </c>
      <c r="L71" s="353">
        <f t="shared" si="5"/>
        <v>74.125</v>
      </c>
      <c r="M71" s="313"/>
      <c r="N71" s="445">
        <v>80</v>
      </c>
      <c r="O71" s="432">
        <v>80</v>
      </c>
      <c r="P71" s="437">
        <f t="shared" si="8"/>
        <v>18</v>
      </c>
      <c r="Q71" s="438">
        <f t="shared" si="9"/>
        <v>22</v>
      </c>
      <c r="R71" s="30"/>
      <c r="S71" s="128"/>
      <c r="T71" s="31"/>
      <c r="V71" s="99">
        <v>82</v>
      </c>
      <c r="W71" s="422">
        <v>87</v>
      </c>
    </row>
    <row r="72" spans="1:23" ht="11.15" customHeight="1" x14ac:dyDescent="0.25">
      <c r="A72" s="21">
        <v>18</v>
      </c>
      <c r="B72" s="234"/>
      <c r="C72" s="279" t="str">
        <f>DATA!D27</f>
        <v>Muhamad Fadil Khoiri</v>
      </c>
      <c r="D72" s="248">
        <f>'UH1'!L72</f>
        <v>100</v>
      </c>
      <c r="E72" s="43"/>
      <c r="F72" s="134" t="str">
        <f>UHB!L72</f>
        <v>81</v>
      </c>
      <c r="G72" s="43"/>
      <c r="H72" s="368"/>
      <c r="I72" s="122">
        <f t="shared" si="6"/>
        <v>90.5</v>
      </c>
      <c r="J72" s="351">
        <v>44</v>
      </c>
      <c r="K72" s="351">
        <f t="shared" si="7"/>
        <v>69</v>
      </c>
      <c r="L72" s="353">
        <f t="shared" si="5"/>
        <v>85.125</v>
      </c>
      <c r="M72" s="313"/>
      <c r="N72" s="445">
        <v>90</v>
      </c>
      <c r="O72" s="432">
        <v>82</v>
      </c>
      <c r="P72" s="437">
        <f t="shared" si="8"/>
        <v>2</v>
      </c>
      <c r="Q72" s="438">
        <f t="shared" si="9"/>
        <v>11</v>
      </c>
      <c r="R72" s="30"/>
      <c r="S72" s="128"/>
      <c r="T72" s="31"/>
      <c r="V72" s="99">
        <v>83</v>
      </c>
      <c r="W72" s="422">
        <v>88</v>
      </c>
    </row>
    <row r="73" spans="1:23" ht="11.15" customHeight="1" x14ac:dyDescent="0.25">
      <c r="A73" s="21">
        <v>19</v>
      </c>
      <c r="B73" s="234"/>
      <c r="C73" s="279" t="str">
        <f>DATA!D28</f>
        <v>Muhammad Aqil Mufid</v>
      </c>
      <c r="D73" s="248" t="str">
        <f>'UH1'!L73</f>
        <v>80</v>
      </c>
      <c r="E73" s="43"/>
      <c r="F73" s="134" t="str">
        <f>UHB!L73</f>
        <v>80</v>
      </c>
      <c r="G73" s="43"/>
      <c r="H73" s="368"/>
      <c r="I73" s="122">
        <f t="shared" si="6"/>
        <v>80</v>
      </c>
      <c r="J73" s="351">
        <v>29</v>
      </c>
      <c r="K73" s="351">
        <f t="shared" si="7"/>
        <v>54</v>
      </c>
      <c r="L73" s="353">
        <f t="shared" si="5"/>
        <v>73.5</v>
      </c>
      <c r="M73" s="313"/>
      <c r="N73" s="445">
        <v>80</v>
      </c>
      <c r="O73" s="432">
        <v>80</v>
      </c>
      <c r="P73" s="437">
        <f t="shared" si="8"/>
        <v>18</v>
      </c>
      <c r="Q73" s="438">
        <f t="shared" si="9"/>
        <v>22</v>
      </c>
      <c r="R73" s="30"/>
      <c r="S73" s="128" t="str">
        <f>S24</f>
        <v>Dra. BAROKAH GUNIARTI</v>
      </c>
      <c r="T73" s="31"/>
      <c r="V73" s="99">
        <v>84</v>
      </c>
      <c r="W73" s="421">
        <v>89</v>
      </c>
    </row>
    <row r="74" spans="1:23" ht="11.15" customHeight="1" x14ac:dyDescent="0.25">
      <c r="A74" s="21">
        <v>20</v>
      </c>
      <c r="B74" s="234"/>
      <c r="C74" s="279" t="str">
        <f>DATA!D29</f>
        <v>Muhammad Danish Alzydan</v>
      </c>
      <c r="D74" s="248" t="str">
        <f>'UH1'!L74</f>
        <v>80</v>
      </c>
      <c r="E74" s="43"/>
      <c r="F74" s="134" t="str">
        <f>UHB!L74</f>
        <v>80</v>
      </c>
      <c r="G74" s="43"/>
      <c r="H74" s="368"/>
      <c r="I74" s="122">
        <f t="shared" si="6"/>
        <v>80</v>
      </c>
      <c r="J74" s="351">
        <v>34.5</v>
      </c>
      <c r="K74" s="351">
        <f t="shared" si="7"/>
        <v>59.5</v>
      </c>
      <c r="L74" s="353">
        <f t="shared" si="5"/>
        <v>74.875</v>
      </c>
      <c r="M74" s="313"/>
      <c r="N74" s="445">
        <v>80</v>
      </c>
      <c r="O74" s="432">
        <v>81</v>
      </c>
      <c r="P74" s="437">
        <f t="shared" si="8"/>
        <v>18</v>
      </c>
      <c r="Q74" s="438">
        <f t="shared" si="9"/>
        <v>15</v>
      </c>
      <c r="R74" s="30"/>
      <c r="S74" s="128" t="str">
        <f>S25</f>
        <v>NIP : 196901081996122004</v>
      </c>
      <c r="T74" s="31"/>
      <c r="V74" s="99">
        <v>85</v>
      </c>
      <c r="W74" s="422">
        <v>90</v>
      </c>
    </row>
    <row r="75" spans="1:23" ht="11.15" customHeight="1" x14ac:dyDescent="0.25">
      <c r="A75" s="21">
        <v>21</v>
      </c>
      <c r="B75" s="234"/>
      <c r="C75" s="279" t="str">
        <f>DATA!D30</f>
        <v>Muhammad Nurul Huda</v>
      </c>
      <c r="D75" s="248" t="str">
        <f>'UH1'!L75</f>
        <v>80</v>
      </c>
      <c r="E75" s="43"/>
      <c r="F75" s="134" t="str">
        <f>UHB!L75</f>
        <v>80</v>
      </c>
      <c r="G75" s="43"/>
      <c r="H75" s="368"/>
      <c r="I75" s="122">
        <f t="shared" si="6"/>
        <v>80</v>
      </c>
      <c r="J75" s="351">
        <v>39.5</v>
      </c>
      <c r="K75" s="351">
        <f t="shared" si="7"/>
        <v>64.5</v>
      </c>
      <c r="L75" s="353">
        <f t="shared" si="5"/>
        <v>76.125</v>
      </c>
      <c r="M75" s="313"/>
      <c r="N75" s="445">
        <v>81</v>
      </c>
      <c r="O75" s="432">
        <v>81</v>
      </c>
      <c r="P75" s="437">
        <f t="shared" si="8"/>
        <v>17</v>
      </c>
      <c r="Q75" s="438">
        <f t="shared" si="9"/>
        <v>15</v>
      </c>
      <c r="R75" s="30"/>
      <c r="S75" s="29"/>
      <c r="T75" s="31"/>
      <c r="V75" s="99">
        <v>86</v>
      </c>
      <c r="W75" s="421">
        <v>91</v>
      </c>
    </row>
    <row r="76" spans="1:23" ht="11.15" customHeight="1" x14ac:dyDescent="0.25">
      <c r="A76" s="185">
        <v>22</v>
      </c>
      <c r="B76" s="234"/>
      <c r="C76" s="279" t="str">
        <f>DATA!D31</f>
        <v>Nada Aprillia Zulfa Fairuz</v>
      </c>
      <c r="D76" s="248" t="str">
        <f>'UH1'!L76</f>
        <v>80</v>
      </c>
      <c r="E76" s="43"/>
      <c r="F76" s="134" t="str">
        <f>UHB!L76</f>
        <v>81</v>
      </c>
      <c r="G76" s="43"/>
      <c r="H76" s="368"/>
      <c r="I76" s="122">
        <f t="shared" si="6"/>
        <v>80.5</v>
      </c>
      <c r="J76" s="351">
        <v>40</v>
      </c>
      <c r="K76" s="351">
        <f t="shared" si="7"/>
        <v>65</v>
      </c>
      <c r="L76" s="353">
        <f t="shared" si="5"/>
        <v>76.625</v>
      </c>
      <c r="M76" s="313"/>
      <c r="N76" s="445">
        <v>82</v>
      </c>
      <c r="O76" s="432">
        <v>82</v>
      </c>
      <c r="P76" s="437">
        <f t="shared" si="8"/>
        <v>16</v>
      </c>
      <c r="Q76" s="438">
        <f t="shared" si="9"/>
        <v>11</v>
      </c>
      <c r="R76" s="30"/>
      <c r="S76" s="29"/>
      <c r="T76" s="31"/>
      <c r="V76" s="99">
        <v>87</v>
      </c>
      <c r="W76" s="421">
        <v>92</v>
      </c>
    </row>
    <row r="77" spans="1:23" ht="11.15" customHeight="1" x14ac:dyDescent="0.25">
      <c r="A77" s="21">
        <v>23</v>
      </c>
      <c r="B77" s="234"/>
      <c r="C77" s="279" t="str">
        <f>DATA!D32</f>
        <v>Nadaa Fadiyah Salsabila</v>
      </c>
      <c r="D77" s="248" t="str">
        <f>'UH1'!L77</f>
        <v>80</v>
      </c>
      <c r="E77" s="43"/>
      <c r="F77" s="134" t="str">
        <f>UHB!L77</f>
        <v>80</v>
      </c>
      <c r="G77" s="43"/>
      <c r="H77" s="368"/>
      <c r="I77" s="122">
        <f t="shared" si="6"/>
        <v>80</v>
      </c>
      <c r="J77" s="351">
        <v>28</v>
      </c>
      <c r="K77" s="351">
        <f t="shared" si="7"/>
        <v>53</v>
      </c>
      <c r="L77" s="353">
        <f t="shared" si="5"/>
        <v>73.25</v>
      </c>
      <c r="M77" s="313"/>
      <c r="N77" s="445">
        <v>80</v>
      </c>
      <c r="O77" s="432">
        <v>83</v>
      </c>
      <c r="P77" s="437">
        <f t="shared" si="8"/>
        <v>18</v>
      </c>
      <c r="Q77" s="438">
        <f t="shared" si="9"/>
        <v>6</v>
      </c>
      <c r="R77" s="30"/>
      <c r="S77" s="29"/>
      <c r="T77" s="31"/>
      <c r="V77" s="99">
        <v>88</v>
      </c>
      <c r="W77" s="421">
        <v>93</v>
      </c>
    </row>
    <row r="78" spans="1:23" ht="11.15" customHeight="1" x14ac:dyDescent="0.25">
      <c r="A78" s="21">
        <v>24</v>
      </c>
      <c r="B78" s="234"/>
      <c r="C78" s="279" t="str">
        <f>DATA!D33</f>
        <v>Nayla Oriza Shatifa</v>
      </c>
      <c r="D78" s="248">
        <f>'UH1'!L78</f>
        <v>100</v>
      </c>
      <c r="E78" s="43"/>
      <c r="F78" s="134" t="str">
        <f>UHB!L78</f>
        <v>81</v>
      </c>
      <c r="G78" s="43"/>
      <c r="H78" s="368"/>
      <c r="I78" s="122">
        <f t="shared" si="6"/>
        <v>90.5</v>
      </c>
      <c r="J78" s="351">
        <v>41</v>
      </c>
      <c r="K78" s="351">
        <f t="shared" si="7"/>
        <v>66</v>
      </c>
      <c r="L78" s="353">
        <f t="shared" si="5"/>
        <v>84.375</v>
      </c>
      <c r="M78" s="313"/>
      <c r="N78" s="445">
        <v>89</v>
      </c>
      <c r="O78" s="432">
        <v>81</v>
      </c>
      <c r="P78" s="437">
        <f t="shared" si="8"/>
        <v>4</v>
      </c>
      <c r="Q78" s="438">
        <f t="shared" si="9"/>
        <v>15</v>
      </c>
      <c r="R78" s="30"/>
      <c r="S78" s="29"/>
      <c r="T78" s="31"/>
      <c r="V78" s="99">
        <v>89</v>
      </c>
      <c r="W78" s="421">
        <v>94</v>
      </c>
    </row>
    <row r="79" spans="1:23" ht="11.15" customHeight="1" x14ac:dyDescent="0.25">
      <c r="A79" s="21">
        <v>25</v>
      </c>
      <c r="B79" s="234"/>
      <c r="C79" s="279" t="str">
        <f>DATA!D34</f>
        <v>Raditya Eka Putra Yudha</v>
      </c>
      <c r="D79" s="248" t="str">
        <f>'UH1'!L79</f>
        <v>80</v>
      </c>
      <c r="E79" s="43"/>
      <c r="F79" s="134" t="str">
        <f>UHB!L79</f>
        <v>82</v>
      </c>
      <c r="G79" s="43"/>
      <c r="H79" s="368"/>
      <c r="I79" s="122">
        <f t="shared" si="6"/>
        <v>81</v>
      </c>
      <c r="J79" s="351">
        <v>51</v>
      </c>
      <c r="K79" s="351">
        <f t="shared" si="7"/>
        <v>76</v>
      </c>
      <c r="L79" s="353">
        <f t="shared" si="5"/>
        <v>79.75</v>
      </c>
      <c r="M79" s="313"/>
      <c r="N79" s="445">
        <v>85</v>
      </c>
      <c r="O79" s="432">
        <v>82</v>
      </c>
      <c r="P79" s="437">
        <f t="shared" si="8"/>
        <v>15</v>
      </c>
      <c r="Q79" s="438">
        <f t="shared" si="9"/>
        <v>11</v>
      </c>
      <c r="R79" s="30"/>
      <c r="S79" s="29"/>
      <c r="T79" s="31"/>
      <c r="V79" s="99">
        <v>90</v>
      </c>
      <c r="W79" s="421">
        <v>95</v>
      </c>
    </row>
    <row r="80" spans="1:23" ht="11.15" customHeight="1" x14ac:dyDescent="0.25">
      <c r="A80" s="21">
        <v>26</v>
      </c>
      <c r="B80" s="234"/>
      <c r="C80" s="279" t="str">
        <f>DATA!D35</f>
        <v>Ragil Harlangga</v>
      </c>
      <c r="D80" s="248" t="str">
        <f>'UH1'!L80</f>
        <v>80</v>
      </c>
      <c r="E80" s="43"/>
      <c r="F80" s="134" t="str">
        <f>UHB!L80</f>
        <v>81</v>
      </c>
      <c r="G80" s="43"/>
      <c r="H80" s="368"/>
      <c r="I80" s="122">
        <f t="shared" si="6"/>
        <v>80.5</v>
      </c>
      <c r="J80" s="351">
        <v>34.5</v>
      </c>
      <c r="K80" s="351">
        <f t="shared" si="7"/>
        <v>59.5</v>
      </c>
      <c r="L80" s="353">
        <f t="shared" si="5"/>
        <v>75.25</v>
      </c>
      <c r="M80" s="313"/>
      <c r="N80" s="445">
        <v>80</v>
      </c>
      <c r="O80" s="446">
        <v>80</v>
      </c>
      <c r="P80" s="437">
        <f t="shared" si="8"/>
        <v>18</v>
      </c>
      <c r="Q80" s="438">
        <f t="shared" si="9"/>
        <v>22</v>
      </c>
      <c r="R80" s="30"/>
      <c r="S80" s="29"/>
      <c r="T80" s="31"/>
    </row>
    <row r="81" spans="1:20" ht="11.15" customHeight="1" x14ac:dyDescent="0.25">
      <c r="A81" s="21">
        <v>27</v>
      </c>
      <c r="B81" s="234"/>
      <c r="C81" s="279" t="str">
        <f>DATA!D36</f>
        <v>Rasya Hidayatullah Putra Zatmiko</v>
      </c>
      <c r="D81" s="248" t="str">
        <f>'UH1'!L81</f>
        <v>80</v>
      </c>
      <c r="E81" s="43"/>
      <c r="F81" s="134" t="str">
        <f>UHB!L81</f>
        <v>80</v>
      </c>
      <c r="G81" s="43"/>
      <c r="H81" s="368"/>
      <c r="I81" s="122">
        <f t="shared" si="6"/>
        <v>80</v>
      </c>
      <c r="J81" s="351">
        <v>31</v>
      </c>
      <c r="K81" s="351">
        <f t="shared" si="7"/>
        <v>56</v>
      </c>
      <c r="L81" s="353">
        <f t="shared" si="5"/>
        <v>74</v>
      </c>
      <c r="M81" s="313"/>
      <c r="N81" s="445">
        <v>80</v>
      </c>
      <c r="O81" s="432">
        <v>80</v>
      </c>
      <c r="P81" s="437">
        <f t="shared" si="8"/>
        <v>18</v>
      </c>
      <c r="Q81" s="438">
        <f t="shared" si="9"/>
        <v>22</v>
      </c>
      <c r="R81" s="30"/>
      <c r="S81" s="29"/>
      <c r="T81" s="31"/>
    </row>
    <row r="82" spans="1:20" ht="11.15" customHeight="1" x14ac:dyDescent="0.25">
      <c r="A82" s="21">
        <v>28</v>
      </c>
      <c r="B82" s="234"/>
      <c r="C82" s="279" t="str">
        <f>DATA!D37</f>
        <v>Septiyana Trihapsari</v>
      </c>
      <c r="D82" s="248" t="str">
        <f>'UH1'!L82</f>
        <v>80</v>
      </c>
      <c r="E82" s="43"/>
      <c r="F82" s="134" t="str">
        <f>UHB!L82</f>
        <v>80</v>
      </c>
      <c r="G82" s="43"/>
      <c r="H82" s="368"/>
      <c r="I82" s="122">
        <f t="shared" si="6"/>
        <v>80</v>
      </c>
      <c r="J82" s="351">
        <v>34</v>
      </c>
      <c r="K82" s="351">
        <f t="shared" si="7"/>
        <v>59</v>
      </c>
      <c r="L82" s="353">
        <f t="shared" si="5"/>
        <v>74.75</v>
      </c>
      <c r="M82" s="313"/>
      <c r="N82" s="445">
        <v>80</v>
      </c>
      <c r="O82" s="432">
        <v>83</v>
      </c>
      <c r="P82" s="437">
        <f t="shared" si="8"/>
        <v>18</v>
      </c>
      <c r="Q82" s="438">
        <f t="shared" si="9"/>
        <v>6</v>
      </c>
      <c r="R82" s="30"/>
      <c r="S82" s="29"/>
      <c r="T82" s="31"/>
    </row>
    <row r="83" spans="1:20" ht="11.15" customHeight="1" x14ac:dyDescent="0.25">
      <c r="A83" s="21">
        <v>29</v>
      </c>
      <c r="B83" s="234"/>
      <c r="C83" s="279" t="str">
        <f>DATA!D38</f>
        <v>Syarifa Fatma</v>
      </c>
      <c r="D83" s="248">
        <f>'UH1'!L83</f>
        <v>90</v>
      </c>
      <c r="E83" s="347"/>
      <c r="F83" s="134" t="str">
        <f>UHB!L83</f>
        <v>80</v>
      </c>
      <c r="G83" s="347"/>
      <c r="H83" s="368"/>
      <c r="I83" s="122">
        <f t="shared" si="6"/>
        <v>85</v>
      </c>
      <c r="J83" s="351">
        <v>47</v>
      </c>
      <c r="K83" s="351">
        <f t="shared" si="7"/>
        <v>72</v>
      </c>
      <c r="L83" s="353">
        <f t="shared" si="5"/>
        <v>81.75</v>
      </c>
      <c r="M83" s="313"/>
      <c r="N83" s="445">
        <v>87</v>
      </c>
      <c r="O83" s="432">
        <v>85</v>
      </c>
      <c r="P83" s="437">
        <f t="shared" si="8"/>
        <v>9</v>
      </c>
      <c r="Q83" s="438">
        <f t="shared" si="9"/>
        <v>3</v>
      </c>
      <c r="R83" s="30"/>
      <c r="S83" s="29"/>
      <c r="T83" s="31"/>
    </row>
    <row r="84" spans="1:20" ht="11.15" customHeight="1" x14ac:dyDescent="0.25">
      <c r="A84" s="21">
        <v>30</v>
      </c>
      <c r="B84" s="234"/>
      <c r="C84" s="279" t="str">
        <f>DATA!D39</f>
        <v>Syauqi Lazuardi</v>
      </c>
      <c r="D84" s="248">
        <f>'UH1'!L84</f>
        <v>100</v>
      </c>
      <c r="E84" s="43"/>
      <c r="F84" s="134" t="str">
        <f>UHB!L84</f>
        <v>81</v>
      </c>
      <c r="G84" s="43"/>
      <c r="H84" s="368"/>
      <c r="I84" s="122">
        <f t="shared" si="6"/>
        <v>90.5</v>
      </c>
      <c r="J84" s="351">
        <v>40</v>
      </c>
      <c r="K84" s="351">
        <f t="shared" si="7"/>
        <v>65</v>
      </c>
      <c r="L84" s="353">
        <f t="shared" si="5"/>
        <v>84.125</v>
      </c>
      <c r="M84" s="313"/>
      <c r="N84" s="445">
        <v>89</v>
      </c>
      <c r="O84" s="432">
        <v>83</v>
      </c>
      <c r="P84" s="437">
        <f t="shared" si="8"/>
        <v>4</v>
      </c>
      <c r="Q84" s="438">
        <f t="shared" si="9"/>
        <v>6</v>
      </c>
      <c r="R84" s="30"/>
      <c r="S84" s="29"/>
      <c r="T84" s="31"/>
    </row>
    <row r="85" spans="1:20" ht="11.15" customHeight="1" x14ac:dyDescent="0.25">
      <c r="A85" s="21">
        <v>31</v>
      </c>
      <c r="B85" s="234"/>
      <c r="C85" s="279" t="str">
        <f>DATA!D40</f>
        <v>Zakya Ninu Azzahra</v>
      </c>
      <c r="D85" s="248">
        <f>'UH1'!L85</f>
        <v>90</v>
      </c>
      <c r="E85" s="43"/>
      <c r="F85" s="134" t="str">
        <f>UHB!L85</f>
        <v>81</v>
      </c>
      <c r="G85" s="43"/>
      <c r="H85" s="368"/>
      <c r="I85" s="122">
        <f t="shared" si="6"/>
        <v>85.5</v>
      </c>
      <c r="J85" s="351">
        <v>44.5</v>
      </c>
      <c r="K85" s="351">
        <f t="shared" si="7"/>
        <v>69.5</v>
      </c>
      <c r="L85" s="353">
        <f t="shared" si="5"/>
        <v>81.5</v>
      </c>
      <c r="M85" s="313"/>
      <c r="N85" s="445">
        <v>87</v>
      </c>
      <c r="O85" s="432">
        <v>83</v>
      </c>
      <c r="P85" s="437">
        <f t="shared" si="8"/>
        <v>9</v>
      </c>
      <c r="Q85" s="438">
        <f t="shared" si="9"/>
        <v>6</v>
      </c>
      <c r="R85" s="30"/>
      <c r="S85" s="29"/>
      <c r="T85" s="31"/>
    </row>
    <row r="86" spans="1:20" ht="11.15" customHeight="1" x14ac:dyDescent="0.25">
      <c r="A86" s="21">
        <v>32</v>
      </c>
      <c r="B86" s="234"/>
      <c r="C86" s="279" t="str">
        <f>DATA!D41</f>
        <v>Zivara Layly Amaratungga</v>
      </c>
      <c r="D86" s="248" t="str">
        <f>'UH1'!L86</f>
        <v>80</v>
      </c>
      <c r="E86" s="43"/>
      <c r="F86" s="134" t="str">
        <f>UHB!L86</f>
        <v>80</v>
      </c>
      <c r="G86" s="43"/>
      <c r="H86" s="368"/>
      <c r="I86" s="122">
        <f t="shared" si="6"/>
        <v>80</v>
      </c>
      <c r="J86" s="351">
        <v>28.5</v>
      </c>
      <c r="K86" s="351">
        <f t="shared" si="7"/>
        <v>53.5</v>
      </c>
      <c r="L86" s="353">
        <f t="shared" si="5"/>
        <v>73.375</v>
      </c>
      <c r="M86" s="313"/>
      <c r="N86" s="445">
        <v>80</v>
      </c>
      <c r="O86" s="432">
        <v>80</v>
      </c>
      <c r="P86" s="437">
        <f t="shared" si="8"/>
        <v>18</v>
      </c>
      <c r="Q86" s="438">
        <f t="shared" si="9"/>
        <v>22</v>
      </c>
      <c r="R86" s="30"/>
      <c r="S86" s="29"/>
      <c r="T86" s="31"/>
    </row>
    <row r="87" spans="1:20" ht="11.15" customHeight="1" x14ac:dyDescent="0.25">
      <c r="A87" s="21">
        <v>33</v>
      </c>
      <c r="B87" s="133"/>
      <c r="C87" s="19"/>
      <c r="D87" s="290"/>
      <c r="E87" s="291"/>
      <c r="F87" s="291"/>
      <c r="G87" s="291"/>
      <c r="H87" s="292"/>
      <c r="I87" s="122"/>
      <c r="J87" s="133"/>
      <c r="K87" s="133"/>
      <c r="L87" s="353"/>
      <c r="M87" s="313"/>
      <c r="N87" s="445"/>
      <c r="O87" s="432"/>
      <c r="P87" s="437"/>
      <c r="Q87" s="438"/>
      <c r="R87" s="30"/>
      <c r="S87" s="29"/>
      <c r="T87" s="31"/>
    </row>
    <row r="88" spans="1:20" ht="11.15" customHeight="1" x14ac:dyDescent="0.25">
      <c r="A88" s="21">
        <v>34</v>
      </c>
      <c r="B88" s="133"/>
      <c r="C88" s="19"/>
      <c r="D88" s="290"/>
      <c r="E88" s="291"/>
      <c r="F88" s="291"/>
      <c r="G88" s="291"/>
      <c r="H88" s="292"/>
      <c r="I88" s="122"/>
      <c r="J88" s="133"/>
      <c r="K88" s="133"/>
      <c r="L88" s="360"/>
      <c r="M88" s="313"/>
      <c r="N88" s="445"/>
      <c r="O88" s="432"/>
      <c r="P88" s="437"/>
      <c r="Q88" s="439"/>
      <c r="R88" s="30"/>
      <c r="S88" s="29"/>
      <c r="T88" s="31"/>
    </row>
    <row r="89" spans="1:20" ht="11.15" customHeight="1" x14ac:dyDescent="0.25">
      <c r="A89" s="21">
        <v>35</v>
      </c>
      <c r="B89" s="133"/>
      <c r="C89" s="19"/>
      <c r="D89" s="293"/>
      <c r="E89" s="294"/>
      <c r="F89" s="294"/>
      <c r="G89" s="294"/>
      <c r="H89" s="295"/>
      <c r="I89" s="390"/>
      <c r="J89" s="285"/>
      <c r="K89" s="285"/>
      <c r="L89" s="361"/>
      <c r="M89" s="313"/>
      <c r="N89" s="447"/>
      <c r="O89" s="448"/>
      <c r="P89" s="441"/>
      <c r="Q89" s="440"/>
      <c r="R89" s="8"/>
      <c r="S89" s="124"/>
      <c r="T89" s="9"/>
    </row>
    <row r="90" spans="1:20" ht="11.15" customHeight="1" x14ac:dyDescent="0.25">
      <c r="A90" s="488"/>
      <c r="B90" s="489"/>
      <c r="C90" s="106"/>
      <c r="D90" s="308"/>
      <c r="E90" s="308"/>
      <c r="F90" s="308"/>
      <c r="G90" s="308"/>
      <c r="H90" s="308"/>
      <c r="I90" s="309"/>
      <c r="J90" s="309"/>
      <c r="K90" s="310"/>
      <c r="L90" s="362"/>
      <c r="M90" s="313"/>
      <c r="N90" s="313"/>
    </row>
    <row r="91" spans="1:20" ht="11.15" customHeight="1" x14ac:dyDescent="0.3">
      <c r="A91" s="490"/>
      <c r="B91" s="491"/>
      <c r="C91" s="306" t="s">
        <v>71</v>
      </c>
      <c r="D91" s="307"/>
      <c r="E91" s="150"/>
      <c r="F91" s="307"/>
      <c r="G91" s="150"/>
      <c r="H91" s="307"/>
      <c r="I91" s="307"/>
      <c r="J91" s="403">
        <f>COUNTIF(J55:J89,"&gt;=79,5")</f>
        <v>0</v>
      </c>
      <c r="K91" s="307">
        <f>COUNTIF(K55:K89,"&gt;=79,5")</f>
        <v>1</v>
      </c>
      <c r="L91" s="356">
        <f>COUNTIF(L55:L89,"&gt;=79,5")</f>
        <v>14</v>
      </c>
      <c r="M91" s="313"/>
      <c r="N91" s="449">
        <f>COUNTIF(N55:N89,"&gt;=79,5")</f>
        <v>32</v>
      </c>
      <c r="O91" s="449">
        <f>COUNTIF(O55:O89,"&gt;=79,5")</f>
        <v>32</v>
      </c>
      <c r="P91" s="125"/>
    </row>
    <row r="92" spans="1:20" ht="11.15" customHeight="1" x14ac:dyDescent="0.3">
      <c r="A92" s="482"/>
      <c r="B92" s="483"/>
      <c r="C92" s="273" t="s">
        <v>72</v>
      </c>
      <c r="D92" s="304"/>
      <c r="E92" s="42"/>
      <c r="F92" s="304"/>
      <c r="G92" s="42"/>
      <c r="H92" s="304"/>
      <c r="I92" s="304"/>
      <c r="J92" s="404">
        <f>COUNTIF(J55:J89,"&lt;79,5")</f>
        <v>32</v>
      </c>
      <c r="K92" s="304">
        <f>COUNTIF(K55:K89,"&lt;79,5")</f>
        <v>31</v>
      </c>
      <c r="L92" s="357">
        <f>COUNTIF(L55:L89,"&lt;79,5")</f>
        <v>18</v>
      </c>
      <c r="M92" s="313"/>
      <c r="N92" s="404">
        <f>COUNTIF(N55:N89,"&lt;79,5")</f>
        <v>0</v>
      </c>
      <c r="O92" s="404">
        <f>COUNTIF(O55:O89,"&lt;79,5")</f>
        <v>0</v>
      </c>
      <c r="P92" s="125"/>
    </row>
    <row r="93" spans="1:20" ht="11.15" customHeight="1" x14ac:dyDescent="0.3">
      <c r="A93" s="482"/>
      <c r="B93" s="483"/>
      <c r="C93" s="273" t="s">
        <v>73</v>
      </c>
      <c r="D93" s="304"/>
      <c r="E93" s="42"/>
      <c r="F93" s="304"/>
      <c r="G93" s="42"/>
      <c r="H93" s="304"/>
      <c r="I93" s="304"/>
      <c r="J93" s="405">
        <f>MIN(J55:J89)</f>
        <v>24.5</v>
      </c>
      <c r="K93" s="304">
        <f>MIN(K55:K89)</f>
        <v>49.5</v>
      </c>
      <c r="L93" s="358">
        <f>MIN(L55:L89)</f>
        <v>72.375</v>
      </c>
      <c r="M93" s="313"/>
      <c r="N93" s="405">
        <f>MIN(N55:N89)</f>
        <v>80</v>
      </c>
      <c r="O93" s="405">
        <f>MIN(O55:O89)</f>
        <v>80</v>
      </c>
      <c r="P93" s="427"/>
    </row>
    <row r="94" spans="1:20" ht="11.15" customHeight="1" x14ac:dyDescent="0.3">
      <c r="A94" s="482"/>
      <c r="B94" s="483"/>
      <c r="C94" s="273" t="s">
        <v>74</v>
      </c>
      <c r="D94" s="304"/>
      <c r="E94" s="42"/>
      <c r="F94" s="304"/>
      <c r="G94" s="42"/>
      <c r="H94" s="304"/>
      <c r="I94" s="304"/>
      <c r="J94" s="405">
        <f>MAX(J55:J89)</f>
        <v>55.5</v>
      </c>
      <c r="K94" s="304">
        <f>MAX(K55:K89)</f>
        <v>80.5</v>
      </c>
      <c r="L94" s="358">
        <f>MAX(L55:L89)</f>
        <v>87.125</v>
      </c>
      <c r="M94" s="313"/>
      <c r="N94" s="405">
        <f>MAX(N55:N89)</f>
        <v>92</v>
      </c>
      <c r="O94" s="405">
        <f>MAX(O55:O89)</f>
        <v>94</v>
      </c>
      <c r="P94" s="427"/>
    </row>
    <row r="95" spans="1:20" ht="11.15" customHeight="1" x14ac:dyDescent="0.3">
      <c r="A95" s="475"/>
      <c r="B95" s="476"/>
      <c r="C95" s="274" t="s">
        <v>75</v>
      </c>
      <c r="D95" s="305"/>
      <c r="E95" s="136"/>
      <c r="F95" s="305"/>
      <c r="G95" s="136"/>
      <c r="H95" s="305"/>
      <c r="I95" s="305"/>
      <c r="J95" s="406">
        <f>AVERAGE(J55:J89)</f>
        <v>37.546875</v>
      </c>
      <c r="K95" s="305">
        <f>AVERAGE(K55:K89)</f>
        <v>62.546875</v>
      </c>
      <c r="L95" s="359">
        <f>AVERAGE(L55:L89)</f>
        <v>78.2734375</v>
      </c>
      <c r="M95" s="313"/>
      <c r="N95" s="406">
        <f>AVERAGE(N55:N89)</f>
        <v>83.84375</v>
      </c>
      <c r="O95" s="406">
        <f>AVERAGE(O55:O89)</f>
        <v>82.09375</v>
      </c>
      <c r="P95" s="427"/>
    </row>
    <row r="96" spans="1:20" ht="11.15" customHeight="1" x14ac:dyDescent="0.25">
      <c r="A96" s="481"/>
      <c r="B96" s="481"/>
      <c r="D96" s="277"/>
      <c r="E96" s="277"/>
      <c r="F96" s="277"/>
      <c r="G96" s="277"/>
      <c r="H96" s="277"/>
      <c r="K96" s="282"/>
      <c r="L96" s="301"/>
      <c r="M96" s="313"/>
      <c r="N96" s="313"/>
    </row>
    <row r="97" spans="1:23" ht="11.15" customHeight="1" x14ac:dyDescent="0.25">
      <c r="A97" s="128"/>
      <c r="B97" s="128"/>
      <c r="D97" s="277"/>
      <c r="E97" s="277"/>
      <c r="F97" s="277"/>
      <c r="G97" s="277"/>
      <c r="H97" s="277"/>
      <c r="K97" s="282"/>
      <c r="L97" s="301"/>
      <c r="M97" s="313"/>
      <c r="N97" s="313"/>
    </row>
    <row r="98" spans="1:23" ht="11.15" customHeight="1" x14ac:dyDescent="0.25">
      <c r="A98" s="128"/>
      <c r="B98" s="128"/>
      <c r="D98" s="277"/>
      <c r="E98" s="277"/>
      <c r="F98" s="277"/>
      <c r="G98" s="277"/>
      <c r="H98" s="277"/>
      <c r="K98" s="282"/>
      <c r="L98" s="301"/>
      <c r="M98" s="313"/>
      <c r="N98" s="313"/>
    </row>
    <row r="99" spans="1:23" ht="11.15" customHeight="1" x14ac:dyDescent="0.3">
      <c r="A99" s="478"/>
      <c r="B99" s="478"/>
      <c r="C99" s="478" t="str">
        <f>C50</f>
        <v>DAFTAR  NILAI MATEMATIKA SMT 1 TP 2025/2026</v>
      </c>
      <c r="D99" s="478"/>
      <c r="E99" s="478"/>
      <c r="F99" s="478"/>
      <c r="G99" s="478"/>
      <c r="H99" s="478"/>
      <c r="I99" s="478"/>
      <c r="J99" s="478"/>
      <c r="K99" s="478"/>
      <c r="L99" s="478"/>
      <c r="M99" s="313"/>
      <c r="N99" s="313"/>
    </row>
    <row r="100" spans="1:23" ht="11.15" customHeight="1" x14ac:dyDescent="0.3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313"/>
      <c r="N100" s="498" t="s">
        <v>497</v>
      </c>
      <c r="O100" s="498"/>
      <c r="P100" s="128"/>
      <c r="Q100" s="492" t="s">
        <v>92</v>
      </c>
    </row>
    <row r="101" spans="1:23" ht="11.15" customHeight="1" x14ac:dyDescent="0.3">
      <c r="A101" s="479"/>
      <c r="B101" s="479"/>
      <c r="D101" s="277"/>
      <c r="E101" s="277"/>
      <c r="F101" s="277"/>
      <c r="G101" s="277"/>
      <c r="H101" s="277"/>
      <c r="K101" s="282"/>
      <c r="L101" s="301"/>
      <c r="M101" s="313"/>
      <c r="N101" s="493" t="s">
        <v>496</v>
      </c>
      <c r="O101" s="493"/>
      <c r="P101" s="104"/>
      <c r="Q101" s="492"/>
    </row>
    <row r="102" spans="1:23" ht="11.15" customHeight="1" x14ac:dyDescent="0.3">
      <c r="A102" s="484" t="s">
        <v>0</v>
      </c>
      <c r="B102" s="153"/>
      <c r="C102" s="484" t="s">
        <v>2</v>
      </c>
      <c r="D102" s="477" t="s">
        <v>85</v>
      </c>
      <c r="E102" s="477"/>
      <c r="F102" s="477"/>
      <c r="G102" s="477"/>
      <c r="H102" s="477"/>
      <c r="I102" s="53" t="s">
        <v>70</v>
      </c>
      <c r="J102" s="474" t="s">
        <v>296</v>
      </c>
      <c r="K102" s="474"/>
      <c r="L102" s="474" t="s">
        <v>87</v>
      </c>
      <c r="M102" s="313"/>
      <c r="N102" s="494" t="s">
        <v>494</v>
      </c>
      <c r="O102" s="496" t="s">
        <v>495</v>
      </c>
      <c r="P102" s="501" t="s">
        <v>499</v>
      </c>
      <c r="Q102" s="502"/>
      <c r="R102" s="60"/>
      <c r="S102" s="10"/>
      <c r="T102" s="61"/>
    </row>
    <row r="103" spans="1:23" ht="11.15" customHeight="1" x14ac:dyDescent="0.3">
      <c r="A103" s="484"/>
      <c r="B103" s="153"/>
      <c r="C103" s="484"/>
      <c r="D103" s="289" t="s">
        <v>97</v>
      </c>
      <c r="E103" s="289"/>
      <c r="F103" s="289" t="s">
        <v>98</v>
      </c>
      <c r="G103" s="289"/>
      <c r="H103" s="289" t="s">
        <v>99</v>
      </c>
      <c r="I103" s="129" t="s">
        <v>85</v>
      </c>
      <c r="J103" s="289" t="s">
        <v>100</v>
      </c>
      <c r="K103" s="365" t="s">
        <v>101</v>
      </c>
      <c r="L103" s="474"/>
      <c r="M103" s="313"/>
      <c r="N103" s="495"/>
      <c r="O103" s="497"/>
      <c r="P103" s="428" t="s">
        <v>494</v>
      </c>
      <c r="Q103" s="429" t="s">
        <v>495</v>
      </c>
      <c r="R103" s="29"/>
      <c r="S103" s="29"/>
      <c r="T103" s="31"/>
    </row>
    <row r="104" spans="1:23" ht="11.15" customHeight="1" x14ac:dyDescent="0.25">
      <c r="A104" s="20">
        <v>1</v>
      </c>
      <c r="B104" s="235"/>
      <c r="C104" s="130" t="str">
        <f>DATA!F10</f>
        <v>Ahmad Husain</v>
      </c>
      <c r="D104" s="342" t="str">
        <f>'UH1'!L102</f>
        <v>81</v>
      </c>
      <c r="E104" s="40"/>
      <c r="F104" s="131" t="str">
        <f>UHB!L102</f>
        <v>81</v>
      </c>
      <c r="G104" s="40"/>
      <c r="H104" s="367"/>
      <c r="I104" s="120">
        <f>(D104+F104)/2</f>
        <v>81</v>
      </c>
      <c r="J104" s="350">
        <v>40</v>
      </c>
      <c r="K104" s="350">
        <f>J104+25</f>
        <v>65</v>
      </c>
      <c r="L104" s="352">
        <f t="shared" ref="L104:L135" si="10">I104*0.75+K104*0.25</f>
        <v>77</v>
      </c>
      <c r="M104" s="313"/>
      <c r="N104" s="430">
        <v>82</v>
      </c>
      <c r="O104" s="41">
        <v>83</v>
      </c>
      <c r="P104" s="435">
        <f>RANK(N104,$N$104:$N$138,0)</f>
        <v>13</v>
      </c>
      <c r="Q104" s="436">
        <f>RANK(O104,$O$104:$O$138,0)</f>
        <v>9</v>
      </c>
      <c r="R104" s="30"/>
      <c r="S104" s="29"/>
      <c r="T104" s="31"/>
    </row>
    <row r="105" spans="1:23" ht="11.15" customHeight="1" x14ac:dyDescent="0.25">
      <c r="A105" s="21">
        <v>2</v>
      </c>
      <c r="B105" s="234"/>
      <c r="C105" s="130" t="str">
        <f>DATA!F11</f>
        <v>Albeth Christian F.</v>
      </c>
      <c r="D105" s="248" t="str">
        <f>'UH1'!L103</f>
        <v>80</v>
      </c>
      <c r="E105" s="43"/>
      <c r="F105" s="134" t="str">
        <f>UHB!L103</f>
        <v>80</v>
      </c>
      <c r="G105" s="43"/>
      <c r="H105" s="368"/>
      <c r="I105" s="122">
        <f t="shared" ref="I105:I135" si="11">(D105+F105)/2</f>
        <v>80</v>
      </c>
      <c r="J105" s="351">
        <v>34.5</v>
      </c>
      <c r="K105" s="351">
        <f t="shared" ref="K105:K135" si="12">J105+25</f>
        <v>59.5</v>
      </c>
      <c r="L105" s="353">
        <f t="shared" si="10"/>
        <v>74.875</v>
      </c>
      <c r="M105" s="313"/>
      <c r="N105" s="290">
        <v>80</v>
      </c>
      <c r="O105" s="44">
        <v>82</v>
      </c>
      <c r="P105" s="437">
        <f t="shared" ref="P105:P135" si="13">RANK(N105,$N$104:$N$138,0)</f>
        <v>26</v>
      </c>
      <c r="Q105" s="438">
        <f t="shared" ref="Q105:Q135" si="14">RANK(O105,$O$104:$O$138,0)</f>
        <v>12</v>
      </c>
      <c r="R105" s="30"/>
      <c r="S105" s="29"/>
      <c r="T105" s="31"/>
    </row>
    <row r="106" spans="1:23" ht="11.15" customHeight="1" x14ac:dyDescent="0.25">
      <c r="A106" s="21">
        <v>3</v>
      </c>
      <c r="B106" s="234"/>
      <c r="C106" s="130" t="str">
        <f>DATA!F12</f>
        <v>Alfino Kurniawan</v>
      </c>
      <c r="D106" s="248" t="str">
        <f>'UH1'!L104</f>
        <v>80</v>
      </c>
      <c r="E106" s="43"/>
      <c r="F106" s="134" t="str">
        <f>UHB!L104</f>
        <v>80</v>
      </c>
      <c r="G106" s="43"/>
      <c r="H106" s="368"/>
      <c r="I106" s="122">
        <f t="shared" si="11"/>
        <v>80</v>
      </c>
      <c r="J106" s="351">
        <v>36.5</v>
      </c>
      <c r="K106" s="351">
        <f t="shared" si="12"/>
        <v>61.5</v>
      </c>
      <c r="L106" s="353">
        <f t="shared" si="10"/>
        <v>75.375</v>
      </c>
      <c r="M106" s="313"/>
      <c r="N106" s="290">
        <v>80</v>
      </c>
      <c r="O106" s="44">
        <v>80</v>
      </c>
      <c r="P106" s="437">
        <f t="shared" si="13"/>
        <v>26</v>
      </c>
      <c r="Q106" s="438">
        <f t="shared" si="14"/>
        <v>19</v>
      </c>
      <c r="R106" s="30"/>
      <c r="S106" s="29"/>
      <c r="T106" s="31"/>
      <c r="V106" s="414" t="s">
        <v>100</v>
      </c>
      <c r="W106" s="102" t="s">
        <v>488</v>
      </c>
    </row>
    <row r="107" spans="1:23" ht="11.15" customHeight="1" x14ac:dyDescent="0.25">
      <c r="A107" s="21">
        <v>4</v>
      </c>
      <c r="B107" s="234"/>
      <c r="C107" s="130" t="str">
        <f>DATA!F13</f>
        <v>Alif Jalu Adil</v>
      </c>
      <c r="D107" s="248" t="str">
        <f>'UH1'!L105</f>
        <v>82</v>
      </c>
      <c r="E107" s="43"/>
      <c r="F107" s="134" t="str">
        <f>UHB!L105</f>
        <v>82</v>
      </c>
      <c r="G107" s="43"/>
      <c r="H107" s="368"/>
      <c r="I107" s="122">
        <f t="shared" si="11"/>
        <v>82</v>
      </c>
      <c r="J107" s="351">
        <v>59.5</v>
      </c>
      <c r="K107" s="351">
        <f t="shared" si="12"/>
        <v>84.5</v>
      </c>
      <c r="L107" s="353">
        <f t="shared" si="10"/>
        <v>82.625</v>
      </c>
      <c r="M107" s="313"/>
      <c r="N107" s="290">
        <v>88</v>
      </c>
      <c r="O107" s="44">
        <v>86</v>
      </c>
      <c r="P107" s="437">
        <f t="shared" si="13"/>
        <v>4</v>
      </c>
      <c r="Q107" s="438">
        <f t="shared" si="14"/>
        <v>4</v>
      </c>
      <c r="R107" s="30"/>
      <c r="S107" s="128" t="str">
        <f>S58</f>
        <v>Limbangan, 15 Mei 2026</v>
      </c>
      <c r="T107" s="31"/>
      <c r="V107" s="173"/>
      <c r="W107" s="102"/>
    </row>
    <row r="108" spans="1:23" ht="11.15" customHeight="1" x14ac:dyDescent="0.25">
      <c r="A108" s="21">
        <v>5</v>
      </c>
      <c r="B108" s="234"/>
      <c r="C108" s="130" t="str">
        <f>DATA!F14</f>
        <v>Almira Tian Az Zahra</v>
      </c>
      <c r="D108" s="248">
        <f>'UH1'!L106</f>
        <v>80</v>
      </c>
      <c r="E108" s="43"/>
      <c r="F108" s="134">
        <f>UHB!L106</f>
        <v>90</v>
      </c>
      <c r="G108" s="43"/>
      <c r="H108" s="368"/>
      <c r="I108" s="122">
        <f t="shared" si="11"/>
        <v>85</v>
      </c>
      <c r="J108" s="351">
        <v>72</v>
      </c>
      <c r="K108" s="351">
        <f t="shared" si="12"/>
        <v>97</v>
      </c>
      <c r="L108" s="353">
        <f t="shared" si="10"/>
        <v>88</v>
      </c>
      <c r="M108" s="313"/>
      <c r="N108" s="290">
        <v>93</v>
      </c>
      <c r="O108" s="44">
        <v>95</v>
      </c>
      <c r="P108" s="437">
        <f t="shared" si="13"/>
        <v>1</v>
      </c>
      <c r="Q108" s="438">
        <f t="shared" si="14"/>
        <v>1</v>
      </c>
      <c r="R108" s="30"/>
      <c r="S108" s="29"/>
      <c r="T108" s="31"/>
      <c r="V108" s="99">
        <v>70</v>
      </c>
      <c r="W108" s="326"/>
    </row>
    <row r="109" spans="1:23" ht="11.15" customHeight="1" x14ac:dyDescent="0.25">
      <c r="A109" s="21">
        <v>6</v>
      </c>
      <c r="B109" s="234"/>
      <c r="C109" s="130" t="str">
        <f>DATA!F15</f>
        <v>Alvino Dafa Radhwa Aqilah</v>
      </c>
      <c r="D109" s="248">
        <f>'UH1'!L107</f>
        <v>80</v>
      </c>
      <c r="E109" s="43"/>
      <c r="F109" s="134" t="str">
        <f>UHB!L107</f>
        <v>82</v>
      </c>
      <c r="G109" s="43"/>
      <c r="H109" s="368"/>
      <c r="I109" s="122">
        <f t="shared" si="11"/>
        <v>81</v>
      </c>
      <c r="J109" s="351">
        <v>47</v>
      </c>
      <c r="K109" s="351">
        <f t="shared" si="12"/>
        <v>72</v>
      </c>
      <c r="L109" s="353">
        <f t="shared" si="10"/>
        <v>78.75</v>
      </c>
      <c r="M109" s="313"/>
      <c r="N109" s="290">
        <v>85</v>
      </c>
      <c r="O109" s="44">
        <v>88</v>
      </c>
      <c r="P109" s="437">
        <f t="shared" si="13"/>
        <v>5</v>
      </c>
      <c r="Q109" s="438">
        <f t="shared" si="14"/>
        <v>2</v>
      </c>
      <c r="R109" s="30"/>
      <c r="S109" s="128" t="s">
        <v>41</v>
      </c>
      <c r="T109" s="31"/>
      <c r="V109" s="99">
        <v>71</v>
      </c>
      <c r="W109" s="326"/>
    </row>
    <row r="110" spans="1:23" ht="11.15" customHeight="1" x14ac:dyDescent="0.25">
      <c r="A110" s="21">
        <v>7</v>
      </c>
      <c r="B110" s="234"/>
      <c r="C110" s="133" t="str">
        <f>DATA!F16</f>
        <v>Ananda Dhanis Syarifudien</v>
      </c>
      <c r="D110" s="248" t="str">
        <f>'UH1'!L108</f>
        <v>80</v>
      </c>
      <c r="E110" s="43"/>
      <c r="F110" s="134" t="str">
        <f>UHB!L108</f>
        <v>81</v>
      </c>
      <c r="G110" s="43"/>
      <c r="H110" s="368"/>
      <c r="I110" s="122">
        <f t="shared" si="11"/>
        <v>80.5</v>
      </c>
      <c r="J110" s="351">
        <v>42</v>
      </c>
      <c r="K110" s="351">
        <f t="shared" si="12"/>
        <v>67</v>
      </c>
      <c r="L110" s="353">
        <f t="shared" si="10"/>
        <v>77.125</v>
      </c>
      <c r="M110" s="313"/>
      <c r="N110" s="290">
        <v>82</v>
      </c>
      <c r="O110" s="44">
        <v>80</v>
      </c>
      <c r="P110" s="437">
        <f t="shared" si="13"/>
        <v>13</v>
      </c>
      <c r="Q110" s="438">
        <f t="shared" si="14"/>
        <v>19</v>
      </c>
      <c r="R110" s="30"/>
      <c r="S110" s="128"/>
      <c r="T110" s="31"/>
      <c r="V110" s="99">
        <v>72</v>
      </c>
      <c r="W110" s="424"/>
    </row>
    <row r="111" spans="1:23" ht="11.15" customHeight="1" x14ac:dyDescent="0.25">
      <c r="A111" s="21">
        <v>8</v>
      </c>
      <c r="B111" s="234"/>
      <c r="C111" s="133" t="str">
        <f>DATA!F17</f>
        <v>Andra Putra Wahyu Baskara</v>
      </c>
      <c r="D111" s="248" t="str">
        <f>'UH1'!L109</f>
        <v>80</v>
      </c>
      <c r="E111" s="43"/>
      <c r="F111" s="134" t="str">
        <f>UHB!L109</f>
        <v>81</v>
      </c>
      <c r="G111" s="43"/>
      <c r="H111" s="368"/>
      <c r="I111" s="122">
        <f t="shared" si="11"/>
        <v>80.5</v>
      </c>
      <c r="J111" s="351">
        <v>43</v>
      </c>
      <c r="K111" s="351">
        <f t="shared" si="12"/>
        <v>68</v>
      </c>
      <c r="L111" s="353">
        <f t="shared" si="10"/>
        <v>77.375</v>
      </c>
      <c r="M111" s="313"/>
      <c r="N111" s="290">
        <v>82</v>
      </c>
      <c r="O111" s="44">
        <v>80</v>
      </c>
      <c r="P111" s="437">
        <f t="shared" si="13"/>
        <v>13</v>
      </c>
      <c r="Q111" s="438">
        <f t="shared" si="14"/>
        <v>19</v>
      </c>
      <c r="R111" s="30"/>
      <c r="S111" s="128"/>
      <c r="T111" s="31"/>
      <c r="V111" s="99">
        <v>73</v>
      </c>
      <c r="W111" s="425"/>
    </row>
    <row r="112" spans="1:23" ht="11.15" customHeight="1" x14ac:dyDescent="0.25">
      <c r="A112" s="21">
        <v>9</v>
      </c>
      <c r="B112" s="234"/>
      <c r="C112" s="133" t="str">
        <f>DATA!F18</f>
        <v>Ardhan Restu Pratama</v>
      </c>
      <c r="D112" s="248" t="str">
        <f>'UH1'!L110</f>
        <v>80</v>
      </c>
      <c r="E112" s="43"/>
      <c r="F112" s="134" t="str">
        <f>UHB!L110</f>
        <v>81</v>
      </c>
      <c r="G112" s="43"/>
      <c r="H112" s="368"/>
      <c r="I112" s="122">
        <f t="shared" si="11"/>
        <v>80.5</v>
      </c>
      <c r="J112" s="351">
        <v>46.5</v>
      </c>
      <c r="K112" s="351">
        <f t="shared" si="12"/>
        <v>71.5</v>
      </c>
      <c r="L112" s="353">
        <f t="shared" si="10"/>
        <v>78.25</v>
      </c>
      <c r="M112" s="313"/>
      <c r="N112" s="290">
        <v>83</v>
      </c>
      <c r="O112" s="44">
        <v>80</v>
      </c>
      <c r="P112" s="437">
        <f t="shared" si="13"/>
        <v>12</v>
      </c>
      <c r="Q112" s="438">
        <f t="shared" si="14"/>
        <v>19</v>
      </c>
      <c r="R112" s="30"/>
      <c r="S112" s="128"/>
      <c r="T112" s="31"/>
      <c r="V112" s="99">
        <v>74</v>
      </c>
      <c r="W112" s="425"/>
    </row>
    <row r="113" spans="1:23" ht="11.15" customHeight="1" x14ac:dyDescent="0.25">
      <c r="A113" s="21">
        <v>10</v>
      </c>
      <c r="B113" s="234"/>
      <c r="C113" s="133" t="str">
        <f>DATA!F19</f>
        <v>Ardi Setyo Nugroho</v>
      </c>
      <c r="D113" s="248" t="str">
        <f>'UH1'!L111</f>
        <v>82</v>
      </c>
      <c r="E113" s="43"/>
      <c r="F113" s="134" t="str">
        <f>UHB!L111</f>
        <v>80</v>
      </c>
      <c r="G113" s="43"/>
      <c r="H113" s="368"/>
      <c r="I113" s="122">
        <f t="shared" si="11"/>
        <v>81</v>
      </c>
      <c r="J113" s="351">
        <v>28</v>
      </c>
      <c r="K113" s="351">
        <f t="shared" si="12"/>
        <v>53</v>
      </c>
      <c r="L113" s="353">
        <f t="shared" si="10"/>
        <v>74</v>
      </c>
      <c r="M113" s="313"/>
      <c r="N113" s="290">
        <v>80</v>
      </c>
      <c r="O113" s="44">
        <v>80</v>
      </c>
      <c r="P113" s="437">
        <f t="shared" si="13"/>
        <v>26</v>
      </c>
      <c r="Q113" s="438">
        <f t="shared" si="14"/>
        <v>19</v>
      </c>
      <c r="R113" s="30"/>
      <c r="S113" s="128" t="s">
        <v>58</v>
      </c>
      <c r="T113" s="31"/>
      <c r="V113" s="99">
        <v>75</v>
      </c>
      <c r="W113" s="422">
        <v>80</v>
      </c>
    </row>
    <row r="114" spans="1:23" ht="11.15" customHeight="1" x14ac:dyDescent="0.25">
      <c r="A114" s="21">
        <v>11</v>
      </c>
      <c r="B114" s="234"/>
      <c r="C114" s="133" t="str">
        <f>DATA!F20</f>
        <v>Az Zahra Aulia Rahma</v>
      </c>
      <c r="D114" s="248" t="str">
        <f>'UH1'!L112</f>
        <v>80</v>
      </c>
      <c r="E114" s="151"/>
      <c r="F114" s="417" t="str">
        <f>UHB!L112</f>
        <v>82</v>
      </c>
      <c r="G114" s="151"/>
      <c r="H114" s="368"/>
      <c r="I114" s="122">
        <f t="shared" si="11"/>
        <v>81</v>
      </c>
      <c r="J114" s="351">
        <v>51.5</v>
      </c>
      <c r="K114" s="351">
        <f t="shared" si="12"/>
        <v>76.5</v>
      </c>
      <c r="L114" s="353">
        <f t="shared" si="10"/>
        <v>79.875</v>
      </c>
      <c r="M114" s="313"/>
      <c r="N114" s="290">
        <v>85</v>
      </c>
      <c r="O114" s="44">
        <v>81</v>
      </c>
      <c r="P114" s="437">
        <f t="shared" si="13"/>
        <v>5</v>
      </c>
      <c r="Q114" s="438">
        <f t="shared" si="14"/>
        <v>13</v>
      </c>
      <c r="R114" s="30"/>
      <c r="S114" s="128" t="s">
        <v>68</v>
      </c>
      <c r="T114" s="31"/>
      <c r="V114" s="99">
        <v>76</v>
      </c>
      <c r="W114" s="422">
        <v>81</v>
      </c>
    </row>
    <row r="115" spans="1:23" ht="11.15" customHeight="1" x14ac:dyDescent="0.25">
      <c r="A115" s="21">
        <v>12</v>
      </c>
      <c r="B115" s="234"/>
      <c r="C115" s="133" t="str">
        <f>DATA!F21</f>
        <v>Desti Dwi Wahyuni</v>
      </c>
      <c r="D115" s="248">
        <f>'UH1'!L113</f>
        <v>100</v>
      </c>
      <c r="E115" s="43"/>
      <c r="F115" s="134" t="str">
        <f>UHB!L113</f>
        <v>81</v>
      </c>
      <c r="G115" s="43"/>
      <c r="H115" s="368"/>
      <c r="I115" s="122">
        <f t="shared" si="11"/>
        <v>90.5</v>
      </c>
      <c r="J115" s="351">
        <v>44.5</v>
      </c>
      <c r="K115" s="351">
        <f t="shared" si="12"/>
        <v>69.5</v>
      </c>
      <c r="L115" s="353">
        <f t="shared" si="10"/>
        <v>85.25</v>
      </c>
      <c r="M115" s="313"/>
      <c r="N115" s="290">
        <v>90</v>
      </c>
      <c r="O115" s="44">
        <v>80</v>
      </c>
      <c r="P115" s="437">
        <f t="shared" si="13"/>
        <v>3</v>
      </c>
      <c r="Q115" s="438">
        <f t="shared" si="14"/>
        <v>19</v>
      </c>
      <c r="R115" s="30"/>
      <c r="S115" s="128"/>
      <c r="T115" s="31"/>
      <c r="V115" s="99">
        <v>77</v>
      </c>
      <c r="W115" s="423">
        <v>82</v>
      </c>
    </row>
    <row r="116" spans="1:23" ht="11.15" customHeight="1" x14ac:dyDescent="0.25">
      <c r="A116" s="21">
        <v>13</v>
      </c>
      <c r="B116" s="234"/>
      <c r="C116" s="133" t="str">
        <f>DATA!F22</f>
        <v>Dominikus Febri Andrean</v>
      </c>
      <c r="D116" s="248" t="str">
        <f>'UH1'!L114</f>
        <v>81</v>
      </c>
      <c r="E116" s="43"/>
      <c r="F116" s="134" t="str">
        <f>UHB!L114</f>
        <v>81</v>
      </c>
      <c r="G116" s="43"/>
      <c r="H116" s="368"/>
      <c r="I116" s="122">
        <f t="shared" si="11"/>
        <v>81</v>
      </c>
      <c r="J116" s="351">
        <v>53</v>
      </c>
      <c r="K116" s="351">
        <f t="shared" si="12"/>
        <v>78</v>
      </c>
      <c r="L116" s="353">
        <f t="shared" si="10"/>
        <v>80.25</v>
      </c>
      <c r="M116" s="313"/>
      <c r="N116" s="290">
        <v>85</v>
      </c>
      <c r="O116" s="44">
        <v>83</v>
      </c>
      <c r="P116" s="437">
        <f t="shared" si="13"/>
        <v>5</v>
      </c>
      <c r="Q116" s="438">
        <f t="shared" si="14"/>
        <v>9</v>
      </c>
      <c r="R116" s="30"/>
      <c r="S116" s="128"/>
      <c r="T116" s="31"/>
      <c r="V116" s="99">
        <v>78</v>
      </c>
      <c r="W116" s="422">
        <v>83</v>
      </c>
    </row>
    <row r="117" spans="1:23" ht="11.15" customHeight="1" x14ac:dyDescent="0.25">
      <c r="A117" s="21">
        <v>14</v>
      </c>
      <c r="B117" s="234"/>
      <c r="C117" s="133" t="str">
        <f>DATA!F23</f>
        <v>Evan Lingga Kurnia Zaen</v>
      </c>
      <c r="D117" s="248" t="str">
        <f>'UH1'!L115</f>
        <v>83</v>
      </c>
      <c r="E117" s="43"/>
      <c r="F117" s="134" t="str">
        <f>UHB!L115</f>
        <v>80</v>
      </c>
      <c r="G117" s="43"/>
      <c r="H117" s="368"/>
      <c r="I117" s="122">
        <f t="shared" si="11"/>
        <v>81.5</v>
      </c>
      <c r="J117" s="351">
        <v>34.5</v>
      </c>
      <c r="K117" s="351">
        <f t="shared" si="12"/>
        <v>59.5</v>
      </c>
      <c r="L117" s="353">
        <f t="shared" si="10"/>
        <v>76</v>
      </c>
      <c r="M117" s="313"/>
      <c r="N117" s="290">
        <v>81</v>
      </c>
      <c r="O117" s="44">
        <v>81</v>
      </c>
      <c r="P117" s="437">
        <f t="shared" si="13"/>
        <v>19</v>
      </c>
      <c r="Q117" s="438">
        <f t="shared" si="14"/>
        <v>13</v>
      </c>
      <c r="R117" s="30"/>
      <c r="S117" s="128" t="s">
        <v>42</v>
      </c>
      <c r="T117" s="31"/>
      <c r="V117" s="99">
        <v>79</v>
      </c>
      <c r="W117" s="422">
        <v>84</v>
      </c>
    </row>
    <row r="118" spans="1:23" ht="11.15" customHeight="1" x14ac:dyDescent="0.25">
      <c r="A118" s="21">
        <v>15</v>
      </c>
      <c r="B118" s="234"/>
      <c r="C118" s="133" t="str">
        <f>DATA!F24</f>
        <v>Fathan Syahrul Anan</v>
      </c>
      <c r="D118" s="248" t="str">
        <f>'UH1'!L116</f>
        <v>81</v>
      </c>
      <c r="E118" s="43"/>
      <c r="F118" s="134" t="str">
        <f>UHB!L116</f>
        <v>81</v>
      </c>
      <c r="G118" s="43"/>
      <c r="H118" s="368"/>
      <c r="I118" s="122">
        <f t="shared" si="11"/>
        <v>81</v>
      </c>
      <c r="J118" s="351">
        <v>47</v>
      </c>
      <c r="K118" s="351">
        <f t="shared" si="12"/>
        <v>72</v>
      </c>
      <c r="L118" s="353">
        <f t="shared" si="10"/>
        <v>78.75</v>
      </c>
      <c r="M118" s="313"/>
      <c r="N118" s="290">
        <v>84</v>
      </c>
      <c r="O118" s="44">
        <v>81</v>
      </c>
      <c r="P118" s="437">
        <f t="shared" si="13"/>
        <v>9</v>
      </c>
      <c r="Q118" s="438">
        <f t="shared" si="14"/>
        <v>13</v>
      </c>
      <c r="R118" s="30"/>
      <c r="S118" s="128"/>
      <c r="T118" s="31"/>
      <c r="V118" s="99">
        <v>80</v>
      </c>
      <c r="W118" s="422">
        <v>85</v>
      </c>
    </row>
    <row r="119" spans="1:23" ht="11.15" customHeight="1" x14ac:dyDescent="0.25">
      <c r="A119" s="21">
        <v>16</v>
      </c>
      <c r="B119" s="234"/>
      <c r="C119" s="133" t="str">
        <f>DATA!F25</f>
        <v>Fina Uzlifatil Jannah</v>
      </c>
      <c r="D119" s="248">
        <f>'UH1'!L117</f>
        <v>90</v>
      </c>
      <c r="E119" s="43"/>
      <c r="F119" s="134" t="str">
        <f>UHB!L117</f>
        <v>81</v>
      </c>
      <c r="G119" s="43"/>
      <c r="H119" s="368"/>
      <c r="I119" s="122">
        <f t="shared" si="11"/>
        <v>85.5</v>
      </c>
      <c r="J119" s="351">
        <v>39.5</v>
      </c>
      <c r="K119" s="351">
        <f t="shared" si="12"/>
        <v>64.5</v>
      </c>
      <c r="L119" s="353">
        <f t="shared" si="10"/>
        <v>80.25</v>
      </c>
      <c r="M119" s="313"/>
      <c r="N119" s="290">
        <v>85</v>
      </c>
      <c r="O119" s="44">
        <v>81</v>
      </c>
      <c r="P119" s="437">
        <f t="shared" si="13"/>
        <v>5</v>
      </c>
      <c r="Q119" s="438">
        <f t="shared" si="14"/>
        <v>13</v>
      </c>
      <c r="R119" s="30"/>
      <c r="S119" s="128"/>
      <c r="T119" s="31"/>
      <c r="V119" s="99">
        <v>81</v>
      </c>
      <c r="W119" s="422">
        <v>86</v>
      </c>
    </row>
    <row r="120" spans="1:23" ht="11.15" customHeight="1" x14ac:dyDescent="0.25">
      <c r="A120" s="21">
        <v>17</v>
      </c>
      <c r="B120" s="234"/>
      <c r="C120" s="133" t="str">
        <f>DATA!F26</f>
        <v>Hafidz Nugeroho</v>
      </c>
      <c r="D120" s="248" t="str">
        <f>'UH1'!L118</f>
        <v>80</v>
      </c>
      <c r="E120" s="347"/>
      <c r="F120" s="134" t="str">
        <f>UHB!L118</f>
        <v>80</v>
      </c>
      <c r="G120" s="43"/>
      <c r="H120" s="368"/>
      <c r="I120" s="122">
        <f t="shared" si="11"/>
        <v>80</v>
      </c>
      <c r="J120" s="351">
        <v>32</v>
      </c>
      <c r="K120" s="351">
        <f t="shared" si="12"/>
        <v>57</v>
      </c>
      <c r="L120" s="353">
        <f t="shared" si="10"/>
        <v>74.25</v>
      </c>
      <c r="M120" s="384"/>
      <c r="N120" s="442">
        <v>80</v>
      </c>
      <c r="O120" s="44">
        <v>80</v>
      </c>
      <c r="P120" s="437">
        <f t="shared" si="13"/>
        <v>26</v>
      </c>
      <c r="Q120" s="438">
        <f t="shared" si="14"/>
        <v>19</v>
      </c>
      <c r="R120" s="30"/>
      <c r="S120" s="128"/>
      <c r="T120" s="31"/>
      <c r="V120" s="99">
        <v>82</v>
      </c>
      <c r="W120" s="422">
        <v>87</v>
      </c>
    </row>
    <row r="121" spans="1:23" ht="11.15" customHeight="1" x14ac:dyDescent="0.25">
      <c r="A121" s="21">
        <v>18</v>
      </c>
      <c r="B121" s="234"/>
      <c r="C121" s="133" t="str">
        <f>DATA!F27</f>
        <v>Kevin Sahasika Abyan Abiyyi</v>
      </c>
      <c r="D121" s="248" t="str">
        <f>'UH1'!L119</f>
        <v>83</v>
      </c>
      <c r="E121" s="347"/>
      <c r="F121" s="134" t="str">
        <f>UHB!L119</f>
        <v>81</v>
      </c>
      <c r="G121" s="43"/>
      <c r="H121" s="368"/>
      <c r="I121" s="122">
        <f t="shared" si="11"/>
        <v>82</v>
      </c>
      <c r="J121" s="351">
        <v>38.5</v>
      </c>
      <c r="K121" s="351">
        <f t="shared" si="12"/>
        <v>63.5</v>
      </c>
      <c r="L121" s="353">
        <f t="shared" si="10"/>
        <v>77.375</v>
      </c>
      <c r="M121" s="384"/>
      <c r="N121" s="442">
        <v>82</v>
      </c>
      <c r="O121" s="44">
        <v>80</v>
      </c>
      <c r="P121" s="437">
        <f t="shared" si="13"/>
        <v>13</v>
      </c>
      <c r="Q121" s="438">
        <f t="shared" si="14"/>
        <v>19</v>
      </c>
      <c r="R121" s="30"/>
      <c r="S121" s="128"/>
      <c r="T121" s="31"/>
      <c r="V121" s="99">
        <v>83</v>
      </c>
      <c r="W121" s="422">
        <v>88</v>
      </c>
    </row>
    <row r="122" spans="1:23" ht="11.15" customHeight="1" x14ac:dyDescent="0.25">
      <c r="A122" s="21">
        <v>19</v>
      </c>
      <c r="B122" s="234"/>
      <c r="C122" s="133" t="str">
        <f>DATA!F28</f>
        <v>Laeni Shohibatul Maghfiroh</v>
      </c>
      <c r="D122" s="248" t="str">
        <f>'UH1'!L120</f>
        <v>81</v>
      </c>
      <c r="E122" s="43"/>
      <c r="F122" s="134" t="str">
        <f>UHB!L120</f>
        <v>81</v>
      </c>
      <c r="G122" s="43"/>
      <c r="H122" s="368"/>
      <c r="I122" s="122">
        <f t="shared" si="11"/>
        <v>81</v>
      </c>
      <c r="J122" s="351">
        <v>38.5</v>
      </c>
      <c r="K122" s="351">
        <f t="shared" si="12"/>
        <v>63.5</v>
      </c>
      <c r="L122" s="353">
        <f t="shared" si="10"/>
        <v>76.625</v>
      </c>
      <c r="M122" s="313"/>
      <c r="N122" s="290">
        <v>82</v>
      </c>
      <c r="O122" s="44">
        <v>80</v>
      </c>
      <c r="P122" s="437">
        <f t="shared" si="13"/>
        <v>13</v>
      </c>
      <c r="Q122" s="438">
        <f t="shared" si="14"/>
        <v>19</v>
      </c>
      <c r="R122" s="30"/>
      <c r="S122" s="128" t="str">
        <f>S73</f>
        <v>Dra. BAROKAH GUNIARTI</v>
      </c>
      <c r="T122" s="31"/>
      <c r="V122" s="99">
        <v>84</v>
      </c>
      <c r="W122" s="421">
        <v>89</v>
      </c>
    </row>
    <row r="123" spans="1:23" ht="11.15" customHeight="1" x14ac:dyDescent="0.25">
      <c r="A123" s="21">
        <v>20</v>
      </c>
      <c r="B123" s="234"/>
      <c r="C123" s="133" t="str">
        <f>DATA!F29</f>
        <v>Maelani Mulya Sari</v>
      </c>
      <c r="D123" s="248" t="str">
        <f>'UH1'!L121</f>
        <v>81</v>
      </c>
      <c r="E123" s="43"/>
      <c r="F123" s="134" t="str">
        <f>UHB!L121</f>
        <v>81</v>
      </c>
      <c r="G123" s="43"/>
      <c r="H123" s="368"/>
      <c r="I123" s="122">
        <f t="shared" si="11"/>
        <v>81</v>
      </c>
      <c r="J123" s="351">
        <v>37.5</v>
      </c>
      <c r="K123" s="351">
        <f t="shared" si="12"/>
        <v>62.5</v>
      </c>
      <c r="L123" s="353">
        <f t="shared" si="10"/>
        <v>76.375</v>
      </c>
      <c r="M123" s="313"/>
      <c r="N123" s="290">
        <v>81</v>
      </c>
      <c r="O123" s="44">
        <v>86</v>
      </c>
      <c r="P123" s="437">
        <f t="shared" si="13"/>
        <v>19</v>
      </c>
      <c r="Q123" s="438">
        <f t="shared" si="14"/>
        <v>4</v>
      </c>
      <c r="R123" s="30"/>
      <c r="S123" s="128" t="str">
        <f>S74</f>
        <v>NIP : 196901081996122004</v>
      </c>
      <c r="T123" s="31"/>
      <c r="V123" s="99">
        <v>85</v>
      </c>
      <c r="W123" s="422">
        <v>90</v>
      </c>
    </row>
    <row r="124" spans="1:23" ht="11.15" customHeight="1" x14ac:dyDescent="0.25">
      <c r="A124" s="21">
        <v>21</v>
      </c>
      <c r="B124" s="234"/>
      <c r="C124" s="133" t="str">
        <f>DATA!F30</f>
        <v>Mafasa Agung Dwi Putranti</v>
      </c>
      <c r="D124" s="248" t="str">
        <f>'UH1'!L122</f>
        <v>83</v>
      </c>
      <c r="E124" s="43"/>
      <c r="F124" s="134" t="str">
        <f>UHB!L122</f>
        <v>80</v>
      </c>
      <c r="G124" s="43"/>
      <c r="H124" s="368"/>
      <c r="I124" s="122">
        <f t="shared" si="11"/>
        <v>81.5</v>
      </c>
      <c r="J124" s="351">
        <v>28</v>
      </c>
      <c r="K124" s="351">
        <f t="shared" si="12"/>
        <v>53</v>
      </c>
      <c r="L124" s="353">
        <f t="shared" si="10"/>
        <v>74.375</v>
      </c>
      <c r="M124" s="313"/>
      <c r="N124" s="290">
        <v>80</v>
      </c>
      <c r="O124" s="44">
        <v>87</v>
      </c>
      <c r="P124" s="437">
        <f t="shared" si="13"/>
        <v>26</v>
      </c>
      <c r="Q124" s="438">
        <f t="shared" si="14"/>
        <v>3</v>
      </c>
      <c r="R124" s="30"/>
      <c r="S124" s="29"/>
      <c r="T124" s="31"/>
      <c r="V124" s="99">
        <v>86</v>
      </c>
      <c r="W124" s="421">
        <v>91</v>
      </c>
    </row>
    <row r="125" spans="1:23" ht="11.15" customHeight="1" x14ac:dyDescent="0.25">
      <c r="A125" s="21">
        <v>22</v>
      </c>
      <c r="B125" s="234"/>
      <c r="C125" s="133" t="str">
        <f>DATA!F31</f>
        <v>Marwa Dwi Hafsari</v>
      </c>
      <c r="D125" s="248">
        <f>'UH1'!L123</f>
        <v>80</v>
      </c>
      <c r="E125" s="43"/>
      <c r="F125" s="134" t="str">
        <f>UHB!L123</f>
        <v>81</v>
      </c>
      <c r="G125" s="43"/>
      <c r="H125" s="368"/>
      <c r="I125" s="122">
        <f t="shared" si="11"/>
        <v>80.5</v>
      </c>
      <c r="J125" s="351">
        <v>37.5</v>
      </c>
      <c r="K125" s="351">
        <f t="shared" si="12"/>
        <v>62.5</v>
      </c>
      <c r="L125" s="353">
        <f t="shared" si="10"/>
        <v>76</v>
      </c>
      <c r="M125" s="313"/>
      <c r="N125" s="290">
        <v>81</v>
      </c>
      <c r="O125" s="44">
        <v>86</v>
      </c>
      <c r="P125" s="437">
        <f t="shared" si="13"/>
        <v>19</v>
      </c>
      <c r="Q125" s="438">
        <f t="shared" si="14"/>
        <v>4</v>
      </c>
      <c r="R125" s="30"/>
      <c r="S125" s="29"/>
      <c r="T125" s="31"/>
      <c r="V125" s="99">
        <v>87</v>
      </c>
      <c r="W125" s="421">
        <v>92</v>
      </c>
    </row>
    <row r="126" spans="1:23" ht="11.15" customHeight="1" x14ac:dyDescent="0.25">
      <c r="A126" s="21">
        <v>23</v>
      </c>
      <c r="B126" s="234"/>
      <c r="C126" s="133" t="str">
        <f>DATA!F32</f>
        <v>Natasya Berly Intania</v>
      </c>
      <c r="D126" s="248">
        <f>'UH1'!L124</f>
        <v>90</v>
      </c>
      <c r="E126" s="43"/>
      <c r="F126" s="134" t="str">
        <f>UHB!L124</f>
        <v>80</v>
      </c>
      <c r="G126" s="43"/>
      <c r="H126" s="368"/>
      <c r="I126" s="122">
        <f t="shared" si="11"/>
        <v>85</v>
      </c>
      <c r="J126" s="351">
        <v>34</v>
      </c>
      <c r="K126" s="351">
        <f t="shared" si="12"/>
        <v>59</v>
      </c>
      <c r="L126" s="353">
        <f t="shared" si="10"/>
        <v>78.5</v>
      </c>
      <c r="M126" s="313"/>
      <c r="N126" s="290">
        <v>84</v>
      </c>
      <c r="O126" s="44">
        <v>83</v>
      </c>
      <c r="P126" s="437">
        <f t="shared" si="13"/>
        <v>9</v>
      </c>
      <c r="Q126" s="438">
        <f t="shared" si="14"/>
        <v>9</v>
      </c>
      <c r="R126" s="30"/>
      <c r="S126" s="29"/>
      <c r="T126" s="31"/>
      <c r="V126" s="99">
        <v>88</v>
      </c>
      <c r="W126" s="421">
        <v>93</v>
      </c>
    </row>
    <row r="127" spans="1:23" ht="11.15" customHeight="1" x14ac:dyDescent="0.25">
      <c r="A127" s="21">
        <v>24</v>
      </c>
      <c r="B127" s="234"/>
      <c r="C127" s="133" t="str">
        <f>DATA!F33</f>
        <v>Natasya Gisella Anindya Putri</v>
      </c>
      <c r="D127" s="248">
        <f>'UH1'!L125</f>
        <v>100</v>
      </c>
      <c r="E127" s="43"/>
      <c r="F127" s="134" t="str">
        <f>UHB!L125</f>
        <v>81</v>
      </c>
      <c r="G127" s="43"/>
      <c r="H127" s="368"/>
      <c r="I127" s="122">
        <f t="shared" si="11"/>
        <v>90.5</v>
      </c>
      <c r="J127" s="351">
        <v>45.5</v>
      </c>
      <c r="K127" s="351">
        <f t="shared" si="12"/>
        <v>70.5</v>
      </c>
      <c r="L127" s="353">
        <f t="shared" si="10"/>
        <v>85.5</v>
      </c>
      <c r="M127" s="313"/>
      <c r="N127" s="290">
        <v>91</v>
      </c>
      <c r="O127" s="44">
        <v>86</v>
      </c>
      <c r="P127" s="437">
        <f t="shared" si="13"/>
        <v>2</v>
      </c>
      <c r="Q127" s="438">
        <f t="shared" si="14"/>
        <v>4</v>
      </c>
      <c r="R127" s="30"/>
      <c r="S127" s="29"/>
      <c r="T127" s="31"/>
      <c r="V127" s="99">
        <v>89</v>
      </c>
      <c r="W127" s="421">
        <v>94</v>
      </c>
    </row>
    <row r="128" spans="1:23" ht="11.15" customHeight="1" x14ac:dyDescent="0.25">
      <c r="A128" s="21">
        <v>25</v>
      </c>
      <c r="B128" s="234"/>
      <c r="C128" s="133" t="str">
        <f>DATA!F34</f>
        <v>Prasetyo Nevan Al Fath</v>
      </c>
      <c r="D128" s="248" t="str">
        <f>'UH1'!L126</f>
        <v>80</v>
      </c>
      <c r="E128" s="43"/>
      <c r="F128" s="134" t="str">
        <f>UHB!L126</f>
        <v>81</v>
      </c>
      <c r="G128" s="43"/>
      <c r="H128" s="368"/>
      <c r="I128" s="122">
        <f t="shared" si="11"/>
        <v>80.5</v>
      </c>
      <c r="J128" s="351">
        <v>38.5</v>
      </c>
      <c r="K128" s="351">
        <f t="shared" si="12"/>
        <v>63.5</v>
      </c>
      <c r="L128" s="353">
        <f t="shared" si="10"/>
        <v>76.25</v>
      </c>
      <c r="M128" s="313"/>
      <c r="N128" s="290">
        <v>81</v>
      </c>
      <c r="O128" s="44">
        <v>80</v>
      </c>
      <c r="P128" s="437">
        <f t="shared" si="13"/>
        <v>19</v>
      </c>
      <c r="Q128" s="438">
        <f t="shared" si="14"/>
        <v>19</v>
      </c>
      <c r="R128" s="30"/>
      <c r="S128" s="29"/>
      <c r="T128" s="31"/>
      <c r="V128" s="99">
        <v>90</v>
      </c>
      <c r="W128" s="421">
        <v>95</v>
      </c>
    </row>
    <row r="129" spans="1:20" ht="11.15" customHeight="1" x14ac:dyDescent="0.25">
      <c r="A129" s="21">
        <v>26</v>
      </c>
      <c r="B129" s="234"/>
      <c r="C129" s="133" t="str">
        <f>DATA!F35</f>
        <v>Putri Cikara Dewi</v>
      </c>
      <c r="D129" s="248">
        <f>'UH1'!L127</f>
        <v>80</v>
      </c>
      <c r="E129" s="43"/>
      <c r="F129" s="134" t="str">
        <f>UHB!L127</f>
        <v>80</v>
      </c>
      <c r="G129" s="43"/>
      <c r="H129" s="368"/>
      <c r="I129" s="122">
        <f t="shared" si="11"/>
        <v>80</v>
      </c>
      <c r="J129" s="351">
        <v>32.5</v>
      </c>
      <c r="K129" s="351">
        <f t="shared" si="12"/>
        <v>57.5</v>
      </c>
      <c r="L129" s="353">
        <f t="shared" si="10"/>
        <v>74.375</v>
      </c>
      <c r="M129" s="313"/>
      <c r="N129" s="290">
        <v>80</v>
      </c>
      <c r="O129" s="44">
        <v>80</v>
      </c>
      <c r="P129" s="437">
        <f t="shared" si="13"/>
        <v>26</v>
      </c>
      <c r="Q129" s="438">
        <f t="shared" si="14"/>
        <v>19</v>
      </c>
      <c r="R129" s="30"/>
      <c r="S129" s="29"/>
      <c r="T129" s="31"/>
    </row>
    <row r="130" spans="1:20" ht="11.15" customHeight="1" x14ac:dyDescent="0.25">
      <c r="A130" s="21">
        <v>27</v>
      </c>
      <c r="B130" s="234"/>
      <c r="C130" s="133" t="str">
        <f>DATA!F36</f>
        <v>Radenta Ardina Putra</v>
      </c>
      <c r="D130" s="248" t="str">
        <f>'UH1'!L128</f>
        <v>81</v>
      </c>
      <c r="E130" s="43"/>
      <c r="F130" s="134" t="str">
        <f>UHB!L128</f>
        <v>82</v>
      </c>
      <c r="G130" s="43"/>
      <c r="H130" s="368"/>
      <c r="I130" s="122">
        <f t="shared" si="11"/>
        <v>81.5</v>
      </c>
      <c r="J130" s="351">
        <v>46</v>
      </c>
      <c r="K130" s="351">
        <f t="shared" si="12"/>
        <v>71</v>
      </c>
      <c r="L130" s="353">
        <f t="shared" si="10"/>
        <v>78.875</v>
      </c>
      <c r="M130" s="313"/>
      <c r="N130" s="290">
        <v>84</v>
      </c>
      <c r="O130" s="44">
        <v>85</v>
      </c>
      <c r="P130" s="437">
        <f t="shared" si="13"/>
        <v>9</v>
      </c>
      <c r="Q130" s="438">
        <f t="shared" si="14"/>
        <v>8</v>
      </c>
      <c r="R130" s="30"/>
      <c r="S130" s="29"/>
      <c r="T130" s="31"/>
    </row>
    <row r="131" spans="1:20" ht="11.15" customHeight="1" x14ac:dyDescent="0.25">
      <c r="A131" s="21">
        <v>28</v>
      </c>
      <c r="B131" s="234"/>
      <c r="C131" s="133" t="str">
        <f>DATA!F37</f>
        <v>Raditya Eka Yudhistira</v>
      </c>
      <c r="D131" s="248" t="str">
        <f>'UH1'!L129</f>
        <v>83</v>
      </c>
      <c r="E131" s="43"/>
      <c r="F131" s="134" t="str">
        <f>UHB!L129</f>
        <v>81</v>
      </c>
      <c r="G131" s="43"/>
      <c r="H131" s="368"/>
      <c r="I131" s="122">
        <f t="shared" si="11"/>
        <v>82</v>
      </c>
      <c r="J131" s="351">
        <v>38.5</v>
      </c>
      <c r="K131" s="351">
        <f t="shared" si="12"/>
        <v>63.5</v>
      </c>
      <c r="L131" s="353">
        <f t="shared" si="10"/>
        <v>77.375</v>
      </c>
      <c r="M131" s="313"/>
      <c r="N131" s="290">
        <v>82</v>
      </c>
      <c r="O131" s="44">
        <v>80</v>
      </c>
      <c r="P131" s="437">
        <f t="shared" si="13"/>
        <v>13</v>
      </c>
      <c r="Q131" s="438">
        <f t="shared" si="14"/>
        <v>19</v>
      </c>
      <c r="R131" s="30"/>
      <c r="S131" s="29"/>
      <c r="T131" s="31"/>
    </row>
    <row r="132" spans="1:20" ht="11.15" customHeight="1" x14ac:dyDescent="0.25">
      <c r="A132" s="21">
        <v>29</v>
      </c>
      <c r="B132" s="234"/>
      <c r="C132" s="133" t="str">
        <f>DATA!F38</f>
        <v>Rere Etrischa Zenobia</v>
      </c>
      <c r="D132" s="248" t="str">
        <f>'UH1'!L130</f>
        <v>82</v>
      </c>
      <c r="E132" s="43"/>
      <c r="F132" s="134" t="str">
        <f>UHB!L130</f>
        <v>80</v>
      </c>
      <c r="G132" s="347"/>
      <c r="H132" s="368"/>
      <c r="I132" s="122">
        <f t="shared" si="11"/>
        <v>81</v>
      </c>
      <c r="J132" s="351">
        <v>35.5</v>
      </c>
      <c r="K132" s="351">
        <f t="shared" si="12"/>
        <v>60.5</v>
      </c>
      <c r="L132" s="353">
        <f t="shared" si="10"/>
        <v>75.875</v>
      </c>
      <c r="M132" s="313"/>
      <c r="N132" s="290">
        <v>81</v>
      </c>
      <c r="O132" s="44">
        <v>80</v>
      </c>
      <c r="P132" s="437">
        <f t="shared" si="13"/>
        <v>19</v>
      </c>
      <c r="Q132" s="438">
        <f t="shared" si="14"/>
        <v>19</v>
      </c>
      <c r="R132" s="30"/>
      <c r="S132" s="29"/>
      <c r="T132" s="31"/>
    </row>
    <row r="133" spans="1:20" ht="11.15" customHeight="1" x14ac:dyDescent="0.25">
      <c r="A133" s="21">
        <v>30</v>
      </c>
      <c r="B133" s="234"/>
      <c r="C133" s="133" t="str">
        <f>DATA!F39</f>
        <v>Roxy Lantip Afpriba</v>
      </c>
      <c r="D133" s="248" t="str">
        <f>'UH1'!L131</f>
        <v>80</v>
      </c>
      <c r="E133" s="43"/>
      <c r="F133" s="134" t="str">
        <f>UHB!L131</f>
        <v>80</v>
      </c>
      <c r="G133" s="43"/>
      <c r="H133" s="368"/>
      <c r="I133" s="122">
        <f t="shared" si="11"/>
        <v>80</v>
      </c>
      <c r="J133" s="351">
        <v>38</v>
      </c>
      <c r="K133" s="351">
        <f t="shared" si="12"/>
        <v>63</v>
      </c>
      <c r="L133" s="353">
        <f t="shared" si="10"/>
        <v>75.75</v>
      </c>
      <c r="M133" s="313"/>
      <c r="N133" s="290">
        <v>81</v>
      </c>
      <c r="O133" s="44">
        <v>80</v>
      </c>
      <c r="P133" s="437">
        <f t="shared" si="13"/>
        <v>19</v>
      </c>
      <c r="Q133" s="438">
        <f t="shared" si="14"/>
        <v>19</v>
      </c>
      <c r="R133" s="30"/>
      <c r="S133" s="29"/>
      <c r="T133" s="31"/>
    </row>
    <row r="134" spans="1:20" ht="11.15" customHeight="1" x14ac:dyDescent="0.25">
      <c r="A134" s="21">
        <v>31</v>
      </c>
      <c r="B134" s="234"/>
      <c r="C134" s="133" t="str">
        <f>DATA!F40</f>
        <v>Syifa Maulida Zahra</v>
      </c>
      <c r="D134" s="248" t="str">
        <f>'UH1'!L132</f>
        <v>80</v>
      </c>
      <c r="E134" s="43"/>
      <c r="F134" s="134" t="str">
        <f>UHB!L132</f>
        <v>80</v>
      </c>
      <c r="G134" s="43"/>
      <c r="H134" s="368"/>
      <c r="I134" s="122">
        <f t="shared" si="11"/>
        <v>80</v>
      </c>
      <c r="J134" s="351">
        <v>37.5</v>
      </c>
      <c r="K134" s="351">
        <f t="shared" si="12"/>
        <v>62.5</v>
      </c>
      <c r="L134" s="353">
        <f t="shared" si="10"/>
        <v>75.625</v>
      </c>
      <c r="M134" s="313"/>
      <c r="N134" s="290">
        <v>81</v>
      </c>
      <c r="O134" s="44">
        <v>81</v>
      </c>
      <c r="P134" s="437">
        <f t="shared" si="13"/>
        <v>19</v>
      </c>
      <c r="Q134" s="438">
        <f t="shared" si="14"/>
        <v>13</v>
      </c>
      <c r="R134" s="30"/>
      <c r="S134" s="29"/>
      <c r="T134" s="31"/>
    </row>
    <row r="135" spans="1:20" ht="11.15" customHeight="1" x14ac:dyDescent="0.25">
      <c r="A135" s="21">
        <v>32</v>
      </c>
      <c r="B135" s="234"/>
      <c r="C135" s="133" t="str">
        <f>DATA!F41</f>
        <v>Virna Meisya Amelia</v>
      </c>
      <c r="D135" s="248" t="str">
        <f>'UH1'!L133</f>
        <v>81</v>
      </c>
      <c r="E135" s="43"/>
      <c r="F135" s="134" t="str">
        <f>UHB!L133</f>
        <v>80</v>
      </c>
      <c r="G135" s="43"/>
      <c r="H135" s="368"/>
      <c r="I135" s="122">
        <f t="shared" si="11"/>
        <v>80.5</v>
      </c>
      <c r="J135" s="351">
        <v>30</v>
      </c>
      <c r="K135" s="351">
        <f t="shared" si="12"/>
        <v>55</v>
      </c>
      <c r="L135" s="353">
        <f t="shared" si="10"/>
        <v>74.125</v>
      </c>
      <c r="M135" s="313"/>
      <c r="N135" s="290">
        <v>80</v>
      </c>
      <c r="O135" s="44">
        <v>81</v>
      </c>
      <c r="P135" s="437">
        <f t="shared" si="13"/>
        <v>26</v>
      </c>
      <c r="Q135" s="438">
        <f t="shared" si="14"/>
        <v>13</v>
      </c>
      <c r="R135" s="30"/>
      <c r="S135" s="29"/>
      <c r="T135" s="31"/>
    </row>
    <row r="136" spans="1:20" ht="11.15" customHeight="1" x14ac:dyDescent="0.25">
      <c r="A136" s="21">
        <v>33</v>
      </c>
      <c r="B136" s="133"/>
      <c r="C136" s="19"/>
      <c r="D136" s="290"/>
      <c r="E136" s="291"/>
      <c r="F136" s="291"/>
      <c r="G136" s="291"/>
      <c r="H136" s="292"/>
      <c r="I136" s="122"/>
      <c r="J136" s="133"/>
      <c r="K136" s="133"/>
      <c r="L136" s="353"/>
      <c r="M136" s="313"/>
      <c r="N136" s="290"/>
      <c r="O136" s="44"/>
      <c r="P136" s="437"/>
      <c r="Q136" s="438"/>
      <c r="R136" s="30"/>
      <c r="S136" s="29"/>
      <c r="T136" s="31"/>
    </row>
    <row r="137" spans="1:20" ht="11.15" customHeight="1" x14ac:dyDescent="0.25">
      <c r="A137" s="21">
        <v>34</v>
      </c>
      <c r="B137" s="133"/>
      <c r="C137" s="19"/>
      <c r="D137" s="290"/>
      <c r="E137" s="291"/>
      <c r="F137" s="291"/>
      <c r="G137" s="291"/>
      <c r="H137" s="292"/>
      <c r="I137" s="122"/>
      <c r="J137" s="133"/>
      <c r="K137" s="133"/>
      <c r="L137" s="353"/>
      <c r="M137" s="313"/>
      <c r="N137" s="290"/>
      <c r="O137" s="44"/>
      <c r="P137" s="437"/>
      <c r="Q137" s="438"/>
      <c r="R137" s="30"/>
      <c r="S137" s="29"/>
      <c r="T137" s="31"/>
    </row>
    <row r="138" spans="1:20" ht="11.15" customHeight="1" x14ac:dyDescent="0.25">
      <c r="A138" s="21">
        <v>35</v>
      </c>
      <c r="B138" s="133"/>
      <c r="C138" s="171"/>
      <c r="D138" s="293"/>
      <c r="E138" s="294"/>
      <c r="F138" s="294"/>
      <c r="G138" s="294"/>
      <c r="H138" s="295"/>
      <c r="I138" s="390"/>
      <c r="J138" s="285"/>
      <c r="K138" s="285"/>
      <c r="L138" s="354"/>
      <c r="M138" s="313"/>
      <c r="N138" s="293"/>
      <c r="O138" s="138"/>
      <c r="P138" s="441"/>
      <c r="Q138" s="440"/>
      <c r="R138" s="8"/>
      <c r="S138" s="124"/>
      <c r="T138" s="9"/>
    </row>
    <row r="139" spans="1:20" ht="11.15" customHeight="1" x14ac:dyDescent="0.25">
      <c r="A139" s="480"/>
      <c r="B139" s="481"/>
      <c r="D139" s="260"/>
      <c r="E139" s="260"/>
      <c r="F139" s="260"/>
      <c r="G139" s="260"/>
      <c r="H139" s="260"/>
      <c r="I139" s="232"/>
      <c r="J139" s="232"/>
      <c r="K139" s="281"/>
      <c r="L139" s="355"/>
      <c r="M139" s="313"/>
      <c r="N139" s="313"/>
    </row>
    <row r="140" spans="1:20" ht="11.15" customHeight="1" x14ac:dyDescent="0.3">
      <c r="A140" s="485"/>
      <c r="B140" s="486"/>
      <c r="C140" s="276" t="s">
        <v>71</v>
      </c>
      <c r="D140" s="312"/>
      <c r="E140" s="39"/>
      <c r="F140" s="312"/>
      <c r="G140" s="39"/>
      <c r="H140" s="312"/>
      <c r="I140" s="312"/>
      <c r="J140" s="407">
        <f>COUNTIF(J104:J138,"&gt;=79,5")</f>
        <v>0</v>
      </c>
      <c r="K140" s="312">
        <f>COUNTIF(K104:K138,"&gt;=79,5")</f>
        <v>2</v>
      </c>
      <c r="L140" s="366">
        <f>COUNTIF(L104:L138,"&gt;=79,5")</f>
        <v>7</v>
      </c>
      <c r="M140" s="313"/>
      <c r="N140" s="449">
        <f>COUNTIF(N104:N138,"&gt;=79,5")</f>
        <v>32</v>
      </c>
      <c r="O140" s="449">
        <f>COUNTIF(O104:O138,"&gt;=79,5")</f>
        <v>32</v>
      </c>
      <c r="P140" s="125"/>
    </row>
    <row r="141" spans="1:20" ht="11.15" customHeight="1" x14ac:dyDescent="0.3">
      <c r="A141" s="482"/>
      <c r="B141" s="483"/>
      <c r="C141" s="273" t="s">
        <v>72</v>
      </c>
      <c r="D141" s="304"/>
      <c r="E141" s="42"/>
      <c r="F141" s="304"/>
      <c r="G141" s="42"/>
      <c r="H141" s="304"/>
      <c r="I141" s="304"/>
      <c r="J141" s="408">
        <f>COUNTIF(J104:J138,"&lt;79,5")</f>
        <v>32</v>
      </c>
      <c r="K141" s="304">
        <f>COUNTIF(K104:K138,"&lt;79,5")</f>
        <v>30</v>
      </c>
      <c r="L141" s="357">
        <f>COUNTIF(L104:L138,"&lt;79,5")</f>
        <v>25</v>
      </c>
      <c r="M141" s="313"/>
      <c r="N141" s="404">
        <f>COUNTIF(N104:N138,"&lt;79,5")</f>
        <v>0</v>
      </c>
      <c r="O141" s="404">
        <f>COUNTIF(O104:O138,"&lt;79,5")</f>
        <v>0</v>
      </c>
      <c r="P141" s="125"/>
    </row>
    <row r="142" spans="1:20" ht="11.15" customHeight="1" x14ac:dyDescent="0.3">
      <c r="A142" s="482"/>
      <c r="B142" s="483"/>
      <c r="C142" s="273" t="s">
        <v>73</v>
      </c>
      <c r="D142" s="304"/>
      <c r="E142" s="42"/>
      <c r="F142" s="304"/>
      <c r="G142" s="42"/>
      <c r="H142" s="304"/>
      <c r="I142" s="304"/>
      <c r="J142" s="409">
        <f>MIN(J104:J138)</f>
        <v>28</v>
      </c>
      <c r="K142" s="304">
        <f>MIN(K104:K138)</f>
        <v>53</v>
      </c>
      <c r="L142" s="358">
        <f>MIN(L104:L138)</f>
        <v>74</v>
      </c>
      <c r="M142" s="313"/>
      <c r="N142" s="405">
        <f>MIN(N104:N138)</f>
        <v>80</v>
      </c>
      <c r="O142" s="405">
        <f>MIN(O104:O138)</f>
        <v>80</v>
      </c>
      <c r="P142" s="427"/>
    </row>
    <row r="143" spans="1:20" ht="11.15" customHeight="1" x14ac:dyDescent="0.3">
      <c r="A143" s="482"/>
      <c r="B143" s="483"/>
      <c r="C143" s="273" t="s">
        <v>74</v>
      </c>
      <c r="D143" s="304"/>
      <c r="E143" s="42"/>
      <c r="F143" s="304"/>
      <c r="G143" s="42"/>
      <c r="H143" s="304"/>
      <c r="I143" s="304"/>
      <c r="J143" s="409">
        <f>MAX(J104:J138)</f>
        <v>72</v>
      </c>
      <c r="K143" s="304">
        <f>MAX(K104:K138)</f>
        <v>97</v>
      </c>
      <c r="L143" s="358">
        <f>MAX(L104:L138)</f>
        <v>88</v>
      </c>
      <c r="M143" s="313"/>
      <c r="N143" s="405">
        <f>MAX(N104:N138)</f>
        <v>93</v>
      </c>
      <c r="O143" s="405">
        <f>MAX(O104:O138)</f>
        <v>95</v>
      </c>
      <c r="P143" s="427"/>
    </row>
    <row r="144" spans="1:20" ht="11.15" customHeight="1" x14ac:dyDescent="0.3">
      <c r="A144" s="475"/>
      <c r="B144" s="476"/>
      <c r="C144" s="274" t="s">
        <v>75</v>
      </c>
      <c r="D144" s="305"/>
      <c r="E144" s="136"/>
      <c r="F144" s="305"/>
      <c r="G144" s="136"/>
      <c r="H144" s="305"/>
      <c r="I144" s="305"/>
      <c r="J144" s="410">
        <f>AVERAGE(J104:J138)</f>
        <v>40.84375</v>
      </c>
      <c r="K144" s="305">
        <f>AVERAGE(K104:K138)</f>
        <v>65.84375</v>
      </c>
      <c r="L144" s="359">
        <f>AVERAGE(L104:L138)</f>
        <v>77.84375</v>
      </c>
      <c r="M144" s="313"/>
      <c r="N144" s="406">
        <f>AVERAGE(N104:N138)</f>
        <v>83</v>
      </c>
      <c r="O144" s="406">
        <f>AVERAGE(O104:O138)</f>
        <v>82.375</v>
      </c>
      <c r="P144" s="427"/>
    </row>
    <row r="145" spans="1:23" ht="11.15" customHeight="1" x14ac:dyDescent="0.25">
      <c r="A145" s="481"/>
      <c r="B145" s="481"/>
      <c r="D145" s="277"/>
      <c r="E145" s="277"/>
      <c r="F145" s="277"/>
      <c r="G145" s="277"/>
      <c r="H145" s="277"/>
      <c r="K145" s="282"/>
      <c r="L145" s="301"/>
      <c r="M145" s="313"/>
      <c r="N145" s="313"/>
    </row>
    <row r="146" spans="1:23" ht="11.15" customHeight="1" x14ac:dyDescent="0.25">
      <c r="A146" s="128"/>
      <c r="B146" s="128"/>
      <c r="D146" s="277"/>
      <c r="E146" s="277"/>
      <c r="F146" s="277"/>
      <c r="G146" s="277"/>
      <c r="H146" s="277"/>
      <c r="K146" s="282"/>
      <c r="L146" s="301"/>
      <c r="M146" s="313"/>
      <c r="N146" s="313"/>
    </row>
    <row r="147" spans="1:23" ht="11.15" customHeight="1" x14ac:dyDescent="0.25">
      <c r="A147" s="128"/>
      <c r="B147" s="128"/>
      <c r="D147" s="277"/>
      <c r="E147" s="277"/>
      <c r="F147" s="277"/>
      <c r="G147" s="277"/>
      <c r="H147" s="277"/>
      <c r="K147" s="282"/>
      <c r="L147" s="301"/>
      <c r="M147" s="313"/>
      <c r="N147" s="313"/>
    </row>
    <row r="148" spans="1:23" ht="11.15" customHeight="1" x14ac:dyDescent="0.3">
      <c r="A148" s="478"/>
      <c r="B148" s="478"/>
      <c r="C148" s="478" t="str">
        <f>C99</f>
        <v>DAFTAR  NILAI MATEMATIKA SMT 1 TP 2025/2026</v>
      </c>
      <c r="D148" s="478"/>
      <c r="E148" s="478"/>
      <c r="F148" s="478"/>
      <c r="G148" s="478"/>
      <c r="H148" s="478"/>
      <c r="I148" s="478"/>
      <c r="J148" s="478"/>
      <c r="K148" s="478"/>
      <c r="L148" s="478"/>
      <c r="M148" s="313"/>
      <c r="N148" s="313"/>
    </row>
    <row r="149" spans="1:23" ht="11.15" customHeight="1" x14ac:dyDescent="0.3">
      <c r="A149" s="245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313"/>
      <c r="N149" s="498" t="s">
        <v>497</v>
      </c>
      <c r="O149" s="498"/>
      <c r="P149" s="128"/>
      <c r="Q149" s="492" t="s">
        <v>93</v>
      </c>
    </row>
    <row r="150" spans="1:23" ht="11.15" customHeight="1" x14ac:dyDescent="0.3">
      <c r="A150" s="479"/>
      <c r="B150" s="479"/>
      <c r="D150" s="277"/>
      <c r="E150" s="277"/>
      <c r="F150" s="277"/>
      <c r="G150" s="277"/>
      <c r="H150" s="277"/>
      <c r="K150" s="282"/>
      <c r="L150" s="301"/>
      <c r="M150" s="313"/>
      <c r="N150" s="493" t="s">
        <v>496</v>
      </c>
      <c r="O150" s="493"/>
      <c r="P150" s="104"/>
      <c r="Q150" s="492"/>
    </row>
    <row r="151" spans="1:23" ht="11.15" customHeight="1" x14ac:dyDescent="0.3">
      <c r="A151" s="484" t="s">
        <v>0</v>
      </c>
      <c r="B151" s="153"/>
      <c r="C151" s="484" t="s">
        <v>2</v>
      </c>
      <c r="D151" s="477" t="s">
        <v>85</v>
      </c>
      <c r="E151" s="477"/>
      <c r="F151" s="477"/>
      <c r="G151" s="477"/>
      <c r="H151" s="477"/>
      <c r="I151" s="53" t="s">
        <v>70</v>
      </c>
      <c r="J151" s="474" t="s">
        <v>296</v>
      </c>
      <c r="K151" s="474"/>
      <c r="L151" s="474" t="s">
        <v>87</v>
      </c>
      <c r="M151" s="313"/>
      <c r="N151" s="494" t="s">
        <v>494</v>
      </c>
      <c r="O151" s="496" t="s">
        <v>495</v>
      </c>
      <c r="P151" s="501" t="s">
        <v>499</v>
      </c>
      <c r="Q151" s="502"/>
      <c r="R151" s="60"/>
      <c r="S151" s="10"/>
      <c r="T151" s="61"/>
    </row>
    <row r="152" spans="1:23" ht="11.15" customHeight="1" x14ac:dyDescent="0.3">
      <c r="A152" s="484"/>
      <c r="B152" s="153"/>
      <c r="C152" s="484"/>
      <c r="D152" s="289" t="s">
        <v>97</v>
      </c>
      <c r="E152" s="289"/>
      <c r="F152" s="289" t="s">
        <v>98</v>
      </c>
      <c r="G152" s="289"/>
      <c r="H152" s="289" t="s">
        <v>99</v>
      </c>
      <c r="I152" s="129" t="s">
        <v>85</v>
      </c>
      <c r="J152" s="289" t="s">
        <v>100</v>
      </c>
      <c r="K152" s="365" t="s">
        <v>101</v>
      </c>
      <c r="L152" s="474"/>
      <c r="M152" s="313"/>
      <c r="N152" s="495"/>
      <c r="O152" s="497"/>
      <c r="P152" s="428" t="s">
        <v>494</v>
      </c>
      <c r="Q152" s="429" t="s">
        <v>495</v>
      </c>
      <c r="R152" s="29"/>
      <c r="S152" s="29"/>
      <c r="T152" s="31"/>
    </row>
    <row r="153" spans="1:23" ht="11.15" customHeight="1" x14ac:dyDescent="0.25">
      <c r="A153" s="20">
        <v>1</v>
      </c>
      <c r="B153" s="235"/>
      <c r="C153" s="130" t="str">
        <f>DATA!H10</f>
        <v>Aditya Wahyu Putra Septiadi</v>
      </c>
      <c r="D153" s="342" t="str">
        <f>'UH1'!L149</f>
        <v>81</v>
      </c>
      <c r="E153" s="40"/>
      <c r="F153" s="131" t="str">
        <f>UHB!L149</f>
        <v>80</v>
      </c>
      <c r="G153" s="40"/>
      <c r="H153" s="367"/>
      <c r="I153" s="120">
        <f>(D153+F153)/2</f>
        <v>80.5</v>
      </c>
      <c r="J153" s="350">
        <v>33</v>
      </c>
      <c r="K153" s="350">
        <f>J153+25</f>
        <v>58</v>
      </c>
      <c r="L153" s="352">
        <f t="shared" ref="L153:L183" si="15">I153*0.75+K153*0.25</f>
        <v>74.875</v>
      </c>
      <c r="M153" s="313"/>
      <c r="N153" s="430">
        <v>80</v>
      </c>
      <c r="O153" s="41">
        <v>80</v>
      </c>
      <c r="P153" s="435">
        <f>RANK(N153,$N$153:$N$187,0)</f>
        <v>20</v>
      </c>
      <c r="Q153" s="436">
        <f>RANK(O153,$O$153:$O$187,0)</f>
        <v>18</v>
      </c>
      <c r="R153" s="30"/>
      <c r="S153" s="29"/>
      <c r="T153" s="31"/>
    </row>
    <row r="154" spans="1:23" ht="11.15" customHeight="1" x14ac:dyDescent="0.25">
      <c r="A154" s="21">
        <v>2</v>
      </c>
      <c r="B154" s="234"/>
      <c r="C154" s="133" t="str">
        <f>DATA!H11</f>
        <v>Al Fuzu Daya Satria</v>
      </c>
      <c r="D154" s="248" t="str">
        <f>'UH1'!L150</f>
        <v>80</v>
      </c>
      <c r="E154" s="43"/>
      <c r="F154" s="134" t="str">
        <f>UHB!L150</f>
        <v>80</v>
      </c>
      <c r="G154" s="43"/>
      <c r="H154" s="368"/>
      <c r="I154" s="122">
        <f t="shared" ref="I154:I183" si="16">(D154+F154)/2</f>
        <v>80</v>
      </c>
      <c r="J154" s="351">
        <v>28</v>
      </c>
      <c r="K154" s="351">
        <f t="shared" ref="K154:K183" si="17">J154+25</f>
        <v>53</v>
      </c>
      <c r="L154" s="353">
        <f t="shared" si="15"/>
        <v>73.25</v>
      </c>
      <c r="M154" s="313"/>
      <c r="N154" s="290">
        <v>80</v>
      </c>
      <c r="O154" s="44">
        <v>80</v>
      </c>
      <c r="P154" s="437">
        <f t="shared" ref="P154:P183" si="18">RANK(N154,$N$153:$N$187,0)</f>
        <v>20</v>
      </c>
      <c r="Q154" s="438">
        <f t="shared" ref="Q154:Q183" si="19">RANK(O154,$O$153:$O$187,0)</f>
        <v>18</v>
      </c>
      <c r="R154" s="30"/>
      <c r="S154" s="29"/>
      <c r="T154" s="31"/>
    </row>
    <row r="155" spans="1:23" ht="11.15" customHeight="1" x14ac:dyDescent="0.25">
      <c r="A155" s="21">
        <v>3</v>
      </c>
      <c r="B155" s="234"/>
      <c r="C155" s="133" t="str">
        <f>DATA!H12</f>
        <v>Amanda Kirana Maharani</v>
      </c>
      <c r="D155" s="248" t="str">
        <f>'UH1'!L151</f>
        <v>80</v>
      </c>
      <c r="E155" s="347"/>
      <c r="F155" s="134" t="str">
        <f>UHB!L151</f>
        <v>81</v>
      </c>
      <c r="G155" s="43"/>
      <c r="H155" s="368"/>
      <c r="I155" s="122">
        <f t="shared" si="16"/>
        <v>80.5</v>
      </c>
      <c r="J155" s="351">
        <v>39.5</v>
      </c>
      <c r="K155" s="351">
        <f t="shared" si="17"/>
        <v>64.5</v>
      </c>
      <c r="L155" s="353">
        <f t="shared" si="15"/>
        <v>76.5</v>
      </c>
      <c r="M155" s="313"/>
      <c r="N155" s="290">
        <v>82</v>
      </c>
      <c r="O155" s="44">
        <v>81</v>
      </c>
      <c r="P155" s="437">
        <f t="shared" si="18"/>
        <v>10</v>
      </c>
      <c r="Q155" s="438">
        <f t="shared" si="19"/>
        <v>11</v>
      </c>
      <c r="R155" s="30"/>
      <c r="S155" s="29"/>
      <c r="T155" s="31"/>
      <c r="V155" s="414" t="s">
        <v>100</v>
      </c>
      <c r="W155" s="102" t="s">
        <v>488</v>
      </c>
    </row>
    <row r="156" spans="1:23" ht="11.15" customHeight="1" x14ac:dyDescent="0.25">
      <c r="A156" s="21">
        <v>4</v>
      </c>
      <c r="B156" s="234"/>
      <c r="C156" s="133" t="str">
        <f>DATA!H13</f>
        <v>Andra Prima Reza</v>
      </c>
      <c r="D156" s="248" t="str">
        <f>'UH1'!L152</f>
        <v>80</v>
      </c>
      <c r="E156" s="43"/>
      <c r="F156" s="134" t="str">
        <f>UHB!L152</f>
        <v>80</v>
      </c>
      <c r="G156" s="43"/>
      <c r="H156" s="368"/>
      <c r="I156" s="122">
        <f t="shared" si="16"/>
        <v>80</v>
      </c>
      <c r="J156" s="351">
        <v>35.5</v>
      </c>
      <c r="K156" s="351">
        <f t="shared" si="17"/>
        <v>60.5</v>
      </c>
      <c r="L156" s="353">
        <f t="shared" si="15"/>
        <v>75.125</v>
      </c>
      <c r="M156" s="313"/>
      <c r="N156" s="290">
        <v>80</v>
      </c>
      <c r="O156" s="44">
        <v>81</v>
      </c>
      <c r="P156" s="437">
        <f t="shared" si="18"/>
        <v>20</v>
      </c>
      <c r="Q156" s="438">
        <f t="shared" si="19"/>
        <v>11</v>
      </c>
      <c r="R156" s="30"/>
      <c r="S156" s="128" t="str">
        <f>S107</f>
        <v>Limbangan, 15 Mei 2026</v>
      </c>
      <c r="T156" s="31"/>
      <c r="V156" s="173"/>
      <c r="W156" s="102"/>
    </row>
    <row r="157" spans="1:23" ht="11.15" customHeight="1" x14ac:dyDescent="0.25">
      <c r="A157" s="21">
        <v>5</v>
      </c>
      <c r="B157" s="234"/>
      <c r="C157" s="133" t="str">
        <f>DATA!H14</f>
        <v>Ayu Safitri Intan Zahwa</v>
      </c>
      <c r="D157" s="248">
        <f>'UH1'!L153</f>
        <v>90</v>
      </c>
      <c r="E157" s="43"/>
      <c r="F157" s="134" t="str">
        <f>UHB!L153</f>
        <v>81</v>
      </c>
      <c r="G157" s="43"/>
      <c r="H157" s="368"/>
      <c r="I157" s="122">
        <f t="shared" si="16"/>
        <v>85.5</v>
      </c>
      <c r="J157" s="351">
        <v>41</v>
      </c>
      <c r="K157" s="351">
        <f t="shared" si="17"/>
        <v>66</v>
      </c>
      <c r="L157" s="353">
        <f t="shared" si="15"/>
        <v>80.625</v>
      </c>
      <c r="M157" s="313"/>
      <c r="N157" s="290">
        <v>86</v>
      </c>
      <c r="O157" s="44">
        <v>81</v>
      </c>
      <c r="P157" s="437">
        <f t="shared" si="18"/>
        <v>2</v>
      </c>
      <c r="Q157" s="438">
        <f t="shared" si="19"/>
        <v>11</v>
      </c>
      <c r="R157" s="30"/>
      <c r="S157" s="29"/>
      <c r="T157" s="31"/>
      <c r="V157" s="99">
        <v>70</v>
      </c>
      <c r="W157" s="326"/>
    </row>
    <row r="158" spans="1:23" ht="11.15" customHeight="1" x14ac:dyDescent="0.25">
      <c r="A158" s="21">
        <v>6</v>
      </c>
      <c r="B158" s="234"/>
      <c r="C158" s="133" t="str">
        <f>DATA!H15</f>
        <v>Azzahra Quinnsha Setyana</v>
      </c>
      <c r="D158" s="248" t="str">
        <f>'UH1'!L154</f>
        <v>81</v>
      </c>
      <c r="E158" s="43"/>
      <c r="F158" s="134" t="str">
        <f>UHB!L154</f>
        <v>80</v>
      </c>
      <c r="G158" s="43"/>
      <c r="H158" s="368"/>
      <c r="I158" s="122">
        <f t="shared" si="16"/>
        <v>80.5</v>
      </c>
      <c r="J158" s="351">
        <v>30.5</v>
      </c>
      <c r="K158" s="351">
        <f t="shared" si="17"/>
        <v>55.5</v>
      </c>
      <c r="L158" s="353">
        <f t="shared" si="15"/>
        <v>74.25</v>
      </c>
      <c r="M158" s="313"/>
      <c r="N158" s="290">
        <v>80</v>
      </c>
      <c r="O158" s="44">
        <v>80</v>
      </c>
      <c r="P158" s="437">
        <f t="shared" si="18"/>
        <v>20</v>
      </c>
      <c r="Q158" s="438">
        <f t="shared" si="19"/>
        <v>18</v>
      </c>
      <c r="R158" s="30"/>
      <c r="S158" s="128" t="s">
        <v>41</v>
      </c>
      <c r="T158" s="31"/>
      <c r="V158" s="99">
        <v>71</v>
      </c>
      <c r="W158" s="326"/>
    </row>
    <row r="159" spans="1:23" ht="11.15" customHeight="1" x14ac:dyDescent="0.25">
      <c r="A159" s="185">
        <v>7</v>
      </c>
      <c r="B159" s="234"/>
      <c r="C159" s="133" t="str">
        <f>DATA!H16</f>
        <v>Bryan Marcanda</v>
      </c>
      <c r="D159" s="248" t="str">
        <f>'UH1'!L155</f>
        <v>80</v>
      </c>
      <c r="E159" s="43"/>
      <c r="F159" s="134" t="str">
        <f>UHB!L155</f>
        <v>81</v>
      </c>
      <c r="G159" s="43"/>
      <c r="H159" s="368"/>
      <c r="I159" s="122">
        <f t="shared" si="16"/>
        <v>80.5</v>
      </c>
      <c r="J159" s="351">
        <v>41</v>
      </c>
      <c r="K159" s="351">
        <f t="shared" si="17"/>
        <v>66</v>
      </c>
      <c r="L159" s="353">
        <f t="shared" si="15"/>
        <v>76.875</v>
      </c>
      <c r="M159" s="313"/>
      <c r="N159" s="290">
        <v>82</v>
      </c>
      <c r="O159" s="44">
        <v>81</v>
      </c>
      <c r="P159" s="437">
        <f t="shared" si="18"/>
        <v>10</v>
      </c>
      <c r="Q159" s="438">
        <f t="shared" si="19"/>
        <v>11</v>
      </c>
      <c r="R159" s="30"/>
      <c r="S159" s="128"/>
      <c r="T159" s="31"/>
      <c r="V159" s="99">
        <v>72</v>
      </c>
      <c r="W159" s="424"/>
    </row>
    <row r="160" spans="1:23" ht="11.15" customHeight="1" x14ac:dyDescent="0.25">
      <c r="A160" s="21">
        <v>8</v>
      </c>
      <c r="B160" s="234"/>
      <c r="C160" s="133" t="str">
        <f>DATA!H17</f>
        <v>Chelsea Felita Matiune</v>
      </c>
      <c r="D160" s="248" t="str">
        <f>'UH1'!L156</f>
        <v>81</v>
      </c>
      <c r="E160" s="43"/>
      <c r="F160" s="134" t="str">
        <f>UHB!L156</f>
        <v>81</v>
      </c>
      <c r="G160" s="43"/>
      <c r="H160" s="368"/>
      <c r="I160" s="122">
        <f t="shared" si="16"/>
        <v>81</v>
      </c>
      <c r="J160" s="351">
        <v>41</v>
      </c>
      <c r="K160" s="351">
        <f t="shared" si="17"/>
        <v>66</v>
      </c>
      <c r="L160" s="353">
        <f t="shared" si="15"/>
        <v>77.25</v>
      </c>
      <c r="M160" s="313"/>
      <c r="N160" s="290">
        <v>82</v>
      </c>
      <c r="O160" s="44">
        <v>82</v>
      </c>
      <c r="P160" s="437">
        <f t="shared" si="18"/>
        <v>10</v>
      </c>
      <c r="Q160" s="438">
        <f t="shared" si="19"/>
        <v>8</v>
      </c>
      <c r="R160" s="30"/>
      <c r="S160" s="128"/>
      <c r="T160" s="31"/>
      <c r="V160" s="99">
        <v>73</v>
      </c>
      <c r="W160" s="425"/>
    </row>
    <row r="161" spans="1:23" ht="11.15" customHeight="1" x14ac:dyDescent="0.25">
      <c r="A161" s="21">
        <v>9</v>
      </c>
      <c r="B161" s="234"/>
      <c r="C161" s="133" t="str">
        <f>DATA!H18</f>
        <v>Dharma Tegar Sathrya</v>
      </c>
      <c r="D161" s="248" t="str">
        <f>'UH1'!L157</f>
        <v>80</v>
      </c>
      <c r="E161" s="43"/>
      <c r="F161" s="134" t="str">
        <f>UHB!L157</f>
        <v>81</v>
      </c>
      <c r="G161" s="43"/>
      <c r="H161" s="368"/>
      <c r="I161" s="122">
        <f t="shared" si="16"/>
        <v>80.5</v>
      </c>
      <c r="J161" s="351">
        <v>44.5</v>
      </c>
      <c r="K161" s="351">
        <f t="shared" si="17"/>
        <v>69.5</v>
      </c>
      <c r="L161" s="353">
        <f t="shared" si="15"/>
        <v>77.75</v>
      </c>
      <c r="M161" s="313"/>
      <c r="N161" s="290">
        <v>83</v>
      </c>
      <c r="O161" s="44">
        <v>80</v>
      </c>
      <c r="P161" s="437">
        <f t="shared" si="18"/>
        <v>6</v>
      </c>
      <c r="Q161" s="438">
        <f t="shared" si="19"/>
        <v>18</v>
      </c>
      <c r="R161" s="30"/>
      <c r="S161" s="128"/>
      <c r="T161" s="31"/>
      <c r="V161" s="99">
        <v>74</v>
      </c>
      <c r="W161" s="425"/>
    </row>
    <row r="162" spans="1:23" ht="11.15" customHeight="1" x14ac:dyDescent="0.25">
      <c r="A162" s="21">
        <v>10</v>
      </c>
      <c r="B162" s="234"/>
      <c r="C162" s="193" t="str">
        <f>DATA!H19</f>
        <v>Eza Septian Dinata</v>
      </c>
      <c r="D162" s="248" t="str">
        <f>'UH1'!L158</f>
        <v>80</v>
      </c>
      <c r="E162" s="347"/>
      <c r="F162" s="134" t="str">
        <f>UHB!L158</f>
        <v>81</v>
      </c>
      <c r="G162" s="43"/>
      <c r="H162" s="368"/>
      <c r="I162" s="122">
        <f t="shared" si="16"/>
        <v>80.5</v>
      </c>
      <c r="J162" s="351">
        <v>40</v>
      </c>
      <c r="K162" s="351">
        <f t="shared" si="17"/>
        <v>65</v>
      </c>
      <c r="L162" s="353">
        <f>I162*0.75+K162*0.25</f>
        <v>76.625</v>
      </c>
      <c r="M162" s="313"/>
      <c r="N162" s="290">
        <v>82</v>
      </c>
      <c r="O162" s="44">
        <v>80</v>
      </c>
      <c r="P162" s="437">
        <f t="shared" si="18"/>
        <v>10</v>
      </c>
      <c r="Q162" s="438">
        <f t="shared" si="19"/>
        <v>18</v>
      </c>
      <c r="R162" s="30"/>
      <c r="S162" s="128" t="s">
        <v>58</v>
      </c>
      <c r="T162" s="31"/>
      <c r="V162" s="99">
        <v>75</v>
      </c>
      <c r="W162" s="422">
        <v>80</v>
      </c>
    </row>
    <row r="163" spans="1:23" ht="11.15" customHeight="1" x14ac:dyDescent="0.25">
      <c r="A163" s="21">
        <v>11</v>
      </c>
      <c r="B163" s="234"/>
      <c r="C163" s="133" t="str">
        <f>DATA!H20</f>
        <v>Hadi Khoirul Anwar</v>
      </c>
      <c r="D163" s="248" t="str">
        <f>'UH1'!L159</f>
        <v>80</v>
      </c>
      <c r="E163" s="43"/>
      <c r="F163" s="134" t="str">
        <f>UHB!L159</f>
        <v>81</v>
      </c>
      <c r="G163" s="43"/>
      <c r="H163" s="368"/>
      <c r="I163" s="122">
        <f t="shared" si="16"/>
        <v>80.5</v>
      </c>
      <c r="J163" s="351">
        <v>40</v>
      </c>
      <c r="K163" s="351">
        <f t="shared" si="17"/>
        <v>65</v>
      </c>
      <c r="L163" s="353">
        <f t="shared" si="15"/>
        <v>76.625</v>
      </c>
      <c r="M163" s="313"/>
      <c r="N163" s="290">
        <v>82</v>
      </c>
      <c r="O163" s="44">
        <v>81</v>
      </c>
      <c r="P163" s="437">
        <f t="shared" si="18"/>
        <v>10</v>
      </c>
      <c r="Q163" s="438">
        <f t="shared" si="19"/>
        <v>11</v>
      </c>
      <c r="R163" s="30"/>
      <c r="S163" s="128" t="s">
        <v>68</v>
      </c>
      <c r="T163" s="31"/>
      <c r="V163" s="99">
        <v>76</v>
      </c>
      <c r="W163" s="422">
        <v>81</v>
      </c>
    </row>
    <row r="164" spans="1:23" ht="11.15" customHeight="1" x14ac:dyDescent="0.25">
      <c r="A164" s="21">
        <v>12</v>
      </c>
      <c r="B164" s="234"/>
      <c r="C164" s="133" t="str">
        <f>DATA!H21</f>
        <v>Ica Nur Setyo Anugrah</v>
      </c>
      <c r="D164" s="248" t="str">
        <f>'UH1'!L160</f>
        <v>80</v>
      </c>
      <c r="E164" s="43"/>
      <c r="F164" s="134" t="str">
        <f>UHB!L160</f>
        <v>81</v>
      </c>
      <c r="G164" s="43"/>
      <c r="H164" s="368"/>
      <c r="I164" s="122">
        <f t="shared" si="16"/>
        <v>80.5</v>
      </c>
      <c r="J164" s="351">
        <v>42.5</v>
      </c>
      <c r="K164" s="351">
        <f t="shared" si="17"/>
        <v>67.5</v>
      </c>
      <c r="L164" s="353">
        <f t="shared" si="15"/>
        <v>77.25</v>
      </c>
      <c r="M164" s="313"/>
      <c r="N164" s="290">
        <v>82</v>
      </c>
      <c r="O164" s="44">
        <v>80</v>
      </c>
      <c r="P164" s="437">
        <f t="shared" si="18"/>
        <v>10</v>
      </c>
      <c r="Q164" s="438">
        <f t="shared" si="19"/>
        <v>18</v>
      </c>
      <c r="R164" s="30"/>
      <c r="S164" s="128"/>
      <c r="T164" s="31"/>
      <c r="V164" s="99">
        <v>77</v>
      </c>
      <c r="W164" s="423">
        <v>82</v>
      </c>
    </row>
    <row r="165" spans="1:23" ht="11.15" customHeight="1" x14ac:dyDescent="0.25">
      <c r="A165" s="21">
        <v>13</v>
      </c>
      <c r="B165" s="234"/>
      <c r="C165" s="133" t="str">
        <f>DATA!H22</f>
        <v>Jihan Aliya Kamil Alfayari</v>
      </c>
      <c r="D165" s="248">
        <v>95</v>
      </c>
      <c r="E165" s="347"/>
      <c r="F165" s="134">
        <v>90</v>
      </c>
      <c r="G165" s="43"/>
      <c r="H165" s="368"/>
      <c r="I165" s="122">
        <f t="shared" si="16"/>
        <v>92.5</v>
      </c>
      <c r="J165" s="351">
        <v>40.5</v>
      </c>
      <c r="K165" s="351">
        <f t="shared" si="17"/>
        <v>65.5</v>
      </c>
      <c r="L165" s="353">
        <v>82</v>
      </c>
      <c r="M165" s="313"/>
      <c r="N165" s="290">
        <v>89</v>
      </c>
      <c r="O165" s="44">
        <v>93</v>
      </c>
      <c r="P165" s="437">
        <f t="shared" si="18"/>
        <v>1</v>
      </c>
      <c r="Q165" s="438">
        <f t="shared" si="19"/>
        <v>1</v>
      </c>
      <c r="R165" s="30"/>
      <c r="S165" s="128"/>
      <c r="T165" s="31"/>
      <c r="V165" s="99">
        <v>78</v>
      </c>
      <c r="W165" s="422">
        <v>83</v>
      </c>
    </row>
    <row r="166" spans="1:23" ht="11.15" customHeight="1" x14ac:dyDescent="0.25">
      <c r="A166" s="21">
        <v>14</v>
      </c>
      <c r="B166" s="234"/>
      <c r="C166" s="133" t="str">
        <f>DATA!H23</f>
        <v>Keisya Bily Ferlista</v>
      </c>
      <c r="D166" s="248" t="str">
        <f>'UH1'!L162</f>
        <v>81</v>
      </c>
      <c r="E166" s="43"/>
      <c r="F166" s="134" t="str">
        <f>UHB!L162</f>
        <v>81</v>
      </c>
      <c r="G166" s="43"/>
      <c r="H166" s="368"/>
      <c r="I166" s="122">
        <f t="shared" si="16"/>
        <v>81</v>
      </c>
      <c r="J166" s="351">
        <v>42</v>
      </c>
      <c r="K166" s="351">
        <f t="shared" si="17"/>
        <v>67</v>
      </c>
      <c r="L166" s="353">
        <f t="shared" si="15"/>
        <v>77.5</v>
      </c>
      <c r="M166" s="313"/>
      <c r="N166" s="290">
        <v>83</v>
      </c>
      <c r="O166" s="44">
        <v>84</v>
      </c>
      <c r="P166" s="437">
        <f t="shared" si="18"/>
        <v>6</v>
      </c>
      <c r="Q166" s="438">
        <f t="shared" si="19"/>
        <v>3</v>
      </c>
      <c r="R166" s="30"/>
      <c r="S166" s="128" t="s">
        <v>42</v>
      </c>
      <c r="T166" s="31"/>
      <c r="V166" s="99">
        <v>79</v>
      </c>
      <c r="W166" s="422">
        <v>84</v>
      </c>
    </row>
    <row r="167" spans="1:23" ht="11.15" customHeight="1" x14ac:dyDescent="0.25">
      <c r="A167" s="21">
        <v>15</v>
      </c>
      <c r="B167" s="234"/>
      <c r="C167" s="133" t="str">
        <f>DATA!H24</f>
        <v>Muhammad Rafi Ma'Arif</v>
      </c>
      <c r="D167" s="248" t="str">
        <f>'UH1'!L163</f>
        <v>80</v>
      </c>
      <c r="E167" s="43"/>
      <c r="F167" s="134" t="str">
        <f>UHB!L163</f>
        <v>82</v>
      </c>
      <c r="G167" s="43"/>
      <c r="H167" s="368"/>
      <c r="I167" s="122">
        <f t="shared" si="16"/>
        <v>81</v>
      </c>
      <c r="J167" s="351">
        <v>47.5</v>
      </c>
      <c r="K167" s="351">
        <f t="shared" si="17"/>
        <v>72.5</v>
      </c>
      <c r="L167" s="353">
        <f t="shared" si="15"/>
        <v>78.875</v>
      </c>
      <c r="M167" s="313"/>
      <c r="N167" s="290">
        <v>84</v>
      </c>
      <c r="O167" s="44">
        <v>83</v>
      </c>
      <c r="P167" s="437">
        <f t="shared" si="18"/>
        <v>4</v>
      </c>
      <c r="Q167" s="438">
        <f t="shared" si="19"/>
        <v>6</v>
      </c>
      <c r="R167" s="30"/>
      <c r="S167" s="128"/>
      <c r="T167" s="31"/>
      <c r="V167" s="99">
        <v>80</v>
      </c>
      <c r="W167" s="422">
        <v>85</v>
      </c>
    </row>
    <row r="168" spans="1:23" ht="11.15" customHeight="1" x14ac:dyDescent="0.25">
      <c r="A168" s="21">
        <v>16</v>
      </c>
      <c r="B168" s="234"/>
      <c r="C168" s="133" t="str">
        <f>DATA!H25</f>
        <v>Nafis Aufan Ahsanulkarim</v>
      </c>
      <c r="D168" s="248" t="str">
        <f>'UH1'!L164</f>
        <v>80</v>
      </c>
      <c r="E168" s="43"/>
      <c r="F168" s="134" t="str">
        <f>UHB!L164</f>
        <v>82</v>
      </c>
      <c r="G168" s="43"/>
      <c r="H168" s="368"/>
      <c r="I168" s="122">
        <f t="shared" si="16"/>
        <v>81</v>
      </c>
      <c r="J168" s="351">
        <v>53.5</v>
      </c>
      <c r="K168" s="351">
        <f t="shared" si="17"/>
        <v>78.5</v>
      </c>
      <c r="L168" s="353">
        <f t="shared" si="15"/>
        <v>80.375</v>
      </c>
      <c r="M168" s="313"/>
      <c r="N168" s="290">
        <v>85</v>
      </c>
      <c r="O168" s="44">
        <v>82</v>
      </c>
      <c r="P168" s="437">
        <f t="shared" si="18"/>
        <v>3</v>
      </c>
      <c r="Q168" s="438">
        <f t="shared" si="19"/>
        <v>8</v>
      </c>
      <c r="R168" s="30"/>
      <c r="S168" s="128"/>
      <c r="T168" s="31"/>
      <c r="V168" s="99">
        <v>81</v>
      </c>
      <c r="W168" s="422">
        <v>86</v>
      </c>
    </row>
    <row r="169" spans="1:23" ht="11.15" customHeight="1" x14ac:dyDescent="0.25">
      <c r="A169" s="21">
        <v>17</v>
      </c>
      <c r="B169" s="234"/>
      <c r="C169" s="133" t="str">
        <f>DATA!H26</f>
        <v>Nayla Azalia Lathifah</v>
      </c>
      <c r="D169" s="248" t="str">
        <f>'UH1'!L165</f>
        <v>80</v>
      </c>
      <c r="E169" s="43"/>
      <c r="F169" s="134" t="str">
        <f>UHB!L165</f>
        <v>80</v>
      </c>
      <c r="G169" s="43"/>
      <c r="H169" s="368"/>
      <c r="I169" s="122">
        <f t="shared" si="16"/>
        <v>80</v>
      </c>
      <c r="J169" s="351">
        <v>31</v>
      </c>
      <c r="K169" s="351">
        <f t="shared" si="17"/>
        <v>56</v>
      </c>
      <c r="L169" s="353">
        <f t="shared" si="15"/>
        <v>74</v>
      </c>
      <c r="M169" s="313"/>
      <c r="N169" s="290">
        <v>82</v>
      </c>
      <c r="O169" s="44">
        <v>84</v>
      </c>
      <c r="P169" s="437">
        <f t="shared" si="18"/>
        <v>10</v>
      </c>
      <c r="Q169" s="438">
        <f t="shared" si="19"/>
        <v>3</v>
      </c>
      <c r="R169" s="30"/>
      <c r="S169" s="128"/>
      <c r="T169" s="31"/>
      <c r="V169" s="99">
        <v>82</v>
      </c>
      <c r="W169" s="422">
        <v>87</v>
      </c>
    </row>
    <row r="170" spans="1:23" ht="11.15" customHeight="1" x14ac:dyDescent="0.25">
      <c r="A170" s="21">
        <v>18</v>
      </c>
      <c r="B170" s="234"/>
      <c r="C170" s="133" t="str">
        <f>DATA!H27</f>
        <v>Radita Raharjo</v>
      </c>
      <c r="D170" s="248" t="str">
        <f>'UH1'!L166</f>
        <v>80</v>
      </c>
      <c r="E170" s="43"/>
      <c r="F170" s="134" t="str">
        <f>UHB!L166</f>
        <v>81</v>
      </c>
      <c r="G170" s="43"/>
      <c r="H170" s="368"/>
      <c r="I170" s="122">
        <f t="shared" si="16"/>
        <v>80.5</v>
      </c>
      <c r="J170" s="351">
        <v>35.5</v>
      </c>
      <c r="K170" s="351">
        <f t="shared" si="17"/>
        <v>60.5</v>
      </c>
      <c r="L170" s="353">
        <f t="shared" si="15"/>
        <v>75.5</v>
      </c>
      <c r="M170" s="313"/>
      <c r="N170" s="290">
        <v>81</v>
      </c>
      <c r="O170" s="44">
        <v>80</v>
      </c>
      <c r="P170" s="437">
        <f t="shared" si="18"/>
        <v>18</v>
      </c>
      <c r="Q170" s="438">
        <f t="shared" si="19"/>
        <v>18</v>
      </c>
      <c r="R170" s="30"/>
      <c r="S170" s="128"/>
      <c r="T170" s="31"/>
      <c r="V170" s="99">
        <v>83</v>
      </c>
      <c r="W170" s="422">
        <v>88</v>
      </c>
    </row>
    <row r="171" spans="1:23" ht="11.15" customHeight="1" x14ac:dyDescent="0.25">
      <c r="A171" s="21">
        <v>19</v>
      </c>
      <c r="B171" s="234"/>
      <c r="C171" s="133" t="str">
        <f>DATA!H28</f>
        <v>Rava Aditya Pratama</v>
      </c>
      <c r="D171" s="248" t="str">
        <f>'UH1'!L167</f>
        <v>80</v>
      </c>
      <c r="E171" s="43"/>
      <c r="F171" s="134" t="str">
        <f>UHB!L167</f>
        <v>80</v>
      </c>
      <c r="G171" s="43"/>
      <c r="H171" s="368"/>
      <c r="I171" s="122">
        <f t="shared" si="16"/>
        <v>80</v>
      </c>
      <c r="J171" s="351">
        <v>33.5</v>
      </c>
      <c r="K171" s="351">
        <f t="shared" si="17"/>
        <v>58.5</v>
      </c>
      <c r="L171" s="353">
        <f t="shared" si="15"/>
        <v>74.625</v>
      </c>
      <c r="M171" s="313"/>
      <c r="N171" s="290">
        <v>80</v>
      </c>
      <c r="O171" s="44">
        <v>83</v>
      </c>
      <c r="P171" s="437">
        <f t="shared" si="18"/>
        <v>20</v>
      </c>
      <c r="Q171" s="438">
        <f t="shared" si="19"/>
        <v>6</v>
      </c>
      <c r="R171" s="30"/>
      <c r="S171" s="128" t="str">
        <f>S122</f>
        <v>Dra. BAROKAH GUNIARTI</v>
      </c>
      <c r="T171" s="31"/>
      <c r="V171" s="99">
        <v>84</v>
      </c>
      <c r="W171" s="421">
        <v>89</v>
      </c>
    </row>
    <row r="172" spans="1:23" ht="11.15" customHeight="1" x14ac:dyDescent="0.25">
      <c r="A172" s="21">
        <v>20</v>
      </c>
      <c r="B172" s="234"/>
      <c r="C172" s="133" t="str">
        <f>DATA!H29</f>
        <v>Saffa Ayu Anastasya</v>
      </c>
      <c r="D172" s="248" t="str">
        <f>'UH1'!L168</f>
        <v>80</v>
      </c>
      <c r="E172" s="43"/>
      <c r="F172" s="134" t="str">
        <f>UHB!L168</f>
        <v>81</v>
      </c>
      <c r="G172" s="43"/>
      <c r="H172" s="368"/>
      <c r="I172" s="122">
        <f t="shared" si="16"/>
        <v>80.5</v>
      </c>
      <c r="J172" s="351">
        <v>41.5</v>
      </c>
      <c r="K172" s="351">
        <f t="shared" si="17"/>
        <v>66.5</v>
      </c>
      <c r="L172" s="353">
        <f t="shared" si="15"/>
        <v>77</v>
      </c>
      <c r="M172" s="313"/>
      <c r="N172" s="290">
        <v>83</v>
      </c>
      <c r="O172" s="44">
        <v>84</v>
      </c>
      <c r="P172" s="437">
        <f t="shared" si="18"/>
        <v>6</v>
      </c>
      <c r="Q172" s="438">
        <f t="shared" si="19"/>
        <v>3</v>
      </c>
      <c r="R172" s="30"/>
      <c r="S172" s="128" t="str">
        <f>S123</f>
        <v>NIP : 196901081996122004</v>
      </c>
      <c r="T172" s="31"/>
      <c r="V172" s="99">
        <v>85</v>
      </c>
      <c r="W172" s="422">
        <v>90</v>
      </c>
    </row>
    <row r="173" spans="1:23" ht="11.15" customHeight="1" x14ac:dyDescent="0.25">
      <c r="A173" s="21">
        <v>21</v>
      </c>
      <c r="B173" s="234"/>
      <c r="C173" s="133" t="str">
        <f>DATA!H30</f>
        <v>Saromadika</v>
      </c>
      <c r="D173" s="248" t="str">
        <f>'UH1'!L169</f>
        <v>81</v>
      </c>
      <c r="E173" s="43"/>
      <c r="F173" s="134" t="str">
        <f>UHB!L169</f>
        <v>80</v>
      </c>
      <c r="G173" s="43"/>
      <c r="H173" s="368"/>
      <c r="I173" s="122">
        <f t="shared" si="16"/>
        <v>80.5</v>
      </c>
      <c r="J173" s="351">
        <v>33</v>
      </c>
      <c r="K173" s="351">
        <f t="shared" si="17"/>
        <v>58</v>
      </c>
      <c r="L173" s="353">
        <f t="shared" si="15"/>
        <v>74.875</v>
      </c>
      <c r="M173" s="313"/>
      <c r="N173" s="290">
        <v>80</v>
      </c>
      <c r="O173" s="44">
        <v>81</v>
      </c>
      <c r="P173" s="437">
        <f t="shared" si="18"/>
        <v>20</v>
      </c>
      <c r="Q173" s="438">
        <f t="shared" si="19"/>
        <v>11</v>
      </c>
      <c r="R173" s="30"/>
      <c r="S173" s="29"/>
      <c r="T173" s="31"/>
      <c r="V173" s="99">
        <v>86</v>
      </c>
      <c r="W173" s="421">
        <v>91</v>
      </c>
    </row>
    <row r="174" spans="1:23" ht="11.15" customHeight="1" x14ac:dyDescent="0.25">
      <c r="A174" s="21">
        <v>22</v>
      </c>
      <c r="B174" s="234"/>
      <c r="C174" s="133" t="str">
        <f>DATA!H31</f>
        <v>Siti Fadilah Purmareta</v>
      </c>
      <c r="D174" s="248" t="str">
        <f>'UH1'!L170</f>
        <v>80</v>
      </c>
      <c r="E174" s="43"/>
      <c r="F174" s="134" t="str">
        <f>UHB!L170</f>
        <v>81</v>
      </c>
      <c r="G174" s="43"/>
      <c r="H174" s="368"/>
      <c r="I174" s="122">
        <f t="shared" si="16"/>
        <v>80.5</v>
      </c>
      <c r="J174" s="351">
        <v>40</v>
      </c>
      <c r="K174" s="351">
        <f t="shared" si="17"/>
        <v>65</v>
      </c>
      <c r="L174" s="353">
        <f t="shared" si="15"/>
        <v>76.625</v>
      </c>
      <c r="M174" s="313"/>
      <c r="N174" s="290">
        <v>82</v>
      </c>
      <c r="O174" s="44">
        <v>80</v>
      </c>
      <c r="P174" s="437">
        <f t="shared" si="18"/>
        <v>10</v>
      </c>
      <c r="Q174" s="438">
        <f t="shared" si="19"/>
        <v>18</v>
      </c>
      <c r="R174" s="30"/>
      <c r="S174" s="29"/>
      <c r="T174" s="31"/>
      <c r="V174" s="99">
        <v>87</v>
      </c>
      <c r="W174" s="421">
        <v>92</v>
      </c>
    </row>
    <row r="175" spans="1:23" ht="11.15" customHeight="1" x14ac:dyDescent="0.25">
      <c r="A175" s="21">
        <v>23</v>
      </c>
      <c r="B175" s="234"/>
      <c r="C175" s="133" t="str">
        <f>DATA!H32</f>
        <v>Surya Ardika Pratama</v>
      </c>
      <c r="D175" s="248" t="str">
        <f>'UH1'!L171</f>
        <v>80</v>
      </c>
      <c r="E175" s="43"/>
      <c r="F175" s="134" t="str">
        <f>UHB!L171</f>
        <v>80</v>
      </c>
      <c r="G175" s="43"/>
      <c r="H175" s="368"/>
      <c r="I175" s="122">
        <f t="shared" si="16"/>
        <v>80</v>
      </c>
      <c r="J175" s="351">
        <v>31</v>
      </c>
      <c r="K175" s="351">
        <f t="shared" si="17"/>
        <v>56</v>
      </c>
      <c r="L175" s="353">
        <f t="shared" si="15"/>
        <v>74</v>
      </c>
      <c r="M175" s="313"/>
      <c r="N175" s="290">
        <v>80</v>
      </c>
      <c r="O175" s="44">
        <v>80</v>
      </c>
      <c r="P175" s="437">
        <f t="shared" si="18"/>
        <v>20</v>
      </c>
      <c r="Q175" s="438">
        <f t="shared" si="19"/>
        <v>18</v>
      </c>
      <c r="R175" s="30"/>
      <c r="S175" s="29"/>
      <c r="T175" s="31"/>
      <c r="V175" s="99">
        <v>88</v>
      </c>
      <c r="W175" s="421">
        <v>93</v>
      </c>
    </row>
    <row r="176" spans="1:23" ht="11.15" customHeight="1" x14ac:dyDescent="0.25">
      <c r="A176" s="211">
        <v>24</v>
      </c>
      <c r="B176" s="234"/>
      <c r="C176" s="133" t="str">
        <f>DATA!H33</f>
        <v>Syafa Nutrima Andini</v>
      </c>
      <c r="D176" s="248" t="str">
        <f>'UH1'!L172</f>
        <v>80</v>
      </c>
      <c r="E176" s="43"/>
      <c r="F176" s="134" t="str">
        <f>UHB!L172</f>
        <v>80</v>
      </c>
      <c r="G176" s="43"/>
      <c r="H176" s="368"/>
      <c r="I176" s="122">
        <f t="shared" si="16"/>
        <v>80</v>
      </c>
      <c r="J176" s="351">
        <v>37</v>
      </c>
      <c r="K176" s="351">
        <f t="shared" si="17"/>
        <v>62</v>
      </c>
      <c r="L176" s="353">
        <f t="shared" si="15"/>
        <v>75.5</v>
      </c>
      <c r="M176" s="313"/>
      <c r="N176" s="290">
        <v>81</v>
      </c>
      <c r="O176" s="44">
        <v>81</v>
      </c>
      <c r="P176" s="437">
        <f t="shared" si="18"/>
        <v>18</v>
      </c>
      <c r="Q176" s="438">
        <f t="shared" si="19"/>
        <v>11</v>
      </c>
      <c r="R176" s="30"/>
      <c r="S176" s="29"/>
      <c r="T176" s="31"/>
      <c r="V176" s="99">
        <v>89</v>
      </c>
      <c r="W176" s="421">
        <v>94</v>
      </c>
    </row>
    <row r="177" spans="1:23" ht="11.15" customHeight="1" x14ac:dyDescent="0.25">
      <c r="A177" s="21">
        <v>25</v>
      </c>
      <c r="B177" s="234"/>
      <c r="C177" s="133" t="str">
        <f>DATA!H34</f>
        <v>Syifa Dwi Rahayu</v>
      </c>
      <c r="D177" s="248" t="str">
        <f>'UH1'!L173</f>
        <v>81</v>
      </c>
      <c r="E177" s="43"/>
      <c r="F177" s="134" t="str">
        <f>UHB!L173</f>
        <v>80</v>
      </c>
      <c r="G177" s="43"/>
      <c r="H177" s="368"/>
      <c r="I177" s="122">
        <f t="shared" si="16"/>
        <v>80.5</v>
      </c>
      <c r="J177" s="351">
        <v>22.5</v>
      </c>
      <c r="K177" s="351">
        <f t="shared" si="17"/>
        <v>47.5</v>
      </c>
      <c r="L177" s="353">
        <f t="shared" si="15"/>
        <v>72.25</v>
      </c>
      <c r="M177" s="313"/>
      <c r="N177" s="290">
        <v>80</v>
      </c>
      <c r="O177" s="44">
        <v>80</v>
      </c>
      <c r="P177" s="437">
        <f t="shared" si="18"/>
        <v>20</v>
      </c>
      <c r="Q177" s="438">
        <f t="shared" si="19"/>
        <v>18</v>
      </c>
      <c r="R177" s="30"/>
      <c r="S177" s="29"/>
      <c r="T177" s="31"/>
      <c r="V177" s="99">
        <v>90</v>
      </c>
      <c r="W177" s="421">
        <v>95</v>
      </c>
    </row>
    <row r="178" spans="1:23" ht="11.15" customHeight="1" x14ac:dyDescent="0.25">
      <c r="A178" s="21">
        <v>26</v>
      </c>
      <c r="B178" s="234"/>
      <c r="C178" s="133" t="str">
        <f>DATA!H35</f>
        <v>Trendy Pambayun</v>
      </c>
      <c r="D178" s="248" t="str">
        <f>'UH1'!L174</f>
        <v>80</v>
      </c>
      <c r="E178" s="43"/>
      <c r="F178" s="134" t="str">
        <f>UHB!L174</f>
        <v>80</v>
      </c>
      <c r="G178" s="43"/>
      <c r="H178" s="368"/>
      <c r="I178" s="122">
        <f t="shared" si="16"/>
        <v>80</v>
      </c>
      <c r="J178" s="351">
        <v>22.5</v>
      </c>
      <c r="K178" s="351">
        <f t="shared" si="17"/>
        <v>47.5</v>
      </c>
      <c r="L178" s="353">
        <f t="shared" si="15"/>
        <v>71.875</v>
      </c>
      <c r="M178" s="313"/>
      <c r="N178" s="290">
        <v>80</v>
      </c>
      <c r="O178" s="44">
        <v>80</v>
      </c>
      <c r="P178" s="437">
        <f t="shared" si="18"/>
        <v>20</v>
      </c>
      <c r="Q178" s="438">
        <f t="shared" si="19"/>
        <v>18</v>
      </c>
      <c r="R178" s="30"/>
      <c r="S178" s="29"/>
      <c r="T178" s="31"/>
    </row>
    <row r="179" spans="1:23" ht="11.15" customHeight="1" x14ac:dyDescent="0.25">
      <c r="A179" s="21">
        <v>27</v>
      </c>
      <c r="B179" s="234"/>
      <c r="C179" s="133" t="str">
        <f>DATA!H36</f>
        <v>Victar Alfiano</v>
      </c>
      <c r="D179" s="248" t="str">
        <f>'UH1'!L175</f>
        <v>80</v>
      </c>
      <c r="E179" s="43"/>
      <c r="F179" s="134" t="str">
        <f>UHB!L175</f>
        <v>80</v>
      </c>
      <c r="G179" s="43"/>
      <c r="H179" s="368"/>
      <c r="I179" s="122">
        <f t="shared" si="16"/>
        <v>80</v>
      </c>
      <c r="J179" s="351">
        <v>32.5</v>
      </c>
      <c r="K179" s="351">
        <f t="shared" si="17"/>
        <v>57.5</v>
      </c>
      <c r="L179" s="353">
        <f t="shared" si="15"/>
        <v>74.375</v>
      </c>
      <c r="M179" s="313"/>
      <c r="N179" s="290">
        <v>80</v>
      </c>
      <c r="O179" s="44">
        <v>80</v>
      </c>
      <c r="P179" s="437">
        <f t="shared" si="18"/>
        <v>20</v>
      </c>
      <c r="Q179" s="438">
        <f t="shared" si="19"/>
        <v>18</v>
      </c>
      <c r="R179" s="30"/>
      <c r="S179" s="29"/>
      <c r="T179" s="31"/>
    </row>
    <row r="180" spans="1:23" ht="11.15" customHeight="1" x14ac:dyDescent="0.25">
      <c r="A180" s="21">
        <v>28</v>
      </c>
      <c r="B180" s="234"/>
      <c r="C180" s="133" t="str">
        <f>DATA!H37</f>
        <v>Vika Adhania</v>
      </c>
      <c r="D180" s="248" t="str">
        <f>'UH1'!L176</f>
        <v>82</v>
      </c>
      <c r="E180" s="43"/>
      <c r="F180" s="134" t="str">
        <f>UHB!L176</f>
        <v>80</v>
      </c>
      <c r="G180" s="43"/>
      <c r="H180" s="368"/>
      <c r="I180" s="122">
        <f t="shared" si="16"/>
        <v>81</v>
      </c>
      <c r="J180" s="351">
        <v>21</v>
      </c>
      <c r="K180" s="351">
        <f t="shared" si="17"/>
        <v>46</v>
      </c>
      <c r="L180" s="353">
        <f t="shared" si="15"/>
        <v>72.25</v>
      </c>
      <c r="M180" s="313"/>
      <c r="N180" s="290">
        <v>80</v>
      </c>
      <c r="O180" s="44">
        <v>82</v>
      </c>
      <c r="P180" s="437">
        <f t="shared" si="18"/>
        <v>20</v>
      </c>
      <c r="Q180" s="438">
        <f t="shared" si="19"/>
        <v>8</v>
      </c>
      <c r="R180" s="30"/>
      <c r="S180" s="29"/>
      <c r="T180" s="31"/>
    </row>
    <row r="181" spans="1:23" ht="11.15" customHeight="1" x14ac:dyDescent="0.25">
      <c r="A181" s="21">
        <v>29</v>
      </c>
      <c r="B181" s="234"/>
      <c r="C181" s="133" t="str">
        <f>DATA!H38</f>
        <v>Yogi Restu Bintang Pamungkas</v>
      </c>
      <c r="D181" s="248" t="str">
        <f>'UH1'!L177</f>
        <v>81</v>
      </c>
      <c r="E181" s="43"/>
      <c r="F181" s="134" t="str">
        <f>UHB!L177</f>
        <v>80</v>
      </c>
      <c r="G181" s="347"/>
      <c r="H181" s="368"/>
      <c r="I181" s="122">
        <f t="shared" si="16"/>
        <v>80.5</v>
      </c>
      <c r="J181" s="351">
        <v>40</v>
      </c>
      <c r="K181" s="351">
        <f t="shared" si="17"/>
        <v>65</v>
      </c>
      <c r="L181" s="353">
        <f t="shared" si="15"/>
        <v>76.625</v>
      </c>
      <c r="M181" s="313"/>
      <c r="N181" s="290">
        <v>84</v>
      </c>
      <c r="O181" s="44">
        <v>87</v>
      </c>
      <c r="P181" s="437">
        <f t="shared" si="18"/>
        <v>4</v>
      </c>
      <c r="Q181" s="438">
        <f t="shared" si="19"/>
        <v>2</v>
      </c>
      <c r="R181" s="30"/>
      <c r="S181" s="29"/>
      <c r="T181" s="31"/>
    </row>
    <row r="182" spans="1:23" ht="11.15" customHeight="1" x14ac:dyDescent="0.25">
      <c r="A182" s="21">
        <v>30</v>
      </c>
      <c r="B182" s="234"/>
      <c r="C182" s="133" t="str">
        <f>DATA!H39</f>
        <v>Zahfa Zilvilya Putri</v>
      </c>
      <c r="D182" s="248" t="str">
        <f>'UH1'!L178</f>
        <v>80</v>
      </c>
      <c r="E182" s="43"/>
      <c r="F182" s="134" t="str">
        <f>UHB!L178</f>
        <v>80</v>
      </c>
      <c r="G182" s="43"/>
      <c r="H182" s="368"/>
      <c r="I182" s="122">
        <f t="shared" si="16"/>
        <v>80</v>
      </c>
      <c r="J182" s="351">
        <v>25.5</v>
      </c>
      <c r="K182" s="351">
        <f t="shared" si="17"/>
        <v>50.5</v>
      </c>
      <c r="L182" s="353">
        <f t="shared" si="15"/>
        <v>72.625</v>
      </c>
      <c r="M182" s="313"/>
      <c r="N182" s="290">
        <v>80</v>
      </c>
      <c r="O182" s="44">
        <v>80</v>
      </c>
      <c r="P182" s="437">
        <f t="shared" si="18"/>
        <v>20</v>
      </c>
      <c r="Q182" s="438">
        <f t="shared" si="19"/>
        <v>18</v>
      </c>
      <c r="R182" s="30"/>
      <c r="S182" s="29"/>
      <c r="T182" s="31"/>
    </row>
    <row r="183" spans="1:23" ht="11.15" customHeight="1" x14ac:dyDescent="0.25">
      <c r="A183" s="21">
        <v>31</v>
      </c>
      <c r="B183" s="234"/>
      <c r="C183" s="133" t="str">
        <f>DATA!H40</f>
        <v>Zaidan Rafa Prawidi</v>
      </c>
      <c r="D183" s="248" t="str">
        <f>'UH1'!L179</f>
        <v>80</v>
      </c>
      <c r="E183" s="291"/>
      <c r="F183" s="134" t="str">
        <f>UHB!L179</f>
        <v>81</v>
      </c>
      <c r="G183" s="43"/>
      <c r="H183" s="368"/>
      <c r="I183" s="122">
        <f t="shared" si="16"/>
        <v>80.5</v>
      </c>
      <c r="J183" s="351">
        <v>43.5</v>
      </c>
      <c r="K183" s="351">
        <f t="shared" si="17"/>
        <v>68.5</v>
      </c>
      <c r="L183" s="353">
        <f t="shared" si="15"/>
        <v>77.5</v>
      </c>
      <c r="M183" s="313"/>
      <c r="N183" s="290">
        <v>83</v>
      </c>
      <c r="O183" s="44">
        <v>80</v>
      </c>
      <c r="P183" s="437">
        <f t="shared" si="18"/>
        <v>6</v>
      </c>
      <c r="Q183" s="438">
        <f t="shared" si="19"/>
        <v>18</v>
      </c>
      <c r="R183" s="30"/>
      <c r="S183" s="29"/>
      <c r="T183" s="31"/>
    </row>
    <row r="184" spans="1:23" ht="11.15" customHeight="1" x14ac:dyDescent="0.25">
      <c r="A184" s="21">
        <v>32</v>
      </c>
      <c r="B184" s="234"/>
      <c r="C184" s="133"/>
      <c r="D184" s="391"/>
      <c r="E184" s="291"/>
      <c r="F184" s="134"/>
      <c r="G184" s="43"/>
      <c r="H184" s="368"/>
      <c r="I184" s="122"/>
      <c r="J184" s="351"/>
      <c r="K184" s="351"/>
      <c r="L184" s="353"/>
      <c r="M184" s="313"/>
      <c r="N184" s="290"/>
      <c r="O184" s="44"/>
      <c r="P184" s="437"/>
      <c r="Q184" s="438"/>
      <c r="R184" s="30"/>
      <c r="S184" s="29"/>
      <c r="T184" s="31"/>
    </row>
    <row r="185" spans="1:23" ht="11.15" customHeight="1" x14ac:dyDescent="0.3">
      <c r="A185" s="21">
        <v>33</v>
      </c>
      <c r="B185" s="133"/>
      <c r="C185" s="19"/>
      <c r="D185" s="290"/>
      <c r="E185" s="291"/>
      <c r="F185" s="291"/>
      <c r="G185" s="291"/>
      <c r="H185" s="292"/>
      <c r="I185" s="122"/>
      <c r="J185" s="133"/>
      <c r="K185" s="133"/>
      <c r="L185" s="363"/>
      <c r="M185" s="313"/>
      <c r="N185" s="290"/>
      <c r="O185" s="44"/>
      <c r="P185" s="437"/>
      <c r="Q185" s="438"/>
      <c r="R185" s="30"/>
      <c r="S185" s="29"/>
      <c r="T185" s="31"/>
    </row>
    <row r="186" spans="1:23" ht="11.15" customHeight="1" x14ac:dyDescent="0.3">
      <c r="A186" s="21">
        <v>34</v>
      </c>
      <c r="B186" s="133"/>
      <c r="C186" s="19"/>
      <c r="D186" s="290"/>
      <c r="E186" s="291"/>
      <c r="F186" s="291"/>
      <c r="G186" s="291"/>
      <c r="H186" s="292"/>
      <c r="I186" s="122"/>
      <c r="J186" s="133"/>
      <c r="K186" s="133"/>
      <c r="L186" s="363"/>
      <c r="M186" s="313"/>
      <c r="N186" s="290"/>
      <c r="O186" s="44"/>
      <c r="P186" s="437"/>
      <c r="Q186" s="438"/>
      <c r="R186" s="30"/>
      <c r="S186" s="29"/>
      <c r="T186" s="31"/>
    </row>
    <row r="187" spans="1:23" ht="11.15" customHeight="1" x14ac:dyDescent="0.3">
      <c r="A187" s="21">
        <v>35</v>
      </c>
      <c r="B187" s="133"/>
      <c r="C187" s="171"/>
      <c r="D187" s="293"/>
      <c r="E187" s="294"/>
      <c r="F187" s="294"/>
      <c r="G187" s="294"/>
      <c r="H187" s="295"/>
      <c r="I187" s="390"/>
      <c r="J187" s="285"/>
      <c r="K187" s="285"/>
      <c r="L187" s="364"/>
      <c r="M187" s="313"/>
      <c r="N187" s="293"/>
      <c r="O187" s="138"/>
      <c r="P187" s="441"/>
      <c r="Q187" s="443"/>
      <c r="R187" s="8"/>
      <c r="S187" s="124"/>
      <c r="T187" s="9"/>
    </row>
    <row r="188" spans="1:23" ht="11.15" customHeight="1" x14ac:dyDescent="0.25">
      <c r="A188" s="485"/>
      <c r="B188" s="486"/>
      <c r="D188" s="260"/>
      <c r="E188" s="260"/>
      <c r="F188" s="260"/>
      <c r="G188" s="260"/>
      <c r="H188" s="260"/>
      <c r="I188" s="232"/>
      <c r="J188" s="232"/>
      <c r="K188" s="281"/>
      <c r="L188" s="355"/>
      <c r="M188" s="313"/>
      <c r="N188" s="313"/>
    </row>
    <row r="189" spans="1:23" ht="11.15" customHeight="1" x14ac:dyDescent="0.3">
      <c r="A189" s="485"/>
      <c r="B189" s="486"/>
      <c r="C189" s="276" t="s">
        <v>71</v>
      </c>
      <c r="D189" s="312"/>
      <c r="E189" s="39"/>
      <c r="F189" s="312"/>
      <c r="G189" s="39"/>
      <c r="H189" s="312"/>
      <c r="I189" s="312"/>
      <c r="J189" s="407">
        <f>COUNTIF(J153:J187,"&gt;=79,5")</f>
        <v>0</v>
      </c>
      <c r="K189" s="312">
        <f>COUNTIF(K153:K187,"&gt;=79,5")</f>
        <v>0</v>
      </c>
      <c r="L189" s="366">
        <f>COUNTIF(L153:L187,"&gt;=79,5")</f>
        <v>3</v>
      </c>
      <c r="M189" s="313"/>
      <c r="N189" s="449">
        <f>COUNTIF(N153:N187,"&gt;=79,5")</f>
        <v>31</v>
      </c>
      <c r="O189" s="449">
        <f>COUNTIF(O153:O187,"&gt;=79,5")</f>
        <v>31</v>
      </c>
      <c r="P189" s="125"/>
    </row>
    <row r="190" spans="1:23" ht="11.15" customHeight="1" x14ac:dyDescent="0.3">
      <c r="A190" s="482"/>
      <c r="B190" s="483"/>
      <c r="C190" s="273" t="s">
        <v>72</v>
      </c>
      <c r="D190" s="304"/>
      <c r="E190" s="42"/>
      <c r="F190" s="304"/>
      <c r="G190" s="42"/>
      <c r="H190" s="304"/>
      <c r="I190" s="304"/>
      <c r="J190" s="408">
        <f>COUNTIF(J153:J187,"&lt;79,5")</f>
        <v>31</v>
      </c>
      <c r="K190" s="304">
        <f>COUNTIF(K153:K187,"&lt;79,5")</f>
        <v>31</v>
      </c>
      <c r="L190" s="357">
        <f>COUNTIF(L153:L187,"&lt;79,5")</f>
        <v>28</v>
      </c>
      <c r="M190" s="313"/>
      <c r="N190" s="404">
        <f>COUNTIF(N153:N187,"&lt;79,5")</f>
        <v>0</v>
      </c>
      <c r="O190" s="404">
        <f>COUNTIF(O153:O187,"&lt;79,5")</f>
        <v>0</v>
      </c>
      <c r="P190" s="125"/>
    </row>
    <row r="191" spans="1:23" ht="11.15" customHeight="1" x14ac:dyDescent="0.3">
      <c r="A191" s="482"/>
      <c r="B191" s="483"/>
      <c r="C191" s="273" t="s">
        <v>73</v>
      </c>
      <c r="D191" s="304"/>
      <c r="E191" s="42"/>
      <c r="F191" s="304"/>
      <c r="G191" s="42"/>
      <c r="H191" s="304"/>
      <c r="I191" s="304"/>
      <c r="J191" s="409">
        <f>MIN(J153:J187)</f>
        <v>21</v>
      </c>
      <c r="K191" s="304">
        <f>MIN(K153:K187)</f>
        <v>46</v>
      </c>
      <c r="L191" s="358">
        <f>MIN(L153:L187)</f>
        <v>71.875</v>
      </c>
      <c r="M191" s="313"/>
      <c r="N191" s="405">
        <f>MIN(N153:N187)</f>
        <v>80</v>
      </c>
      <c r="O191" s="405">
        <f>MIN(O153:O187)</f>
        <v>80</v>
      </c>
      <c r="P191" s="427"/>
    </row>
    <row r="192" spans="1:23" ht="11.15" customHeight="1" x14ac:dyDescent="0.3">
      <c r="A192" s="482"/>
      <c r="B192" s="483"/>
      <c r="C192" s="273" t="s">
        <v>74</v>
      </c>
      <c r="D192" s="304"/>
      <c r="E192" s="42"/>
      <c r="F192" s="304"/>
      <c r="G192" s="42"/>
      <c r="H192" s="304"/>
      <c r="I192" s="304"/>
      <c r="J192" s="409">
        <f>MAX(J153:J187)</f>
        <v>53.5</v>
      </c>
      <c r="K192" s="304">
        <f>MAX(K153:K187)</f>
        <v>78.5</v>
      </c>
      <c r="L192" s="358">
        <f>MAX(L153:L187)</f>
        <v>82</v>
      </c>
      <c r="M192" s="313"/>
      <c r="N192" s="405">
        <f>MAX(N153:N187)</f>
        <v>89</v>
      </c>
      <c r="O192" s="405">
        <f>MAX(O153:O187)</f>
        <v>93</v>
      </c>
      <c r="P192" s="427"/>
    </row>
    <row r="193" spans="1:23" ht="11.15" customHeight="1" x14ac:dyDescent="0.3">
      <c r="A193" s="475"/>
      <c r="B193" s="476"/>
      <c r="C193" s="274" t="s">
        <v>75</v>
      </c>
      <c r="D193" s="305"/>
      <c r="E193" s="136"/>
      <c r="F193" s="305"/>
      <c r="G193" s="136"/>
      <c r="H193" s="305"/>
      <c r="I193" s="305"/>
      <c r="J193" s="410">
        <f>AVERAGE(J153:J187)</f>
        <v>36.451612903225808</v>
      </c>
      <c r="K193" s="305">
        <f>AVERAGE(K153:K187)</f>
        <v>61.451612903225808</v>
      </c>
      <c r="L193" s="359">
        <f>AVERAGE(L153:L187)</f>
        <v>75.979838709677423</v>
      </c>
      <c r="M193" s="313"/>
      <c r="N193" s="406">
        <f>AVERAGE(N153:N187)</f>
        <v>81.870967741935488</v>
      </c>
      <c r="O193" s="406">
        <f>AVERAGE(O153:O187)</f>
        <v>81.645161290322577</v>
      </c>
      <c r="P193" s="427"/>
    </row>
    <row r="194" spans="1:23" ht="11.15" customHeight="1" x14ac:dyDescent="0.25">
      <c r="A194" s="481"/>
      <c r="B194" s="481"/>
      <c r="D194" s="277"/>
      <c r="E194" s="277"/>
      <c r="F194" s="277"/>
      <c r="G194" s="277"/>
      <c r="H194" s="277"/>
      <c r="L194" s="173"/>
      <c r="M194" s="313"/>
      <c r="N194" s="313"/>
    </row>
    <row r="195" spans="1:23" ht="11.15" customHeight="1" x14ac:dyDescent="0.25">
      <c r="A195" s="128"/>
      <c r="B195" s="128"/>
      <c r="D195" s="277"/>
      <c r="E195" s="277"/>
      <c r="F195" s="277"/>
      <c r="G195" s="277"/>
      <c r="H195" s="277"/>
      <c r="L195" s="173"/>
      <c r="M195" s="313"/>
      <c r="N195" s="313"/>
    </row>
    <row r="196" spans="1:23" ht="11.15" customHeight="1" x14ac:dyDescent="0.25">
      <c r="A196" s="128"/>
      <c r="B196" s="128"/>
      <c r="D196" s="277"/>
      <c r="E196" s="277"/>
      <c r="F196" s="277"/>
      <c r="G196" s="277"/>
      <c r="H196" s="277"/>
      <c r="L196" s="173"/>
      <c r="M196" s="313"/>
      <c r="N196" s="313"/>
    </row>
    <row r="197" spans="1:23" ht="11.15" customHeight="1" x14ac:dyDescent="0.3">
      <c r="A197" s="478"/>
      <c r="B197" s="478"/>
      <c r="C197" s="478" t="str">
        <f>C148</f>
        <v>DAFTAR  NILAI MATEMATIKA SMT 1 TP 2025/2026</v>
      </c>
      <c r="D197" s="478"/>
      <c r="E197" s="478"/>
      <c r="F197" s="478"/>
      <c r="G197" s="478"/>
      <c r="H197" s="478"/>
      <c r="I197" s="478"/>
      <c r="J197" s="478"/>
      <c r="K197" s="478"/>
      <c r="L197" s="478"/>
      <c r="M197" s="313"/>
      <c r="N197" s="313"/>
    </row>
    <row r="198" spans="1:23" ht="11.15" customHeight="1" x14ac:dyDescent="0.3">
      <c r="A198" s="245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313"/>
      <c r="N198" s="498" t="s">
        <v>497</v>
      </c>
      <c r="O198" s="498"/>
      <c r="P198" s="128"/>
      <c r="Q198" s="492" t="s">
        <v>94</v>
      </c>
    </row>
    <row r="199" spans="1:23" ht="11.15" customHeight="1" x14ac:dyDescent="0.3">
      <c r="A199" s="479"/>
      <c r="B199" s="479"/>
      <c r="D199" s="277"/>
      <c r="E199" s="277"/>
      <c r="F199" s="277"/>
      <c r="G199" s="277"/>
      <c r="H199" s="277"/>
      <c r="L199" s="173"/>
      <c r="M199" s="313"/>
      <c r="N199" s="493" t="s">
        <v>496</v>
      </c>
      <c r="O199" s="493"/>
      <c r="P199" s="104"/>
      <c r="Q199" s="492"/>
    </row>
    <row r="200" spans="1:23" ht="11.15" customHeight="1" x14ac:dyDescent="0.3">
      <c r="A200" s="484" t="s">
        <v>0</v>
      </c>
      <c r="B200" s="153"/>
      <c r="C200" s="484" t="s">
        <v>2</v>
      </c>
      <c r="D200" s="477" t="s">
        <v>85</v>
      </c>
      <c r="E200" s="477"/>
      <c r="F200" s="477"/>
      <c r="G200" s="477"/>
      <c r="H200" s="477"/>
      <c r="I200" s="53" t="s">
        <v>70</v>
      </c>
      <c r="J200" s="474" t="s">
        <v>296</v>
      </c>
      <c r="K200" s="474"/>
      <c r="L200" s="474" t="s">
        <v>87</v>
      </c>
      <c r="M200" s="313"/>
      <c r="N200" s="494" t="s">
        <v>494</v>
      </c>
      <c r="O200" s="496" t="s">
        <v>495</v>
      </c>
      <c r="P200" s="501" t="s">
        <v>499</v>
      </c>
      <c r="Q200" s="502"/>
      <c r="R200" s="60"/>
      <c r="S200" s="10"/>
      <c r="T200" s="61"/>
    </row>
    <row r="201" spans="1:23" ht="11.15" customHeight="1" x14ac:dyDescent="0.3">
      <c r="A201" s="484"/>
      <c r="B201" s="153"/>
      <c r="C201" s="484"/>
      <c r="D201" s="289" t="s">
        <v>97</v>
      </c>
      <c r="E201" s="289"/>
      <c r="F201" s="289" t="s">
        <v>98</v>
      </c>
      <c r="G201" s="289"/>
      <c r="H201" s="289" t="s">
        <v>99</v>
      </c>
      <c r="I201" s="129" t="s">
        <v>85</v>
      </c>
      <c r="J201" s="289" t="s">
        <v>100</v>
      </c>
      <c r="K201" s="365" t="s">
        <v>101</v>
      </c>
      <c r="L201" s="474"/>
      <c r="M201" s="313"/>
      <c r="N201" s="495"/>
      <c r="O201" s="497"/>
      <c r="P201" s="428" t="s">
        <v>494</v>
      </c>
      <c r="Q201" s="429" t="s">
        <v>495</v>
      </c>
      <c r="R201" s="29"/>
      <c r="S201" s="29"/>
      <c r="T201" s="31"/>
    </row>
    <row r="202" spans="1:23" ht="11.15" customHeight="1" x14ac:dyDescent="0.3">
      <c r="A202" s="20">
        <v>1</v>
      </c>
      <c r="B202" s="235"/>
      <c r="C202" s="130" t="str">
        <f>DATA!J10</f>
        <v>Adyatma Danendra Abimanyu</v>
      </c>
      <c r="D202" s="342">
        <f>'UH1'!L196</f>
        <v>100</v>
      </c>
      <c r="E202" s="40"/>
      <c r="F202" s="131" t="str">
        <f>UHB!L196</f>
        <v>82</v>
      </c>
      <c r="G202" s="40"/>
      <c r="H202" s="367"/>
      <c r="I202" s="120">
        <f>(D202+F202)/2</f>
        <v>91</v>
      </c>
      <c r="J202" s="350">
        <v>53.5</v>
      </c>
      <c r="K202" s="350">
        <f>J202+25</f>
        <v>78.5</v>
      </c>
      <c r="L202" s="148">
        <f t="shared" ref="L202:L231" si="20">I202*0.75+K202*0.25</f>
        <v>87.875</v>
      </c>
      <c r="M202" s="313"/>
      <c r="N202" s="430">
        <v>93</v>
      </c>
      <c r="O202" s="41">
        <v>90</v>
      </c>
      <c r="P202" s="435">
        <f>RANK(N202,$N$202:$N$236,0)</f>
        <v>2</v>
      </c>
      <c r="Q202" s="436">
        <f>RANK(O202,$O$202:$O$236,0)</f>
        <v>2</v>
      </c>
      <c r="R202" s="30"/>
      <c r="S202" s="29"/>
      <c r="T202" s="31"/>
    </row>
    <row r="203" spans="1:23" ht="11.15" customHeight="1" x14ac:dyDescent="0.3">
      <c r="A203" s="21">
        <v>2</v>
      </c>
      <c r="B203" s="234"/>
      <c r="C203" s="133" t="str">
        <f>DATA!J11</f>
        <v>Ainaya Aprillia Azzahra</v>
      </c>
      <c r="D203" s="248" t="str">
        <f>'UH1'!L197</f>
        <v>80</v>
      </c>
      <c r="E203" s="43"/>
      <c r="F203" s="134" t="str">
        <f>UHB!L197</f>
        <v>80</v>
      </c>
      <c r="G203" s="43"/>
      <c r="H203" s="368"/>
      <c r="I203" s="122">
        <f t="shared" ref="I203:I231" si="21">(D203+F203)/2</f>
        <v>80</v>
      </c>
      <c r="J203" s="351">
        <v>33.5</v>
      </c>
      <c r="K203" s="351">
        <f t="shared" ref="K203:K231" si="22">J203+25</f>
        <v>58.5</v>
      </c>
      <c r="L203" s="149">
        <f t="shared" si="20"/>
        <v>74.625</v>
      </c>
      <c r="M203" s="313"/>
      <c r="N203" s="290">
        <v>80</v>
      </c>
      <c r="O203" s="44">
        <v>80</v>
      </c>
      <c r="P203" s="437">
        <f t="shared" ref="P203:P231" si="23">RANK(N203,$N$202:$N$236,0)</f>
        <v>17</v>
      </c>
      <c r="Q203" s="438">
        <f t="shared" ref="Q203:Q231" si="24">RANK(O203,$O$202:$O$236,0)</f>
        <v>14</v>
      </c>
      <c r="R203" s="30"/>
      <c r="S203" s="29"/>
      <c r="T203" s="31"/>
    </row>
    <row r="204" spans="1:23" ht="11.15" customHeight="1" x14ac:dyDescent="0.3">
      <c r="A204" s="21">
        <v>3</v>
      </c>
      <c r="B204" s="234"/>
      <c r="C204" s="133" t="str">
        <f>DATA!J12</f>
        <v>Alvicko Aprellio Jordan</v>
      </c>
      <c r="D204" s="248" t="str">
        <f>'UH1'!L198</f>
        <v>83</v>
      </c>
      <c r="E204" s="43"/>
      <c r="F204" s="134" t="str">
        <f>UHB!L198</f>
        <v>80</v>
      </c>
      <c r="G204" s="43"/>
      <c r="H204" s="368"/>
      <c r="I204" s="122">
        <f t="shared" si="21"/>
        <v>81.5</v>
      </c>
      <c r="J204" s="351">
        <v>38</v>
      </c>
      <c r="K204" s="351">
        <f t="shared" si="22"/>
        <v>63</v>
      </c>
      <c r="L204" s="149">
        <f t="shared" si="20"/>
        <v>76.875</v>
      </c>
      <c r="M204" s="313"/>
      <c r="N204" s="290">
        <v>82</v>
      </c>
      <c r="O204" s="44">
        <v>80</v>
      </c>
      <c r="P204" s="437">
        <f t="shared" si="23"/>
        <v>8</v>
      </c>
      <c r="Q204" s="438">
        <f t="shared" si="24"/>
        <v>14</v>
      </c>
      <c r="R204" s="30"/>
      <c r="S204" s="29"/>
      <c r="T204" s="31"/>
      <c r="V204" s="414" t="s">
        <v>100</v>
      </c>
      <c r="W204" s="102" t="s">
        <v>488</v>
      </c>
    </row>
    <row r="205" spans="1:23" ht="11.15" customHeight="1" x14ac:dyDescent="0.3">
      <c r="A205" s="185">
        <v>4</v>
      </c>
      <c r="B205" s="234"/>
      <c r="C205" s="133" t="str">
        <f>DATA!J13</f>
        <v>Anastain</v>
      </c>
      <c r="D205" s="248" t="str">
        <f>'UH1'!L199</f>
        <v>82</v>
      </c>
      <c r="E205" s="43"/>
      <c r="F205" s="134" t="str">
        <f>UHB!L199</f>
        <v>80</v>
      </c>
      <c r="G205" s="43"/>
      <c r="H205" s="368"/>
      <c r="I205" s="122">
        <f t="shared" si="21"/>
        <v>81</v>
      </c>
      <c r="J205" s="351">
        <v>31.5</v>
      </c>
      <c r="K205" s="351">
        <f t="shared" si="22"/>
        <v>56.5</v>
      </c>
      <c r="L205" s="149">
        <f t="shared" si="20"/>
        <v>74.875</v>
      </c>
      <c r="M205" s="313"/>
      <c r="N205" s="290">
        <v>80</v>
      </c>
      <c r="O205" s="44">
        <v>80</v>
      </c>
      <c r="P205" s="437">
        <f t="shared" si="23"/>
        <v>17</v>
      </c>
      <c r="Q205" s="438">
        <f t="shared" si="24"/>
        <v>14</v>
      </c>
      <c r="R205" s="30"/>
      <c r="S205" s="128" t="str">
        <f>S156</f>
        <v>Limbangan, 15 Mei 2026</v>
      </c>
      <c r="T205" s="31"/>
      <c r="V205" s="173"/>
      <c r="W205" s="102"/>
    </row>
    <row r="206" spans="1:23" ht="11.15" customHeight="1" x14ac:dyDescent="0.3">
      <c r="A206" s="185">
        <v>5</v>
      </c>
      <c r="B206" s="234"/>
      <c r="C206" s="133" t="str">
        <f>DATA!J14</f>
        <v>Angginia Regina Putri</v>
      </c>
      <c r="D206" s="248">
        <f>'UH1'!L200</f>
        <v>90</v>
      </c>
      <c r="E206" s="43"/>
      <c r="F206" s="134" t="str">
        <f>UHB!L200</f>
        <v>80</v>
      </c>
      <c r="G206" s="43"/>
      <c r="H206" s="368"/>
      <c r="I206" s="122">
        <f t="shared" si="21"/>
        <v>85</v>
      </c>
      <c r="J206" s="351">
        <v>35.5</v>
      </c>
      <c r="K206" s="351">
        <f t="shared" si="22"/>
        <v>60.5</v>
      </c>
      <c r="L206" s="149">
        <f t="shared" si="20"/>
        <v>78.875</v>
      </c>
      <c r="M206" s="313"/>
      <c r="N206" s="290">
        <v>84</v>
      </c>
      <c r="O206" s="44">
        <v>81</v>
      </c>
      <c r="P206" s="437">
        <f t="shared" si="23"/>
        <v>4</v>
      </c>
      <c r="Q206" s="438">
        <f t="shared" si="24"/>
        <v>8</v>
      </c>
      <c r="R206" s="30"/>
      <c r="S206" s="29"/>
      <c r="T206" s="31"/>
      <c r="V206" s="99">
        <v>70</v>
      </c>
      <c r="W206" s="326"/>
    </row>
    <row r="207" spans="1:23" ht="11.15" customHeight="1" x14ac:dyDescent="0.3">
      <c r="A207" s="185">
        <v>6</v>
      </c>
      <c r="B207" s="234"/>
      <c r="C207" s="133" t="str">
        <f>DATA!J15</f>
        <v>Arfan Faqih Al Hikam</v>
      </c>
      <c r="D207" s="248" t="str">
        <f>'UH1'!L201</f>
        <v>80</v>
      </c>
      <c r="E207" s="43"/>
      <c r="F207" s="134" t="str">
        <f>UHB!L201</f>
        <v>81</v>
      </c>
      <c r="G207" s="43"/>
      <c r="H207" s="368"/>
      <c r="I207" s="122">
        <f t="shared" si="21"/>
        <v>80.5</v>
      </c>
      <c r="J207" s="351">
        <v>36.5</v>
      </c>
      <c r="K207" s="351">
        <f t="shared" si="22"/>
        <v>61.5</v>
      </c>
      <c r="L207" s="149">
        <f t="shared" si="20"/>
        <v>75.75</v>
      </c>
      <c r="M207" s="313"/>
      <c r="N207" s="290">
        <v>81</v>
      </c>
      <c r="O207" s="44">
        <v>80</v>
      </c>
      <c r="P207" s="437">
        <f t="shared" si="23"/>
        <v>12</v>
      </c>
      <c r="Q207" s="438">
        <f t="shared" si="24"/>
        <v>14</v>
      </c>
      <c r="R207" s="30"/>
      <c r="S207" s="128" t="s">
        <v>41</v>
      </c>
      <c r="T207" s="31"/>
      <c r="V207" s="99">
        <v>71</v>
      </c>
      <c r="W207" s="326"/>
    </row>
    <row r="208" spans="1:23" ht="11.15" customHeight="1" x14ac:dyDescent="0.3">
      <c r="A208" s="185">
        <v>7</v>
      </c>
      <c r="B208" s="234"/>
      <c r="C208" s="133" t="str">
        <f>DATA!J16</f>
        <v>Bilqis Aura Dayinta</v>
      </c>
      <c r="D208" s="248" t="str">
        <f>'UH1'!L202</f>
        <v>80</v>
      </c>
      <c r="E208" s="43"/>
      <c r="F208" s="134" t="str">
        <f>UHB!L202</f>
        <v>81</v>
      </c>
      <c r="G208" s="43"/>
      <c r="H208" s="368"/>
      <c r="I208" s="122">
        <f t="shared" si="21"/>
        <v>80.5</v>
      </c>
      <c r="J208" s="351">
        <v>37</v>
      </c>
      <c r="K208" s="351">
        <f t="shared" si="22"/>
        <v>62</v>
      </c>
      <c r="L208" s="149">
        <f t="shared" si="20"/>
        <v>75.875</v>
      </c>
      <c r="M208" s="313"/>
      <c r="N208" s="290">
        <v>81</v>
      </c>
      <c r="O208" s="44">
        <v>81</v>
      </c>
      <c r="P208" s="437">
        <f t="shared" si="23"/>
        <v>12</v>
      </c>
      <c r="Q208" s="438">
        <f t="shared" si="24"/>
        <v>8</v>
      </c>
      <c r="R208" s="30"/>
      <c r="S208" s="128"/>
      <c r="T208" s="31"/>
      <c r="V208" s="99">
        <v>72</v>
      </c>
      <c r="W208" s="424"/>
    </row>
    <row r="209" spans="1:23" ht="11.15" customHeight="1" x14ac:dyDescent="0.3">
      <c r="A209" s="185">
        <v>8</v>
      </c>
      <c r="B209" s="234"/>
      <c r="C209" s="133" t="str">
        <f>DATA!J17</f>
        <v>Chayril Arya Saputra</v>
      </c>
      <c r="D209" s="248" t="str">
        <f>'UH1'!L203</f>
        <v>80</v>
      </c>
      <c r="E209" s="43"/>
      <c r="F209" s="134" t="str">
        <f>UHB!L203</f>
        <v>80</v>
      </c>
      <c r="G209" s="43"/>
      <c r="H209" s="368"/>
      <c r="I209" s="122">
        <f t="shared" si="21"/>
        <v>80</v>
      </c>
      <c r="J209" s="351">
        <v>31</v>
      </c>
      <c r="K209" s="351">
        <f t="shared" si="22"/>
        <v>56</v>
      </c>
      <c r="L209" s="149">
        <f t="shared" si="20"/>
        <v>74</v>
      </c>
      <c r="M209" s="313"/>
      <c r="N209" s="290">
        <v>80</v>
      </c>
      <c r="O209" s="44">
        <v>80</v>
      </c>
      <c r="P209" s="437">
        <f t="shared" si="23"/>
        <v>17</v>
      </c>
      <c r="Q209" s="438">
        <f t="shared" si="24"/>
        <v>14</v>
      </c>
      <c r="R209" s="30"/>
      <c r="S209" s="128"/>
      <c r="T209" s="31"/>
      <c r="V209" s="99">
        <v>73</v>
      </c>
      <c r="W209" s="425"/>
    </row>
    <row r="210" spans="1:23" ht="11.15" customHeight="1" x14ac:dyDescent="0.3">
      <c r="A210" s="185">
        <v>9</v>
      </c>
      <c r="B210" s="234"/>
      <c r="C210" s="133" t="str">
        <f>DATA!J18</f>
        <v>Dinda Cahya Kirana</v>
      </c>
      <c r="D210" s="248">
        <f>'UH1'!L204</f>
        <v>90</v>
      </c>
      <c r="E210" s="43"/>
      <c r="F210" s="134" t="str">
        <f>UHB!L204</f>
        <v>81</v>
      </c>
      <c r="G210" s="43"/>
      <c r="H210" s="368"/>
      <c r="I210" s="122">
        <f t="shared" si="21"/>
        <v>85.5</v>
      </c>
      <c r="J210" s="351">
        <v>61</v>
      </c>
      <c r="K210" s="351">
        <f t="shared" si="22"/>
        <v>86</v>
      </c>
      <c r="L210" s="149">
        <f t="shared" si="20"/>
        <v>85.625</v>
      </c>
      <c r="M210" s="313"/>
      <c r="N210" s="290">
        <v>81</v>
      </c>
      <c r="O210" s="44">
        <v>80</v>
      </c>
      <c r="P210" s="437">
        <f t="shared" si="23"/>
        <v>12</v>
      </c>
      <c r="Q210" s="438">
        <f t="shared" si="24"/>
        <v>14</v>
      </c>
      <c r="R210" s="30"/>
      <c r="S210" s="128"/>
      <c r="T210" s="31"/>
      <c r="V210" s="99">
        <v>74</v>
      </c>
      <c r="W210" s="425"/>
    </row>
    <row r="211" spans="1:23" ht="11.15" customHeight="1" x14ac:dyDescent="0.3">
      <c r="A211" s="185">
        <v>10</v>
      </c>
      <c r="B211" s="234"/>
      <c r="C211" s="133" t="str">
        <f>DATA!J19</f>
        <v>Farhan Safiy Devangga</v>
      </c>
      <c r="D211" s="248" t="str">
        <f>'UH1'!L205</f>
        <v>82</v>
      </c>
      <c r="E211" s="43"/>
      <c r="F211" s="134" t="str">
        <f>UHB!L205</f>
        <v>80</v>
      </c>
      <c r="G211" s="43"/>
      <c r="H211" s="368"/>
      <c r="I211" s="122">
        <f t="shared" si="21"/>
        <v>81</v>
      </c>
      <c r="J211" s="351">
        <v>26.5</v>
      </c>
      <c r="K211" s="351">
        <f t="shared" si="22"/>
        <v>51.5</v>
      </c>
      <c r="L211" s="149">
        <f t="shared" si="20"/>
        <v>73.625</v>
      </c>
      <c r="M211" s="313"/>
      <c r="N211" s="290">
        <v>80</v>
      </c>
      <c r="O211" s="44">
        <v>80</v>
      </c>
      <c r="P211" s="437">
        <f t="shared" si="23"/>
        <v>17</v>
      </c>
      <c r="Q211" s="438">
        <f t="shared" si="24"/>
        <v>14</v>
      </c>
      <c r="R211" s="30"/>
      <c r="S211" s="128" t="s">
        <v>58</v>
      </c>
      <c r="T211" s="31"/>
      <c r="V211" s="99">
        <v>75</v>
      </c>
      <c r="W211" s="422">
        <v>80</v>
      </c>
    </row>
    <row r="212" spans="1:23" ht="11.15" customHeight="1" x14ac:dyDescent="0.3">
      <c r="A212" s="185">
        <v>11</v>
      </c>
      <c r="B212" s="234"/>
      <c r="C212" s="133" t="str">
        <f>DATA!J20</f>
        <v>Herlin Eka Noviana</v>
      </c>
      <c r="D212" s="248">
        <f>'UH1'!L206</f>
        <v>100</v>
      </c>
      <c r="E212" s="43"/>
      <c r="F212" s="134" t="str">
        <f>UHB!L206</f>
        <v>80</v>
      </c>
      <c r="G212" s="43"/>
      <c r="H212" s="368"/>
      <c r="I212" s="122">
        <f t="shared" si="21"/>
        <v>90</v>
      </c>
      <c r="J212" s="351">
        <v>34</v>
      </c>
      <c r="K212" s="351">
        <f t="shared" si="22"/>
        <v>59</v>
      </c>
      <c r="L212" s="149">
        <f t="shared" si="20"/>
        <v>82.25</v>
      </c>
      <c r="M212" s="313"/>
      <c r="N212" s="290">
        <v>87</v>
      </c>
      <c r="O212" s="44">
        <v>86</v>
      </c>
      <c r="P212" s="437">
        <f t="shared" si="23"/>
        <v>3</v>
      </c>
      <c r="Q212" s="438">
        <f t="shared" si="24"/>
        <v>4</v>
      </c>
      <c r="R212" s="30"/>
      <c r="S212" s="128" t="s">
        <v>68</v>
      </c>
      <c r="T212" s="31"/>
      <c r="V212" s="99">
        <v>76</v>
      </c>
      <c r="W212" s="422">
        <v>81</v>
      </c>
    </row>
    <row r="213" spans="1:23" ht="11.15" customHeight="1" x14ac:dyDescent="0.3">
      <c r="A213" s="185">
        <v>12</v>
      </c>
      <c r="B213" s="234"/>
      <c r="C213" s="133" t="str">
        <f>DATA!J21</f>
        <v>Irfan Al Khafidz</v>
      </c>
      <c r="D213" s="248">
        <f>'UH1'!L207</f>
        <v>80</v>
      </c>
      <c r="E213" s="43"/>
      <c r="F213" s="134" t="str">
        <f>UHB!L207</f>
        <v>81</v>
      </c>
      <c r="G213" s="43"/>
      <c r="H213" s="368"/>
      <c r="I213" s="122">
        <f t="shared" si="21"/>
        <v>80.5</v>
      </c>
      <c r="J213" s="351">
        <v>37</v>
      </c>
      <c r="K213" s="351">
        <f t="shared" si="22"/>
        <v>62</v>
      </c>
      <c r="L213" s="149">
        <f t="shared" si="20"/>
        <v>75.875</v>
      </c>
      <c r="M213" s="313"/>
      <c r="N213" s="290">
        <v>81</v>
      </c>
      <c r="O213" s="44">
        <v>82</v>
      </c>
      <c r="P213" s="437">
        <f t="shared" si="23"/>
        <v>12</v>
      </c>
      <c r="Q213" s="438">
        <f t="shared" si="24"/>
        <v>6</v>
      </c>
      <c r="R213" s="30"/>
      <c r="S213" s="128"/>
      <c r="T213" s="31"/>
      <c r="V213" s="99">
        <v>77</v>
      </c>
      <c r="W213" s="423">
        <v>82</v>
      </c>
    </row>
    <row r="214" spans="1:23" ht="11.15" customHeight="1" x14ac:dyDescent="0.3">
      <c r="A214" s="21">
        <v>13</v>
      </c>
      <c r="B214" s="234"/>
      <c r="C214" s="133" t="str">
        <f>DATA!J22</f>
        <v>Mafaza Ayatussyifa</v>
      </c>
      <c r="D214" s="248" t="str">
        <f>'UH1'!L208</f>
        <v>82</v>
      </c>
      <c r="E214" s="43"/>
      <c r="F214" s="134" t="str">
        <f>UHB!L208</f>
        <v>81</v>
      </c>
      <c r="G214" s="43"/>
      <c r="H214" s="368"/>
      <c r="I214" s="122">
        <f t="shared" si="21"/>
        <v>81.5</v>
      </c>
      <c r="J214" s="351">
        <v>39.5</v>
      </c>
      <c r="K214" s="351">
        <f t="shared" si="22"/>
        <v>64.5</v>
      </c>
      <c r="L214" s="149">
        <f t="shared" si="20"/>
        <v>77.25</v>
      </c>
      <c r="M214" s="313"/>
      <c r="N214" s="290">
        <v>82</v>
      </c>
      <c r="O214" s="44">
        <v>81</v>
      </c>
      <c r="P214" s="437">
        <f t="shared" si="23"/>
        <v>8</v>
      </c>
      <c r="Q214" s="438">
        <f t="shared" si="24"/>
        <v>8</v>
      </c>
      <c r="R214" s="30"/>
      <c r="S214" s="128"/>
      <c r="T214" s="31"/>
      <c r="V214" s="99">
        <v>78</v>
      </c>
      <c r="W214" s="422">
        <v>83</v>
      </c>
    </row>
    <row r="215" spans="1:23" ht="11.15" customHeight="1" x14ac:dyDescent="0.3">
      <c r="A215" s="21">
        <v>14</v>
      </c>
      <c r="B215" s="234"/>
      <c r="C215" s="133" t="str">
        <f>DATA!J23</f>
        <v>Mirzanatun Kuni Afifah</v>
      </c>
      <c r="D215" s="248" t="str">
        <f>'UH1'!L209</f>
        <v>80</v>
      </c>
      <c r="E215" s="43"/>
      <c r="F215" s="134" t="str">
        <f>UHB!L209</f>
        <v>80</v>
      </c>
      <c r="G215" s="43"/>
      <c r="H215" s="368"/>
      <c r="I215" s="122">
        <f t="shared" si="21"/>
        <v>80</v>
      </c>
      <c r="J215" s="351">
        <v>36.5</v>
      </c>
      <c r="K215" s="351">
        <f t="shared" si="22"/>
        <v>61.5</v>
      </c>
      <c r="L215" s="149">
        <f t="shared" si="20"/>
        <v>75.375</v>
      </c>
      <c r="M215" s="313"/>
      <c r="N215" s="290">
        <v>80</v>
      </c>
      <c r="O215" s="44">
        <v>80</v>
      </c>
      <c r="P215" s="437">
        <f t="shared" si="23"/>
        <v>17</v>
      </c>
      <c r="Q215" s="438">
        <f t="shared" si="24"/>
        <v>14</v>
      </c>
      <c r="R215" s="30"/>
      <c r="S215" s="128" t="s">
        <v>42</v>
      </c>
      <c r="T215" s="31"/>
      <c r="V215" s="99">
        <v>79</v>
      </c>
      <c r="W215" s="422">
        <v>84</v>
      </c>
    </row>
    <row r="216" spans="1:23" ht="11.15" customHeight="1" x14ac:dyDescent="0.3">
      <c r="A216" s="21">
        <v>15</v>
      </c>
      <c r="B216" s="234"/>
      <c r="C216" s="133" t="str">
        <f>DATA!J24</f>
        <v>Muhammad Adil Chizqi Azwan</v>
      </c>
      <c r="D216" s="248" t="str">
        <f>'UH1'!L210</f>
        <v>80</v>
      </c>
      <c r="E216" s="43"/>
      <c r="F216" s="134" t="str">
        <f>UHB!L210</f>
        <v>80</v>
      </c>
      <c r="G216" s="43"/>
      <c r="H216" s="368"/>
      <c r="I216" s="122">
        <f t="shared" si="21"/>
        <v>80</v>
      </c>
      <c r="J216" s="351">
        <v>29.5</v>
      </c>
      <c r="K216" s="351">
        <f t="shared" si="22"/>
        <v>54.5</v>
      </c>
      <c r="L216" s="149">
        <f t="shared" si="20"/>
        <v>73.625</v>
      </c>
      <c r="M216" s="313"/>
      <c r="N216" s="290">
        <v>80</v>
      </c>
      <c r="O216" s="44">
        <v>80</v>
      </c>
      <c r="P216" s="437">
        <f t="shared" si="23"/>
        <v>17</v>
      </c>
      <c r="Q216" s="438">
        <f t="shared" si="24"/>
        <v>14</v>
      </c>
      <c r="R216" s="30"/>
      <c r="S216" s="128"/>
      <c r="T216" s="31"/>
      <c r="V216" s="99">
        <v>80</v>
      </c>
      <c r="W216" s="422">
        <v>85</v>
      </c>
    </row>
    <row r="217" spans="1:23" ht="11.15" customHeight="1" x14ac:dyDescent="0.3">
      <c r="A217" s="21">
        <v>16</v>
      </c>
      <c r="B217" s="234"/>
      <c r="C217" s="133" t="str">
        <f>DATA!J25</f>
        <v>Muhammad Alif Aditya Hartafi</v>
      </c>
      <c r="D217" s="248" t="str">
        <f>'UH1'!L211</f>
        <v>80</v>
      </c>
      <c r="E217" s="43"/>
      <c r="F217" s="134" t="str">
        <f>UHB!L211</f>
        <v>80</v>
      </c>
      <c r="G217" s="43"/>
      <c r="H217" s="368"/>
      <c r="I217" s="122">
        <f t="shared" si="21"/>
        <v>80</v>
      </c>
      <c r="J217" s="351">
        <v>33</v>
      </c>
      <c r="K217" s="351">
        <f t="shared" si="22"/>
        <v>58</v>
      </c>
      <c r="L217" s="149">
        <f t="shared" si="20"/>
        <v>74.5</v>
      </c>
      <c r="M217" s="313"/>
      <c r="N217" s="290">
        <v>80</v>
      </c>
      <c r="O217" s="44">
        <v>81</v>
      </c>
      <c r="P217" s="437">
        <f t="shared" si="23"/>
        <v>17</v>
      </c>
      <c r="Q217" s="438">
        <f t="shared" si="24"/>
        <v>8</v>
      </c>
      <c r="R217" s="30"/>
      <c r="S217" s="128"/>
      <c r="T217" s="31"/>
      <c r="V217" s="99">
        <v>81</v>
      </c>
      <c r="W217" s="422">
        <v>86</v>
      </c>
    </row>
    <row r="218" spans="1:23" ht="11.15" customHeight="1" x14ac:dyDescent="0.3">
      <c r="A218" s="21">
        <v>17</v>
      </c>
      <c r="B218" s="234"/>
      <c r="C218" s="133" t="str">
        <f>DATA!J26</f>
        <v>Muhammad Azid Syaifurridho</v>
      </c>
      <c r="D218" s="248" t="str">
        <f>'UH1'!L212</f>
        <v>80</v>
      </c>
      <c r="E218" s="43"/>
      <c r="F218" s="134" t="str">
        <f>UHB!L212</f>
        <v>80</v>
      </c>
      <c r="G218" s="43"/>
      <c r="H218" s="368"/>
      <c r="I218" s="122">
        <f t="shared" si="21"/>
        <v>80</v>
      </c>
      <c r="J218" s="351">
        <v>18</v>
      </c>
      <c r="K218" s="351">
        <f t="shared" si="22"/>
        <v>43</v>
      </c>
      <c r="L218" s="149">
        <f t="shared" si="20"/>
        <v>70.75</v>
      </c>
      <c r="M218" s="313"/>
      <c r="N218" s="290">
        <v>80</v>
      </c>
      <c r="O218" s="44">
        <v>80</v>
      </c>
      <c r="P218" s="437">
        <f t="shared" si="23"/>
        <v>17</v>
      </c>
      <c r="Q218" s="438">
        <f t="shared" si="24"/>
        <v>14</v>
      </c>
      <c r="R218" s="30"/>
      <c r="S218" s="128"/>
      <c r="T218" s="31"/>
      <c r="V218" s="99">
        <v>82</v>
      </c>
      <c r="W218" s="422">
        <v>87</v>
      </c>
    </row>
    <row r="219" spans="1:23" ht="11.15" customHeight="1" x14ac:dyDescent="0.3">
      <c r="A219" s="21">
        <v>18</v>
      </c>
      <c r="B219" s="234"/>
      <c r="C219" s="133" t="str">
        <f>DATA!J27</f>
        <v>Muhammad Hayqal Al Farizzi</v>
      </c>
      <c r="D219" s="248" t="str">
        <f>'UH1'!L213</f>
        <v>83</v>
      </c>
      <c r="E219" s="43"/>
      <c r="F219" s="134" t="str">
        <f>UHB!L213</f>
        <v>81</v>
      </c>
      <c r="G219" s="43"/>
      <c r="H219" s="368"/>
      <c r="I219" s="122">
        <f t="shared" si="21"/>
        <v>82</v>
      </c>
      <c r="J219" s="351">
        <v>40.5</v>
      </c>
      <c r="K219" s="351">
        <f t="shared" si="22"/>
        <v>65.5</v>
      </c>
      <c r="L219" s="149">
        <f t="shared" si="20"/>
        <v>77.875</v>
      </c>
      <c r="M219" s="313"/>
      <c r="N219" s="290">
        <v>83</v>
      </c>
      <c r="O219" s="44">
        <v>87</v>
      </c>
      <c r="P219" s="437">
        <f t="shared" si="23"/>
        <v>5</v>
      </c>
      <c r="Q219" s="438">
        <f t="shared" si="24"/>
        <v>3</v>
      </c>
      <c r="R219" s="30"/>
      <c r="S219" s="128"/>
      <c r="T219" s="31"/>
      <c r="V219" s="99">
        <v>83</v>
      </c>
      <c r="W219" s="422">
        <v>88</v>
      </c>
    </row>
    <row r="220" spans="1:23" ht="11.15" customHeight="1" x14ac:dyDescent="0.3">
      <c r="A220" s="21">
        <v>19</v>
      </c>
      <c r="B220" s="234"/>
      <c r="C220" s="133" t="str">
        <f>DATA!J28</f>
        <v>Muhammad Shobar Shodiq</v>
      </c>
      <c r="D220" s="248" t="str">
        <f>'UH1'!L214</f>
        <v>80</v>
      </c>
      <c r="E220" s="43"/>
      <c r="F220" s="134" t="str">
        <f>UHB!L214</f>
        <v>80</v>
      </c>
      <c r="G220" s="43"/>
      <c r="H220" s="368"/>
      <c r="I220" s="122">
        <f t="shared" si="21"/>
        <v>80</v>
      </c>
      <c r="J220" s="351">
        <v>31</v>
      </c>
      <c r="K220" s="351">
        <f t="shared" si="22"/>
        <v>56</v>
      </c>
      <c r="L220" s="149">
        <f t="shared" si="20"/>
        <v>74</v>
      </c>
      <c r="M220" s="313"/>
      <c r="N220" s="290">
        <v>80</v>
      </c>
      <c r="O220" s="44">
        <v>80</v>
      </c>
      <c r="P220" s="437">
        <f t="shared" si="23"/>
        <v>17</v>
      </c>
      <c r="Q220" s="438">
        <f t="shared" si="24"/>
        <v>14</v>
      </c>
      <c r="R220" s="30"/>
      <c r="S220" s="128" t="str">
        <f>S171</f>
        <v>Dra. BAROKAH GUNIARTI</v>
      </c>
      <c r="T220" s="31"/>
      <c r="V220" s="99">
        <v>84</v>
      </c>
      <c r="W220" s="421">
        <v>89</v>
      </c>
    </row>
    <row r="221" spans="1:23" ht="11.15" customHeight="1" x14ac:dyDescent="0.3">
      <c r="A221" s="21">
        <v>20</v>
      </c>
      <c r="B221" s="234"/>
      <c r="C221" s="133" t="str">
        <f>DATA!J29</f>
        <v>Nabila Putri Noor Maulidhanti</v>
      </c>
      <c r="D221" s="248" t="str">
        <f>'UH1'!L215</f>
        <v>80</v>
      </c>
      <c r="E221" s="43"/>
      <c r="F221" s="134" t="str">
        <f>UHB!L215</f>
        <v>81</v>
      </c>
      <c r="G221" s="43"/>
      <c r="H221" s="368"/>
      <c r="I221" s="122">
        <f t="shared" si="21"/>
        <v>80.5</v>
      </c>
      <c r="J221" s="351">
        <v>38</v>
      </c>
      <c r="K221" s="351">
        <f t="shared" si="22"/>
        <v>63</v>
      </c>
      <c r="L221" s="149">
        <f t="shared" si="20"/>
        <v>76.125</v>
      </c>
      <c r="M221" s="313"/>
      <c r="N221" s="290">
        <v>81</v>
      </c>
      <c r="O221" s="44">
        <v>80</v>
      </c>
      <c r="P221" s="437">
        <f t="shared" si="23"/>
        <v>12</v>
      </c>
      <c r="Q221" s="438">
        <f t="shared" si="24"/>
        <v>14</v>
      </c>
      <c r="R221" s="30"/>
      <c r="S221" s="128" t="str">
        <f>S172</f>
        <v>NIP : 196901081996122004</v>
      </c>
      <c r="T221" s="31"/>
      <c r="V221" s="99">
        <v>85</v>
      </c>
      <c r="W221" s="422">
        <v>90</v>
      </c>
    </row>
    <row r="222" spans="1:23" ht="11.15" customHeight="1" x14ac:dyDescent="0.3">
      <c r="A222" s="21">
        <v>21</v>
      </c>
      <c r="B222" s="234"/>
      <c r="C222" s="133" t="str">
        <f>DATA!J30</f>
        <v>Naila Faizatis Syifa</v>
      </c>
      <c r="D222" s="248" t="str">
        <f>'UH1'!L216</f>
        <v>80</v>
      </c>
      <c r="E222" s="43"/>
      <c r="F222" s="134" t="str">
        <f>UHB!L216</f>
        <v>80</v>
      </c>
      <c r="G222" s="43"/>
      <c r="H222" s="368"/>
      <c r="I222" s="122">
        <f t="shared" si="21"/>
        <v>80</v>
      </c>
      <c r="J222" s="351">
        <v>32</v>
      </c>
      <c r="K222" s="351">
        <f t="shared" si="22"/>
        <v>57</v>
      </c>
      <c r="L222" s="149">
        <f t="shared" si="20"/>
        <v>74.25</v>
      </c>
      <c r="M222" s="313"/>
      <c r="N222" s="290">
        <v>80</v>
      </c>
      <c r="O222" s="44">
        <v>80</v>
      </c>
      <c r="P222" s="437">
        <f t="shared" si="23"/>
        <v>17</v>
      </c>
      <c r="Q222" s="438">
        <f t="shared" si="24"/>
        <v>14</v>
      </c>
      <c r="R222" s="30"/>
      <c r="S222" s="29"/>
      <c r="T222" s="31"/>
      <c r="V222" s="99">
        <v>86</v>
      </c>
      <c r="W222" s="421">
        <v>91</v>
      </c>
    </row>
    <row r="223" spans="1:23" ht="11.15" customHeight="1" x14ac:dyDescent="0.3">
      <c r="A223" s="21">
        <v>22</v>
      </c>
      <c r="B223" s="234"/>
      <c r="C223" s="193" t="str">
        <f>DATA!J31</f>
        <v>Nur Hijrah Maudhina</v>
      </c>
      <c r="D223" s="248" t="str">
        <f>'UH1'!L217</f>
        <v>80</v>
      </c>
      <c r="E223" s="347"/>
      <c r="F223" s="134" t="str">
        <f>UHB!L217</f>
        <v>80</v>
      </c>
      <c r="G223" s="43"/>
      <c r="H223" s="368"/>
      <c r="I223" s="122">
        <f t="shared" si="21"/>
        <v>80</v>
      </c>
      <c r="J223" s="351">
        <v>33</v>
      </c>
      <c r="K223" s="351">
        <f t="shared" si="22"/>
        <v>58</v>
      </c>
      <c r="L223" s="383">
        <f t="shared" si="20"/>
        <v>74.5</v>
      </c>
      <c r="M223" s="384"/>
      <c r="N223" s="442">
        <v>82</v>
      </c>
      <c r="O223" s="44">
        <v>83</v>
      </c>
      <c r="P223" s="437">
        <f t="shared" si="23"/>
        <v>8</v>
      </c>
      <c r="Q223" s="438">
        <f t="shared" si="24"/>
        <v>5</v>
      </c>
      <c r="R223" s="30"/>
      <c r="S223" s="29"/>
      <c r="T223" s="31"/>
      <c r="V223" s="99">
        <v>87</v>
      </c>
      <c r="W223" s="421">
        <v>92</v>
      </c>
    </row>
    <row r="224" spans="1:23" ht="11.15" customHeight="1" x14ac:dyDescent="0.3">
      <c r="A224" s="21">
        <v>23</v>
      </c>
      <c r="B224" s="234"/>
      <c r="C224" s="193" t="str">
        <f>DATA!J32</f>
        <v>Ozil Azzariat</v>
      </c>
      <c r="D224" s="248" t="str">
        <f>'UH1'!L218</f>
        <v>80</v>
      </c>
      <c r="E224" s="347"/>
      <c r="F224" s="134" t="str">
        <f>UHB!L218</f>
        <v>80</v>
      </c>
      <c r="G224" s="43"/>
      <c r="H224" s="368"/>
      <c r="I224" s="122">
        <f t="shared" si="21"/>
        <v>80</v>
      </c>
      <c r="J224" s="351">
        <v>32</v>
      </c>
      <c r="K224" s="351">
        <f t="shared" si="22"/>
        <v>57</v>
      </c>
      <c r="L224" s="383">
        <f t="shared" si="20"/>
        <v>74.25</v>
      </c>
      <c r="M224" s="384"/>
      <c r="N224" s="442">
        <v>80</v>
      </c>
      <c r="O224" s="44">
        <v>81</v>
      </c>
      <c r="P224" s="437">
        <f t="shared" si="23"/>
        <v>17</v>
      </c>
      <c r="Q224" s="438">
        <f t="shared" si="24"/>
        <v>8</v>
      </c>
      <c r="R224" s="30"/>
      <c r="S224" s="29"/>
      <c r="T224" s="31"/>
      <c r="V224" s="99">
        <v>88</v>
      </c>
      <c r="W224" s="421">
        <v>93</v>
      </c>
    </row>
    <row r="225" spans="1:23" ht="11.15" customHeight="1" x14ac:dyDescent="0.3">
      <c r="A225" s="21">
        <v>24</v>
      </c>
      <c r="B225" s="234"/>
      <c r="C225" s="133" t="str">
        <f>DATA!J33</f>
        <v>Pranata Diaz Saputra</v>
      </c>
      <c r="D225" s="248" t="str">
        <f>'UH1'!L219</f>
        <v>80</v>
      </c>
      <c r="E225" s="43"/>
      <c r="F225" s="134" t="str">
        <f>UHB!L219</f>
        <v>80</v>
      </c>
      <c r="G225" s="43"/>
      <c r="H225" s="368"/>
      <c r="I225" s="122">
        <f t="shared" si="21"/>
        <v>80</v>
      </c>
      <c r="J225" s="351">
        <v>35.5</v>
      </c>
      <c r="K225" s="351">
        <f t="shared" si="22"/>
        <v>60.5</v>
      </c>
      <c r="L225" s="149">
        <f t="shared" si="20"/>
        <v>75.125</v>
      </c>
      <c r="M225" s="313"/>
      <c r="N225" s="290">
        <v>80</v>
      </c>
      <c r="O225" s="44">
        <v>80</v>
      </c>
      <c r="P225" s="437">
        <f t="shared" si="23"/>
        <v>17</v>
      </c>
      <c r="Q225" s="438">
        <f t="shared" si="24"/>
        <v>14</v>
      </c>
      <c r="R225" s="30"/>
      <c r="S225" s="29"/>
      <c r="T225" s="31"/>
      <c r="V225" s="99">
        <v>89</v>
      </c>
      <c r="W225" s="421">
        <v>94</v>
      </c>
    </row>
    <row r="226" spans="1:23" ht="11.15" customHeight="1" x14ac:dyDescent="0.3">
      <c r="A226" s="21">
        <v>25</v>
      </c>
      <c r="B226" s="234"/>
      <c r="C226" s="133" t="str">
        <f>DATA!J34</f>
        <v>Rafki Bais Abimanyu</v>
      </c>
      <c r="D226" s="248" t="str">
        <f>'UH1'!L220</f>
        <v>80</v>
      </c>
      <c r="E226" s="43"/>
      <c r="F226" s="134" t="str">
        <f>UHB!L220</f>
        <v>82</v>
      </c>
      <c r="G226" s="43"/>
      <c r="H226" s="368"/>
      <c r="I226" s="122">
        <f t="shared" si="21"/>
        <v>81</v>
      </c>
      <c r="J226" s="351">
        <v>45.5</v>
      </c>
      <c r="K226" s="351">
        <f t="shared" si="22"/>
        <v>70.5</v>
      </c>
      <c r="L226" s="149">
        <f t="shared" si="20"/>
        <v>78.375</v>
      </c>
      <c r="M226" s="313"/>
      <c r="N226" s="290">
        <v>83</v>
      </c>
      <c r="O226" s="44">
        <v>80</v>
      </c>
      <c r="P226" s="437">
        <f t="shared" si="23"/>
        <v>5</v>
      </c>
      <c r="Q226" s="438">
        <f t="shared" si="24"/>
        <v>14</v>
      </c>
      <c r="R226" s="30"/>
      <c r="S226" s="29"/>
      <c r="T226" s="31"/>
      <c r="V226" s="99">
        <v>90</v>
      </c>
      <c r="W226" s="421">
        <v>95</v>
      </c>
    </row>
    <row r="227" spans="1:23" ht="11.15" customHeight="1" x14ac:dyDescent="0.3">
      <c r="A227" s="21">
        <v>26</v>
      </c>
      <c r="B227" s="234"/>
      <c r="C227" s="133" t="str">
        <f>DATA!J35</f>
        <v>Risma Liana Gita Pratiwi</v>
      </c>
      <c r="D227" s="248">
        <f>'UH1'!L221</f>
        <v>100</v>
      </c>
      <c r="E227" s="43"/>
      <c r="F227" s="134" t="str">
        <f>UHB!L221</f>
        <v>83</v>
      </c>
      <c r="G227" s="43"/>
      <c r="H227" s="368"/>
      <c r="I227" s="122">
        <f t="shared" si="21"/>
        <v>91.5</v>
      </c>
      <c r="J227" s="351">
        <v>61.5</v>
      </c>
      <c r="K227" s="351">
        <f t="shared" si="22"/>
        <v>86.5</v>
      </c>
      <c r="L227" s="149">
        <f t="shared" si="20"/>
        <v>90.25</v>
      </c>
      <c r="M227" s="313"/>
      <c r="N227" s="290">
        <v>95</v>
      </c>
      <c r="O227" s="44">
        <v>95</v>
      </c>
      <c r="P227" s="437">
        <f t="shared" si="23"/>
        <v>1</v>
      </c>
      <c r="Q227" s="438">
        <f t="shared" si="24"/>
        <v>1</v>
      </c>
      <c r="R227" s="30"/>
      <c r="S227" s="29"/>
      <c r="T227" s="31"/>
    </row>
    <row r="228" spans="1:23" ht="11.15" customHeight="1" x14ac:dyDescent="0.3">
      <c r="A228" s="21">
        <v>27</v>
      </c>
      <c r="B228" s="234"/>
      <c r="C228" s="133" t="str">
        <f>DATA!J36</f>
        <v>Rizky Bagoes Sasongko</v>
      </c>
      <c r="D228" s="248">
        <f>'UH1'!L222</f>
        <v>90</v>
      </c>
      <c r="E228" s="43"/>
      <c r="F228" s="134" t="str">
        <f>UHB!L222</f>
        <v>80</v>
      </c>
      <c r="G228" s="43"/>
      <c r="H228" s="368"/>
      <c r="I228" s="122">
        <f t="shared" si="21"/>
        <v>85</v>
      </c>
      <c r="J228" s="351">
        <v>29.5</v>
      </c>
      <c r="K228" s="351">
        <f t="shared" si="22"/>
        <v>54.5</v>
      </c>
      <c r="L228" s="149">
        <f t="shared" si="20"/>
        <v>77.375</v>
      </c>
      <c r="M228" s="313"/>
      <c r="N228" s="290">
        <v>82</v>
      </c>
      <c r="O228" s="44">
        <v>82</v>
      </c>
      <c r="P228" s="437">
        <f t="shared" si="23"/>
        <v>8</v>
      </c>
      <c r="Q228" s="438">
        <f t="shared" si="24"/>
        <v>6</v>
      </c>
      <c r="R228" s="30"/>
      <c r="S228" s="29"/>
      <c r="T228" s="31"/>
    </row>
    <row r="229" spans="1:23" ht="11.15" customHeight="1" x14ac:dyDescent="0.3">
      <c r="A229" s="21">
        <v>28</v>
      </c>
      <c r="B229" s="234"/>
      <c r="C229" s="133" t="str">
        <f>DATA!J37</f>
        <v>Thalita Nava Ailsanti</v>
      </c>
      <c r="D229" s="248" t="str">
        <f>'UH1'!L223</f>
        <v>80</v>
      </c>
      <c r="E229" s="43"/>
      <c r="F229" s="134" t="str">
        <f>UHB!L223</f>
        <v>80</v>
      </c>
      <c r="G229" s="43"/>
      <c r="H229" s="368"/>
      <c r="I229" s="122">
        <f t="shared" si="21"/>
        <v>80</v>
      </c>
      <c r="J229" s="351">
        <v>29</v>
      </c>
      <c r="K229" s="351">
        <f t="shared" si="22"/>
        <v>54</v>
      </c>
      <c r="L229" s="149">
        <f t="shared" si="20"/>
        <v>73.5</v>
      </c>
      <c r="M229" s="313"/>
      <c r="N229" s="290">
        <v>80</v>
      </c>
      <c r="O229" s="44">
        <v>80</v>
      </c>
      <c r="P229" s="437">
        <f t="shared" si="23"/>
        <v>17</v>
      </c>
      <c r="Q229" s="438">
        <f t="shared" si="24"/>
        <v>14</v>
      </c>
      <c r="R229" s="30"/>
      <c r="S229" s="29"/>
      <c r="T229" s="31"/>
    </row>
    <row r="230" spans="1:23" ht="11.15" customHeight="1" x14ac:dyDescent="0.3">
      <c r="A230" s="21">
        <v>29</v>
      </c>
      <c r="B230" s="234"/>
      <c r="C230" s="133" t="str">
        <f>DATA!J38</f>
        <v>Wahid Sulistiyo</v>
      </c>
      <c r="D230" s="248" t="str">
        <f>'UH1'!L224</f>
        <v>83</v>
      </c>
      <c r="E230" s="43"/>
      <c r="F230" s="134" t="str">
        <f>UHB!L224</f>
        <v>81</v>
      </c>
      <c r="G230" s="347"/>
      <c r="H230" s="368"/>
      <c r="I230" s="122">
        <f t="shared" si="21"/>
        <v>82</v>
      </c>
      <c r="J230" s="351">
        <v>40.5</v>
      </c>
      <c r="K230" s="351">
        <f t="shared" si="22"/>
        <v>65.5</v>
      </c>
      <c r="L230" s="149">
        <f t="shared" si="20"/>
        <v>77.875</v>
      </c>
      <c r="M230" s="313"/>
      <c r="N230" s="290">
        <v>83</v>
      </c>
      <c r="O230" s="44">
        <v>81</v>
      </c>
      <c r="P230" s="437">
        <f t="shared" si="23"/>
        <v>5</v>
      </c>
      <c r="Q230" s="438">
        <f t="shared" si="24"/>
        <v>8</v>
      </c>
      <c r="R230" s="30"/>
      <c r="S230" s="29"/>
      <c r="T230" s="31"/>
    </row>
    <row r="231" spans="1:23" ht="11.15" customHeight="1" x14ac:dyDescent="0.3">
      <c r="A231" s="21">
        <v>30</v>
      </c>
      <c r="B231" s="234"/>
      <c r="C231" s="133" t="str">
        <f>DATA!J39</f>
        <v>Yanuar Putra Akbar</v>
      </c>
      <c r="D231" s="248" t="str">
        <f>'UH1'!L225</f>
        <v>80</v>
      </c>
      <c r="E231" s="43"/>
      <c r="F231" s="134" t="str">
        <f>UHB!L225</f>
        <v>80</v>
      </c>
      <c r="G231" s="43"/>
      <c r="H231" s="368"/>
      <c r="I231" s="122">
        <f t="shared" si="21"/>
        <v>80</v>
      </c>
      <c r="J231" s="351">
        <v>32.5</v>
      </c>
      <c r="K231" s="351">
        <f t="shared" si="22"/>
        <v>57.5</v>
      </c>
      <c r="L231" s="149">
        <f t="shared" si="20"/>
        <v>74.375</v>
      </c>
      <c r="M231" s="313"/>
      <c r="N231" s="290">
        <v>80</v>
      </c>
      <c r="O231" s="44">
        <v>80</v>
      </c>
      <c r="P231" s="437">
        <f t="shared" si="23"/>
        <v>17</v>
      </c>
      <c r="Q231" s="438">
        <f t="shared" si="24"/>
        <v>14</v>
      </c>
      <c r="R231" s="30"/>
      <c r="S231" s="29"/>
      <c r="T231" s="31"/>
    </row>
    <row r="232" spans="1:23" ht="11.15" customHeight="1" x14ac:dyDescent="0.3">
      <c r="A232" s="21">
        <v>31</v>
      </c>
      <c r="B232" s="234"/>
      <c r="C232" s="133"/>
      <c r="D232" s="248"/>
      <c r="E232" s="411"/>
      <c r="F232" s="134"/>
      <c r="G232" s="43"/>
      <c r="H232" s="368"/>
      <c r="I232" s="122"/>
      <c r="J232" s="351"/>
      <c r="K232" s="351"/>
      <c r="L232" s="149"/>
      <c r="M232" s="313"/>
      <c r="N232" s="290"/>
      <c r="O232" s="44"/>
      <c r="P232" s="437"/>
      <c r="Q232" s="438"/>
      <c r="R232" s="30"/>
      <c r="S232" s="29"/>
      <c r="T232" s="31"/>
    </row>
    <row r="233" spans="1:23" ht="11.15" customHeight="1" x14ac:dyDescent="0.3">
      <c r="A233" s="21">
        <v>32</v>
      </c>
      <c r="B233" s="234"/>
      <c r="C233" s="133"/>
      <c r="D233" s="248"/>
      <c r="E233" s="411"/>
      <c r="F233" s="134"/>
      <c r="G233" s="43"/>
      <c r="H233" s="368"/>
      <c r="I233" s="122"/>
      <c r="J233" s="351"/>
      <c r="K233" s="351"/>
      <c r="L233" s="149"/>
      <c r="M233" s="313"/>
      <c r="N233" s="290"/>
      <c r="O233" s="44"/>
      <c r="P233" s="437"/>
      <c r="Q233" s="438"/>
      <c r="R233" s="30"/>
      <c r="S233" s="29"/>
      <c r="T233" s="31"/>
    </row>
    <row r="234" spans="1:23" ht="11.15" customHeight="1" x14ac:dyDescent="0.3">
      <c r="A234" s="21">
        <v>33</v>
      </c>
      <c r="B234" s="234"/>
      <c r="C234" s="19"/>
      <c r="D234" s="296"/>
      <c r="E234" s="412"/>
      <c r="F234" s="291"/>
      <c r="G234" s="291"/>
      <c r="H234" s="292"/>
      <c r="I234" s="122"/>
      <c r="J234" s="133"/>
      <c r="K234" s="133"/>
      <c r="L234" s="363"/>
      <c r="M234" s="313"/>
      <c r="N234" s="290"/>
      <c r="O234" s="44"/>
      <c r="P234" s="437"/>
      <c r="Q234" s="438"/>
      <c r="R234" s="30"/>
      <c r="S234" s="29"/>
      <c r="T234" s="31"/>
    </row>
    <row r="235" spans="1:23" ht="11.15" customHeight="1" x14ac:dyDescent="0.3">
      <c r="A235" s="21">
        <v>34</v>
      </c>
      <c r="B235" s="133"/>
      <c r="C235" s="19"/>
      <c r="D235" s="296"/>
      <c r="E235" s="412"/>
      <c r="F235" s="291"/>
      <c r="G235" s="291"/>
      <c r="H235" s="292"/>
      <c r="I235" s="122"/>
      <c r="J235" s="133"/>
      <c r="K235" s="133"/>
      <c r="L235" s="363"/>
      <c r="M235" s="313"/>
      <c r="N235" s="290"/>
      <c r="O235" s="44"/>
      <c r="P235" s="437"/>
      <c r="Q235" s="438"/>
      <c r="R235" s="30"/>
      <c r="S235" s="29"/>
      <c r="T235" s="31"/>
    </row>
    <row r="236" spans="1:23" ht="11.15" customHeight="1" x14ac:dyDescent="0.3">
      <c r="A236" s="21">
        <v>35</v>
      </c>
      <c r="B236" s="133"/>
      <c r="C236" s="171"/>
      <c r="D236" s="297"/>
      <c r="E236" s="413"/>
      <c r="F236" s="294"/>
      <c r="G236" s="294"/>
      <c r="H236" s="295"/>
      <c r="I236" s="390"/>
      <c r="J236" s="285"/>
      <c r="K236" s="285"/>
      <c r="L236" s="364"/>
      <c r="M236" s="313"/>
      <c r="N236" s="293"/>
      <c r="O236" s="138"/>
      <c r="P236" s="441"/>
      <c r="Q236" s="443"/>
      <c r="R236" s="8"/>
      <c r="S236" s="124"/>
      <c r="T236" s="9"/>
    </row>
    <row r="237" spans="1:23" ht="11.15" customHeight="1" x14ac:dyDescent="0.25">
      <c r="A237" s="485"/>
      <c r="B237" s="486"/>
      <c r="D237" s="260"/>
      <c r="E237" s="260"/>
      <c r="F237" s="260"/>
      <c r="G237" s="260"/>
      <c r="H237" s="260"/>
      <c r="I237" s="232"/>
      <c r="J237" s="232"/>
      <c r="K237" s="281"/>
      <c r="L237" s="355"/>
      <c r="M237" s="313"/>
      <c r="N237" s="313"/>
    </row>
    <row r="238" spans="1:23" ht="11.15" customHeight="1" x14ac:dyDescent="0.3">
      <c r="A238" s="485"/>
      <c r="B238" s="486"/>
      <c r="C238" s="276" t="s">
        <v>71</v>
      </c>
      <c r="D238" s="312"/>
      <c r="E238" s="39"/>
      <c r="F238" s="312"/>
      <c r="G238" s="39"/>
      <c r="H238" s="312"/>
      <c r="I238" s="312"/>
      <c r="J238" s="407">
        <f>COUNTIF(J202:J236,"&gt;=79,5")</f>
        <v>0</v>
      </c>
      <c r="K238" s="312">
        <f>COUNTIF(K202:K236,"&gt;=79,5")</f>
        <v>2</v>
      </c>
      <c r="L238" s="366">
        <f>COUNTIF(L202:L236,"&gt;=79,5")</f>
        <v>4</v>
      </c>
      <c r="M238" s="313"/>
      <c r="N238" s="356">
        <f>COUNTIF(N202:N236,"&gt;=79,5")</f>
        <v>30</v>
      </c>
      <c r="O238" s="356">
        <f>COUNTIF(O202:O236,"&gt;=79,5")</f>
        <v>30</v>
      </c>
      <c r="P238" s="125"/>
    </row>
    <row r="239" spans="1:23" ht="11.15" customHeight="1" x14ac:dyDescent="0.3">
      <c r="A239" s="482"/>
      <c r="B239" s="483"/>
      <c r="C239" s="273" t="s">
        <v>72</v>
      </c>
      <c r="D239" s="304"/>
      <c r="E239" s="42"/>
      <c r="F239" s="304"/>
      <c r="G239" s="42"/>
      <c r="H239" s="304"/>
      <c r="I239" s="304"/>
      <c r="J239" s="408">
        <f>COUNTIF(J202:J236,"&lt;79,5")</f>
        <v>30</v>
      </c>
      <c r="K239" s="304">
        <f>COUNTIF(K202:K236,"&lt;79,5")</f>
        <v>28</v>
      </c>
      <c r="L239" s="357">
        <f>COUNTIF(L202:L236,"&lt;79,5")</f>
        <v>26</v>
      </c>
      <c r="M239" s="313"/>
      <c r="N239" s="357">
        <f>COUNTIF(N202:N236,"&lt;79,5")</f>
        <v>0</v>
      </c>
      <c r="O239" s="357">
        <f>COUNTIF(O202:O236,"&lt;79,5")</f>
        <v>0</v>
      </c>
      <c r="P239" s="125"/>
    </row>
    <row r="240" spans="1:23" ht="11.15" customHeight="1" x14ac:dyDescent="0.3">
      <c r="A240" s="482"/>
      <c r="B240" s="483"/>
      <c r="C240" s="273" t="s">
        <v>73</v>
      </c>
      <c r="D240" s="304"/>
      <c r="E240" s="42"/>
      <c r="F240" s="304"/>
      <c r="G240" s="42"/>
      <c r="H240" s="304"/>
      <c r="I240" s="304"/>
      <c r="J240" s="409">
        <f>MIN(J202:J236)</f>
        <v>18</v>
      </c>
      <c r="K240" s="304">
        <f>MIN(K202:K236)</f>
        <v>43</v>
      </c>
      <c r="L240" s="358">
        <f>MIN(L202:L236)</f>
        <v>70.75</v>
      </c>
      <c r="M240" s="313"/>
      <c r="N240" s="405">
        <f>MIN(N202:N236)</f>
        <v>80</v>
      </c>
      <c r="O240" s="405">
        <f>MIN(O202:O236)</f>
        <v>80</v>
      </c>
      <c r="P240" s="427"/>
    </row>
    <row r="241" spans="1:16" ht="11.15" customHeight="1" x14ac:dyDescent="0.3">
      <c r="A241" s="482"/>
      <c r="B241" s="483"/>
      <c r="C241" s="273" t="s">
        <v>74</v>
      </c>
      <c r="D241" s="304"/>
      <c r="E241" s="42"/>
      <c r="F241" s="304"/>
      <c r="G241" s="42"/>
      <c r="H241" s="304"/>
      <c r="I241" s="304"/>
      <c r="J241" s="409">
        <f>MAX(J202:J236)</f>
        <v>61.5</v>
      </c>
      <c r="K241" s="304">
        <f>MAX(K202:K236)</f>
        <v>86.5</v>
      </c>
      <c r="L241" s="358">
        <f>MAX(L202:L236)</f>
        <v>90.25</v>
      </c>
      <c r="M241" s="313"/>
      <c r="N241" s="405">
        <f>MAX(N202:N236)</f>
        <v>95</v>
      </c>
      <c r="O241" s="405">
        <f>MAX(O202:O236)</f>
        <v>95</v>
      </c>
      <c r="P241" s="427"/>
    </row>
    <row r="242" spans="1:16" ht="11.15" customHeight="1" x14ac:dyDescent="0.3">
      <c r="A242" s="475"/>
      <c r="B242" s="476"/>
      <c r="C242" s="274" t="s">
        <v>75</v>
      </c>
      <c r="D242" s="305"/>
      <c r="E242" s="136"/>
      <c r="F242" s="305"/>
      <c r="G242" s="136"/>
      <c r="H242" s="305"/>
      <c r="I242" s="305"/>
      <c r="J242" s="410">
        <f>AVERAGE(J202:J236)</f>
        <v>36.4</v>
      </c>
      <c r="K242" s="305">
        <f>AVERAGE(K202:K236)</f>
        <v>61.4</v>
      </c>
      <c r="L242" s="359">
        <f>AVERAGE(L202:L236)</f>
        <v>76.849999999999994</v>
      </c>
      <c r="M242" s="313"/>
      <c r="N242" s="406">
        <f>AVERAGE(N202:N236)</f>
        <v>82.033333333333331</v>
      </c>
      <c r="O242" s="406">
        <f>AVERAGE(O202:O236)</f>
        <v>81.7</v>
      </c>
      <c r="P242" s="427"/>
    </row>
    <row r="243" spans="1:16" ht="11.15" customHeight="1" x14ac:dyDescent="0.25">
      <c r="A243" s="481"/>
      <c r="B243" s="481"/>
      <c r="L243" s="173"/>
      <c r="M243" s="313"/>
      <c r="N243" s="313"/>
    </row>
    <row r="244" spans="1:16" ht="11.15" customHeight="1" x14ac:dyDescent="0.25">
      <c r="A244" s="128"/>
      <c r="B244" s="128"/>
      <c r="L244" s="173"/>
      <c r="M244" s="313"/>
      <c r="N244" s="313"/>
    </row>
    <row r="245" spans="1:16" ht="11.15" customHeight="1" x14ac:dyDescent="0.25">
      <c r="A245" s="128"/>
      <c r="B245" s="128"/>
      <c r="L245" s="173"/>
      <c r="M245" s="313"/>
      <c r="N245" s="313"/>
    </row>
    <row r="246" spans="1:16" ht="11.15" customHeight="1" x14ac:dyDescent="0.3">
      <c r="A246" s="478"/>
      <c r="B246" s="478"/>
      <c r="C246" s="478" t="str">
        <f>C197</f>
        <v>DAFTAR  NILAI MATEMATIKA SMT 1 TP 2025/2026</v>
      </c>
      <c r="D246" s="478"/>
      <c r="E246" s="478"/>
      <c r="F246" s="478"/>
      <c r="G246" s="478"/>
      <c r="H246" s="478"/>
      <c r="I246" s="478"/>
      <c r="J246" s="478"/>
      <c r="K246" s="478"/>
      <c r="L246" s="478"/>
      <c r="M246" s="313"/>
      <c r="N246" s="313"/>
    </row>
    <row r="247" spans="1:16" ht="11.15" customHeight="1" x14ac:dyDescent="0.3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313"/>
      <c r="N247" s="499" t="s">
        <v>497</v>
      </c>
      <c r="O247" s="499"/>
      <c r="P247" s="128"/>
    </row>
    <row r="248" spans="1:16" ht="11.15" customHeight="1" x14ac:dyDescent="0.3">
      <c r="A248" s="479"/>
      <c r="B248" s="479"/>
      <c r="L248" s="173"/>
      <c r="M248" s="313"/>
      <c r="N248" s="500" t="s">
        <v>496</v>
      </c>
      <c r="O248" s="500"/>
      <c r="P248" s="104"/>
    </row>
    <row r="249" spans="1:16" ht="11.15" customHeight="1" x14ac:dyDescent="0.3">
      <c r="A249" s="484" t="s">
        <v>0</v>
      </c>
      <c r="B249" s="153"/>
      <c r="C249" s="484" t="s">
        <v>2</v>
      </c>
      <c r="D249" s="477" t="s">
        <v>85</v>
      </c>
      <c r="E249" s="477"/>
      <c r="F249" s="477"/>
      <c r="G249" s="477"/>
      <c r="H249" s="477"/>
      <c r="I249" s="53" t="s">
        <v>70</v>
      </c>
      <c r="J249" s="474" t="s">
        <v>296</v>
      </c>
      <c r="K249" s="474"/>
      <c r="L249" s="474" t="s">
        <v>87</v>
      </c>
      <c r="M249" s="313"/>
      <c r="N249" s="496" t="s">
        <v>494</v>
      </c>
      <c r="O249" s="496" t="s">
        <v>495</v>
      </c>
      <c r="P249" s="426"/>
    </row>
    <row r="250" spans="1:16" ht="11.15" customHeight="1" x14ac:dyDescent="0.3">
      <c r="A250" s="484"/>
      <c r="B250" s="153"/>
      <c r="C250" s="484"/>
      <c r="D250" s="289" t="s">
        <v>97</v>
      </c>
      <c r="E250" s="289"/>
      <c r="F250" s="289" t="s">
        <v>98</v>
      </c>
      <c r="G250" s="289"/>
      <c r="H250" s="289" t="s">
        <v>99</v>
      </c>
      <c r="I250" s="129" t="s">
        <v>85</v>
      </c>
      <c r="J250" s="289" t="s">
        <v>100</v>
      </c>
      <c r="K250" s="365" t="s">
        <v>101</v>
      </c>
      <c r="L250" s="474"/>
      <c r="M250" s="313"/>
      <c r="N250" s="497"/>
      <c r="O250" s="497"/>
      <c r="P250" s="426"/>
    </row>
    <row r="251" spans="1:16" ht="11.15" customHeight="1" x14ac:dyDescent="0.25">
      <c r="A251" s="20">
        <v>1</v>
      </c>
      <c r="B251" s="235">
        <v>1</v>
      </c>
      <c r="C251" s="130" t="str">
        <f>DATA!L10</f>
        <v>Ahmad Azam Muhanif</v>
      </c>
      <c r="D251" s="39"/>
      <c r="E251" s="317"/>
      <c r="F251" s="40"/>
      <c r="G251" s="321"/>
      <c r="H251" s="41"/>
      <c r="I251" s="120">
        <f t="shared" ref="I251:I282" si="25">(D251+F251+H251)/3</f>
        <v>0</v>
      </c>
      <c r="J251" s="120"/>
      <c r="K251" s="283"/>
      <c r="L251" s="315">
        <f t="shared" ref="L251:L282" si="26">I251*0.75+K251*0.25</f>
        <v>0</v>
      </c>
      <c r="M251" s="313"/>
      <c r="N251" s="313"/>
    </row>
    <row r="252" spans="1:16" ht="11.15" customHeight="1" x14ac:dyDescent="0.25">
      <c r="A252" s="21">
        <v>2</v>
      </c>
      <c r="B252" s="234">
        <v>2</v>
      </c>
      <c r="C252" s="133" t="str">
        <f>DATA!L11</f>
        <v>Ananda Rafa Mahesa Putra</v>
      </c>
      <c r="D252" s="42"/>
      <c r="E252" s="318"/>
      <c r="F252" s="43"/>
      <c r="G252" s="320"/>
      <c r="H252" s="44"/>
      <c r="I252" s="122">
        <f t="shared" si="25"/>
        <v>0</v>
      </c>
      <c r="J252" s="122"/>
      <c r="K252" s="284"/>
      <c r="L252" s="231">
        <f t="shared" si="26"/>
        <v>0</v>
      </c>
      <c r="M252" s="313"/>
      <c r="N252" s="313"/>
    </row>
    <row r="253" spans="1:16" ht="11.15" customHeight="1" x14ac:dyDescent="0.25">
      <c r="A253" s="21">
        <v>3</v>
      </c>
      <c r="B253" s="234">
        <v>3</v>
      </c>
      <c r="C253" s="133" t="str">
        <f>DATA!L12</f>
        <v>Aprian Caysa Raditiansyah</v>
      </c>
      <c r="D253" s="42"/>
      <c r="E253" s="318"/>
      <c r="F253" s="43"/>
      <c r="G253" s="320"/>
      <c r="H253" s="44"/>
      <c r="I253" s="122">
        <f t="shared" si="25"/>
        <v>0</v>
      </c>
      <c r="J253" s="122"/>
      <c r="K253" s="284"/>
      <c r="L253" s="231">
        <f t="shared" si="26"/>
        <v>0</v>
      </c>
      <c r="M253" s="313"/>
      <c r="N253" s="313"/>
    </row>
    <row r="254" spans="1:16" ht="11.15" customHeight="1" x14ac:dyDescent="0.25">
      <c r="A254" s="21">
        <v>4</v>
      </c>
      <c r="B254" s="234">
        <v>5</v>
      </c>
      <c r="C254" s="133" t="str">
        <f>DATA!L13</f>
        <v>Attaya Nadine Vanessa</v>
      </c>
      <c r="D254" s="42"/>
      <c r="E254" s="318"/>
      <c r="F254" s="43"/>
      <c r="G254" s="320"/>
      <c r="H254" s="44"/>
      <c r="I254" s="122">
        <f t="shared" si="25"/>
        <v>0</v>
      </c>
      <c r="J254" s="122"/>
      <c r="K254" s="284"/>
      <c r="L254" s="122">
        <f t="shared" si="26"/>
        <v>0</v>
      </c>
      <c r="M254" s="313"/>
      <c r="N254" s="313"/>
    </row>
    <row r="255" spans="1:16" ht="11.15" customHeight="1" x14ac:dyDescent="0.25">
      <c r="A255" s="21">
        <v>5</v>
      </c>
      <c r="B255" s="234">
        <v>6</v>
      </c>
      <c r="C255" s="133" t="str">
        <f>DATA!L14</f>
        <v>Dimas Suryo Admodjo</v>
      </c>
      <c r="D255" s="42"/>
      <c r="E255" s="318"/>
      <c r="F255" s="43"/>
      <c r="G255" s="320"/>
      <c r="H255" s="44"/>
      <c r="I255" s="122">
        <f t="shared" si="25"/>
        <v>0</v>
      </c>
      <c r="J255" s="122"/>
      <c r="K255" s="284"/>
      <c r="L255" s="231">
        <f t="shared" si="26"/>
        <v>0</v>
      </c>
      <c r="M255" s="313"/>
      <c r="N255" s="313"/>
    </row>
    <row r="256" spans="1:16" ht="11.15" customHeight="1" x14ac:dyDescent="0.25">
      <c r="A256" s="21">
        <v>6</v>
      </c>
      <c r="B256" s="234">
        <v>7</v>
      </c>
      <c r="C256" s="133" t="str">
        <f>DATA!L15</f>
        <v>Dwi Erinadestari</v>
      </c>
      <c r="D256" s="42"/>
      <c r="E256" s="318"/>
      <c r="F256" s="43"/>
      <c r="G256" s="320"/>
      <c r="H256" s="44"/>
      <c r="I256" s="122">
        <f t="shared" si="25"/>
        <v>0</v>
      </c>
      <c r="J256" s="122"/>
      <c r="K256" s="284"/>
      <c r="L256" s="231">
        <f t="shared" si="26"/>
        <v>0</v>
      </c>
      <c r="M256" s="313"/>
      <c r="N256" s="313"/>
    </row>
    <row r="257" spans="1:14" ht="11.15" customHeight="1" x14ac:dyDescent="0.25">
      <c r="A257" s="21">
        <v>7</v>
      </c>
      <c r="B257" s="234">
        <v>8</v>
      </c>
      <c r="C257" s="133" t="str">
        <f>DATA!L16</f>
        <v>Eka Yuanita Safa</v>
      </c>
      <c r="D257" s="42"/>
      <c r="E257" s="318"/>
      <c r="F257" s="43"/>
      <c r="G257" s="320"/>
      <c r="H257" s="44"/>
      <c r="I257" s="122">
        <f t="shared" si="25"/>
        <v>0</v>
      </c>
      <c r="J257" s="122"/>
      <c r="K257" s="284"/>
      <c r="L257" s="231">
        <f t="shared" si="26"/>
        <v>0</v>
      </c>
      <c r="M257" s="313"/>
      <c r="N257" s="313"/>
    </row>
    <row r="258" spans="1:14" ht="11.15" customHeight="1" x14ac:dyDescent="0.25">
      <c r="A258" s="21">
        <v>8</v>
      </c>
      <c r="B258" s="234">
        <v>9</v>
      </c>
      <c r="C258" s="133" t="str">
        <f>DATA!L17</f>
        <v>Ellisa Adelia Putri</v>
      </c>
      <c r="D258" s="42"/>
      <c r="E258" s="318"/>
      <c r="F258" s="43"/>
      <c r="G258" s="320"/>
      <c r="H258" s="44"/>
      <c r="I258" s="122">
        <f t="shared" si="25"/>
        <v>0</v>
      </c>
      <c r="J258" s="122"/>
      <c r="K258" s="284"/>
      <c r="L258" s="231">
        <f t="shared" si="26"/>
        <v>0</v>
      </c>
      <c r="M258" s="313"/>
      <c r="N258" s="313"/>
    </row>
    <row r="259" spans="1:14" ht="11.15" customHeight="1" x14ac:dyDescent="0.25">
      <c r="A259" s="21">
        <v>9</v>
      </c>
      <c r="B259" s="234">
        <v>4</v>
      </c>
      <c r="C259" s="133" t="str">
        <f>DATA!L18</f>
        <v>Elsa Adinda Putri</v>
      </c>
      <c r="D259" s="42"/>
      <c r="E259" s="318"/>
      <c r="F259" s="43"/>
      <c r="G259" s="320"/>
      <c r="H259" s="44"/>
      <c r="I259" s="122">
        <f t="shared" si="25"/>
        <v>0</v>
      </c>
      <c r="J259" s="122"/>
      <c r="K259" s="284"/>
      <c r="L259" s="231">
        <f t="shared" si="26"/>
        <v>0</v>
      </c>
      <c r="M259" s="313"/>
      <c r="N259" s="313"/>
    </row>
    <row r="260" spans="1:14" ht="11.15" customHeight="1" x14ac:dyDescent="0.25">
      <c r="A260" s="21">
        <v>10</v>
      </c>
      <c r="B260" s="234">
        <v>10</v>
      </c>
      <c r="C260" s="133" t="str">
        <f>DATA!L19</f>
        <v>Erick Putra Wijaya</v>
      </c>
      <c r="D260" s="42"/>
      <c r="E260" s="318"/>
      <c r="F260" s="43"/>
      <c r="G260" s="320"/>
      <c r="H260" s="44"/>
      <c r="I260" s="122">
        <f t="shared" si="25"/>
        <v>0</v>
      </c>
      <c r="J260" s="122"/>
      <c r="K260" s="284"/>
      <c r="L260" s="231">
        <f t="shared" si="26"/>
        <v>0</v>
      </c>
      <c r="M260" s="313"/>
      <c r="N260" s="313"/>
    </row>
    <row r="261" spans="1:14" ht="11.15" customHeight="1" x14ac:dyDescent="0.25">
      <c r="A261" s="21">
        <v>11</v>
      </c>
      <c r="B261" s="234">
        <v>11</v>
      </c>
      <c r="C261" s="133" t="str">
        <f>DATA!L20</f>
        <v>Intan Qurrota A'Yun</v>
      </c>
      <c r="D261" s="42"/>
      <c r="E261" s="318"/>
      <c r="F261" s="43"/>
      <c r="G261" s="320"/>
      <c r="H261" s="44"/>
      <c r="I261" s="122">
        <f t="shared" si="25"/>
        <v>0</v>
      </c>
      <c r="J261" s="122"/>
      <c r="K261" s="284"/>
      <c r="L261" s="231">
        <f t="shared" si="26"/>
        <v>0</v>
      </c>
      <c r="M261" s="313"/>
      <c r="N261" s="313"/>
    </row>
    <row r="262" spans="1:14" ht="11.15" customHeight="1" x14ac:dyDescent="0.25">
      <c r="A262" s="21">
        <v>12</v>
      </c>
      <c r="B262" s="234">
        <v>12</v>
      </c>
      <c r="C262" s="133" t="str">
        <f>DATA!L21</f>
        <v>Johan Renaldi</v>
      </c>
      <c r="D262" s="42"/>
      <c r="E262" s="318"/>
      <c r="F262" s="43"/>
      <c r="G262" s="320"/>
      <c r="H262" s="44"/>
      <c r="I262" s="122">
        <f t="shared" si="25"/>
        <v>0</v>
      </c>
      <c r="J262" s="122"/>
      <c r="K262" s="284"/>
      <c r="L262" s="231">
        <f t="shared" si="26"/>
        <v>0</v>
      </c>
      <c r="M262" s="313"/>
      <c r="N262" s="313"/>
    </row>
    <row r="263" spans="1:14" ht="11.15" customHeight="1" x14ac:dyDescent="0.25">
      <c r="A263" s="21">
        <v>13</v>
      </c>
      <c r="B263" s="234">
        <v>13</v>
      </c>
      <c r="C263" s="133" t="str">
        <f>DATA!L22</f>
        <v>Lituhayu Sabrina</v>
      </c>
      <c r="D263" s="42"/>
      <c r="E263" s="318"/>
      <c r="F263" s="43"/>
      <c r="G263" s="320"/>
      <c r="H263" s="44"/>
      <c r="I263" s="122">
        <f t="shared" si="25"/>
        <v>0</v>
      </c>
      <c r="J263" s="122"/>
      <c r="K263" s="284"/>
      <c r="L263" s="231">
        <f t="shared" si="26"/>
        <v>0</v>
      </c>
      <c r="M263" s="313"/>
      <c r="N263" s="313"/>
    </row>
    <row r="264" spans="1:14" ht="11.15" customHeight="1" x14ac:dyDescent="0.25">
      <c r="A264" s="21">
        <v>14</v>
      </c>
      <c r="B264" s="234">
        <v>14</v>
      </c>
      <c r="C264" s="133" t="str">
        <f>DATA!L23</f>
        <v>Luthfi Az Zahra Aulyvia</v>
      </c>
      <c r="D264" s="42"/>
      <c r="E264" s="318"/>
      <c r="F264" s="43"/>
      <c r="G264" s="320"/>
      <c r="H264" s="44"/>
      <c r="I264" s="122">
        <f t="shared" si="25"/>
        <v>0</v>
      </c>
      <c r="J264" s="122"/>
      <c r="K264" s="284"/>
      <c r="L264" s="231">
        <f t="shared" si="26"/>
        <v>0</v>
      </c>
      <c r="M264" s="313"/>
      <c r="N264" s="313"/>
    </row>
    <row r="265" spans="1:14" ht="11.15" customHeight="1" x14ac:dyDescent="0.25">
      <c r="A265" s="21">
        <v>15</v>
      </c>
      <c r="B265" s="234">
        <v>15</v>
      </c>
      <c r="C265" s="133" t="str">
        <f>DATA!L24</f>
        <v>Maulana Rizki Kurniawan</v>
      </c>
      <c r="D265" s="42"/>
      <c r="E265" s="318"/>
      <c r="F265" s="43"/>
      <c r="G265" s="320"/>
      <c r="H265" s="44"/>
      <c r="I265" s="122">
        <f t="shared" si="25"/>
        <v>0</v>
      </c>
      <c r="J265" s="122"/>
      <c r="K265" s="284"/>
      <c r="L265" s="231">
        <f t="shared" si="26"/>
        <v>0</v>
      </c>
      <c r="M265" s="313"/>
      <c r="N265" s="313"/>
    </row>
    <row r="266" spans="1:14" ht="11.15" customHeight="1" x14ac:dyDescent="0.25">
      <c r="A266" s="21">
        <v>16</v>
      </c>
      <c r="B266" s="234">
        <v>16</v>
      </c>
      <c r="C266" s="133" t="str">
        <f>DATA!L25</f>
        <v>Meisya Anindita</v>
      </c>
      <c r="D266" s="42"/>
      <c r="E266" s="318"/>
      <c r="F266" s="43"/>
      <c r="G266" s="320"/>
      <c r="H266" s="44"/>
      <c r="I266" s="122">
        <f t="shared" si="25"/>
        <v>0</v>
      </c>
      <c r="J266" s="122"/>
      <c r="K266" s="284"/>
      <c r="L266" s="231">
        <f t="shared" si="26"/>
        <v>0</v>
      </c>
      <c r="M266" s="313"/>
      <c r="N266" s="313"/>
    </row>
    <row r="267" spans="1:14" ht="11.15" customHeight="1" x14ac:dyDescent="0.25">
      <c r="A267" s="21">
        <v>17</v>
      </c>
      <c r="B267" s="234">
        <v>17</v>
      </c>
      <c r="C267" s="133" t="str">
        <f>DATA!L26</f>
        <v>Melilea Azahra</v>
      </c>
      <c r="D267" s="42"/>
      <c r="E267" s="318"/>
      <c r="F267" s="43"/>
      <c r="G267" s="320"/>
      <c r="H267" s="44"/>
      <c r="I267" s="122">
        <f t="shared" si="25"/>
        <v>0</v>
      </c>
      <c r="J267" s="122"/>
      <c r="K267" s="284"/>
      <c r="L267" s="231">
        <f t="shared" si="26"/>
        <v>0</v>
      </c>
      <c r="M267" s="313"/>
      <c r="N267" s="313"/>
    </row>
    <row r="268" spans="1:14" ht="11.15" customHeight="1" x14ac:dyDescent="0.25">
      <c r="A268" s="21">
        <v>18</v>
      </c>
      <c r="B268" s="234">
        <v>18</v>
      </c>
      <c r="C268" s="133" t="str">
        <f>DATA!L27</f>
        <v>Muhammad Furqon Ashfary</v>
      </c>
      <c r="D268" s="42"/>
      <c r="E268" s="318"/>
      <c r="F268" s="43"/>
      <c r="G268" s="320"/>
      <c r="H268" s="44"/>
      <c r="I268" s="122">
        <f t="shared" si="25"/>
        <v>0</v>
      </c>
      <c r="J268" s="122"/>
      <c r="K268" s="284"/>
      <c r="L268" s="231">
        <f t="shared" si="26"/>
        <v>0</v>
      </c>
      <c r="M268" s="313"/>
      <c r="N268" s="313"/>
    </row>
    <row r="269" spans="1:14" ht="11.15" customHeight="1" x14ac:dyDescent="0.25">
      <c r="A269" s="21">
        <v>19</v>
      </c>
      <c r="B269" s="234">
        <v>19</v>
      </c>
      <c r="C269" s="133" t="str">
        <f>DATA!L28</f>
        <v>Muhammad Rizky Fahreza</v>
      </c>
      <c r="D269" s="42"/>
      <c r="E269" s="318"/>
      <c r="F269" s="43"/>
      <c r="G269" s="320"/>
      <c r="H269" s="44"/>
      <c r="I269" s="122">
        <f t="shared" si="25"/>
        <v>0</v>
      </c>
      <c r="J269" s="122"/>
      <c r="K269" s="284"/>
      <c r="L269" s="231">
        <f t="shared" si="26"/>
        <v>0</v>
      </c>
      <c r="M269" s="313"/>
      <c r="N269" s="313"/>
    </row>
    <row r="270" spans="1:14" ht="11.15" customHeight="1" x14ac:dyDescent="0.25">
      <c r="A270" s="21">
        <v>20</v>
      </c>
      <c r="B270" s="234">
        <v>20</v>
      </c>
      <c r="C270" s="133" t="str">
        <f>DATA!L29</f>
        <v>Mutiara Yuliyanti</v>
      </c>
      <c r="D270" s="42"/>
      <c r="E270" s="318"/>
      <c r="F270" s="43"/>
      <c r="G270" s="320"/>
      <c r="H270" s="44"/>
      <c r="I270" s="122">
        <f t="shared" si="25"/>
        <v>0</v>
      </c>
      <c r="J270" s="122"/>
      <c r="K270" s="284"/>
      <c r="L270" s="231">
        <f t="shared" si="26"/>
        <v>0</v>
      </c>
      <c r="M270" s="313"/>
      <c r="N270" s="313"/>
    </row>
    <row r="271" spans="1:14" ht="11.15" customHeight="1" x14ac:dyDescent="0.25">
      <c r="A271" s="21">
        <v>21</v>
      </c>
      <c r="B271" s="234">
        <v>21</v>
      </c>
      <c r="C271" s="133" t="str">
        <f>DATA!L30</f>
        <v>Nathasya Maharani Putri Agustina</v>
      </c>
      <c r="D271" s="42"/>
      <c r="E271" s="318"/>
      <c r="F271" s="43"/>
      <c r="G271" s="320"/>
      <c r="H271" s="44"/>
      <c r="I271" s="122">
        <f t="shared" si="25"/>
        <v>0</v>
      </c>
      <c r="J271" s="122"/>
      <c r="K271" s="284"/>
      <c r="L271" s="231">
        <f t="shared" si="26"/>
        <v>0</v>
      </c>
      <c r="M271" s="313"/>
      <c r="N271" s="313"/>
    </row>
    <row r="272" spans="1:14" ht="11.15" customHeight="1" x14ac:dyDescent="0.25">
      <c r="A272" s="21">
        <v>22</v>
      </c>
      <c r="B272" s="234">
        <v>22</v>
      </c>
      <c r="C272" s="133" t="str">
        <f>DATA!L31</f>
        <v>Naysilla Anindya Ramadhani Nayra</v>
      </c>
      <c r="D272" s="42"/>
      <c r="E272" s="318"/>
      <c r="F272" s="43"/>
      <c r="G272" s="320"/>
      <c r="H272" s="44"/>
      <c r="I272" s="122">
        <f t="shared" si="25"/>
        <v>0</v>
      </c>
      <c r="J272" s="122"/>
      <c r="K272" s="284"/>
      <c r="L272" s="231">
        <f t="shared" si="26"/>
        <v>0</v>
      </c>
      <c r="M272" s="313"/>
      <c r="N272" s="313"/>
    </row>
    <row r="273" spans="1:16" ht="11.15" customHeight="1" x14ac:dyDescent="0.25">
      <c r="A273" s="21">
        <v>23</v>
      </c>
      <c r="B273" s="234">
        <v>23</v>
      </c>
      <c r="C273" s="133" t="str">
        <f>DATA!L32</f>
        <v>Qaleesya Juliandhifa Putri Ajisia</v>
      </c>
      <c r="D273" s="42"/>
      <c r="E273" s="318"/>
      <c r="F273" s="43"/>
      <c r="G273" s="320"/>
      <c r="H273" s="44"/>
      <c r="I273" s="122">
        <f t="shared" si="25"/>
        <v>0</v>
      </c>
      <c r="J273" s="122"/>
      <c r="K273" s="284"/>
      <c r="L273" s="231">
        <f t="shared" si="26"/>
        <v>0</v>
      </c>
      <c r="M273" s="313"/>
      <c r="N273" s="313"/>
    </row>
    <row r="274" spans="1:16" ht="11.15" customHeight="1" x14ac:dyDescent="0.25">
      <c r="A274" s="21">
        <v>24</v>
      </c>
      <c r="B274" s="234">
        <v>24</v>
      </c>
      <c r="C274" s="133" t="str">
        <f>DATA!L33</f>
        <v>Rahesya Firmansah</v>
      </c>
      <c r="D274" s="42"/>
      <c r="E274" s="318"/>
      <c r="F274" s="43"/>
      <c r="G274" s="320"/>
      <c r="H274" s="44"/>
      <c r="I274" s="122">
        <f t="shared" si="25"/>
        <v>0</v>
      </c>
      <c r="J274" s="122"/>
      <c r="K274" s="284"/>
      <c r="L274" s="231">
        <f t="shared" si="26"/>
        <v>0</v>
      </c>
      <c r="M274" s="313"/>
      <c r="N274" s="313"/>
    </row>
    <row r="275" spans="1:16" ht="11.15" customHeight="1" x14ac:dyDescent="0.25">
      <c r="A275" s="21">
        <v>25</v>
      </c>
      <c r="B275" s="234">
        <v>25</v>
      </c>
      <c r="C275" s="133" t="str">
        <f>DATA!L34</f>
        <v>Revalino Adhyaqsa Pamungkas</v>
      </c>
      <c r="D275" s="42"/>
      <c r="E275" s="318"/>
      <c r="F275" s="43"/>
      <c r="G275" s="320"/>
      <c r="H275" s="44"/>
      <c r="I275" s="122">
        <f t="shared" si="25"/>
        <v>0</v>
      </c>
      <c r="J275" s="122"/>
      <c r="K275" s="284"/>
      <c r="L275" s="231">
        <f t="shared" si="26"/>
        <v>0</v>
      </c>
      <c r="M275" s="313"/>
      <c r="N275" s="313"/>
    </row>
    <row r="276" spans="1:16" ht="11.15" customHeight="1" x14ac:dyDescent="0.25">
      <c r="A276" s="21">
        <v>26</v>
      </c>
      <c r="B276" s="234">
        <v>26</v>
      </c>
      <c r="C276" s="133" t="str">
        <f>DATA!L35</f>
        <v>Rokhan Dwi Ma'Arif</v>
      </c>
      <c r="D276" s="42"/>
      <c r="E276" s="318"/>
      <c r="F276" s="43"/>
      <c r="G276" s="320"/>
      <c r="H276" s="44"/>
      <c r="I276" s="122">
        <f t="shared" si="25"/>
        <v>0</v>
      </c>
      <c r="J276" s="122"/>
      <c r="K276" s="284"/>
      <c r="L276" s="231">
        <f t="shared" si="26"/>
        <v>0</v>
      </c>
      <c r="M276" s="313"/>
      <c r="N276" s="313"/>
    </row>
    <row r="277" spans="1:16" ht="11.15" customHeight="1" x14ac:dyDescent="0.25">
      <c r="A277" s="21">
        <v>27</v>
      </c>
      <c r="B277" s="234">
        <v>27</v>
      </c>
      <c r="C277" s="133" t="str">
        <f>DATA!L36</f>
        <v>Sawung Lintang Kamandanu</v>
      </c>
      <c r="D277" s="42"/>
      <c r="E277" s="318"/>
      <c r="F277" s="43"/>
      <c r="G277" s="320"/>
      <c r="H277" s="44"/>
      <c r="I277" s="122">
        <f t="shared" si="25"/>
        <v>0</v>
      </c>
      <c r="J277" s="122"/>
      <c r="K277" s="284"/>
      <c r="L277" s="231">
        <f t="shared" si="26"/>
        <v>0</v>
      </c>
      <c r="M277" s="313"/>
      <c r="N277" s="313"/>
    </row>
    <row r="278" spans="1:16" ht="11.15" customHeight="1" x14ac:dyDescent="0.25">
      <c r="A278" s="21">
        <v>28</v>
      </c>
      <c r="B278" s="234">
        <v>28</v>
      </c>
      <c r="C278" s="133" t="str">
        <f>DATA!L37</f>
        <v>Taufik Hidayat</v>
      </c>
      <c r="D278" s="42"/>
      <c r="E278" s="318"/>
      <c r="F278" s="43"/>
      <c r="G278" s="320"/>
      <c r="H278" s="44"/>
      <c r="I278" s="122">
        <f t="shared" si="25"/>
        <v>0</v>
      </c>
      <c r="J278" s="122"/>
      <c r="K278" s="284"/>
      <c r="L278" s="231">
        <f t="shared" si="26"/>
        <v>0</v>
      </c>
      <c r="M278" s="313"/>
      <c r="N278" s="313"/>
    </row>
    <row r="279" spans="1:16" ht="11.15" customHeight="1" x14ac:dyDescent="0.25">
      <c r="A279" s="21">
        <v>29</v>
      </c>
      <c r="B279" s="234">
        <v>29</v>
      </c>
      <c r="C279" s="133" t="str">
        <f>DATA!L38</f>
        <v>Valentino Febrianzah</v>
      </c>
      <c r="D279" s="42"/>
      <c r="E279" s="318"/>
      <c r="F279" s="43"/>
      <c r="G279" s="320"/>
      <c r="H279" s="44"/>
      <c r="I279" s="122">
        <f t="shared" si="25"/>
        <v>0</v>
      </c>
      <c r="J279" s="122"/>
      <c r="K279" s="284"/>
      <c r="L279" s="231">
        <f t="shared" si="26"/>
        <v>0</v>
      </c>
      <c r="M279" s="313"/>
      <c r="N279" s="313"/>
    </row>
    <row r="280" spans="1:16" ht="11.15" customHeight="1" x14ac:dyDescent="0.25">
      <c r="A280" s="21">
        <v>30</v>
      </c>
      <c r="B280" s="234">
        <v>30</v>
      </c>
      <c r="C280" s="133" t="str">
        <f>DATA!L39</f>
        <v>Vega Olivia Ramandhani</v>
      </c>
      <c r="D280" s="349"/>
      <c r="E280" s="345"/>
      <c r="F280" s="347"/>
      <c r="G280" s="346"/>
      <c r="H280" s="348"/>
      <c r="I280" s="122">
        <f t="shared" si="25"/>
        <v>0</v>
      </c>
      <c r="J280" s="122"/>
      <c r="K280" s="284"/>
      <c r="L280" s="231">
        <f t="shared" si="26"/>
        <v>0</v>
      </c>
      <c r="M280" s="313"/>
      <c r="N280" s="313"/>
    </row>
    <row r="281" spans="1:16" ht="11.15" customHeight="1" x14ac:dyDescent="0.25">
      <c r="A281" s="21">
        <v>31</v>
      </c>
      <c r="B281" s="234">
        <v>31</v>
      </c>
      <c r="C281" s="133">
        <f>DATA!L40</f>
        <v>0</v>
      </c>
      <c r="D281" s="42"/>
      <c r="E281" s="318"/>
      <c r="F281" s="43"/>
      <c r="G281" s="320"/>
      <c r="H281" s="44"/>
      <c r="I281" s="122">
        <f t="shared" si="25"/>
        <v>0</v>
      </c>
      <c r="J281" s="122"/>
      <c r="K281" s="284"/>
      <c r="L281" s="231">
        <f t="shared" si="26"/>
        <v>0</v>
      </c>
      <c r="M281" s="313"/>
      <c r="N281" s="313"/>
    </row>
    <row r="282" spans="1:16" ht="11.15" customHeight="1" x14ac:dyDescent="0.25">
      <c r="A282" s="21">
        <v>32</v>
      </c>
      <c r="B282" s="234">
        <v>32</v>
      </c>
      <c r="C282" s="133">
        <f>DATA!L41</f>
        <v>0</v>
      </c>
      <c r="D282" s="42"/>
      <c r="E282" s="318"/>
      <c r="F282" s="43"/>
      <c r="G282" s="320"/>
      <c r="H282" s="44"/>
      <c r="I282" s="122">
        <f t="shared" si="25"/>
        <v>0</v>
      </c>
      <c r="J282" s="122"/>
      <c r="K282" s="284"/>
      <c r="L282" s="231">
        <f t="shared" si="26"/>
        <v>0</v>
      </c>
      <c r="M282" s="313"/>
      <c r="N282" s="313"/>
    </row>
    <row r="283" spans="1:16" ht="11.15" customHeight="1" x14ac:dyDescent="0.25">
      <c r="A283" s="21">
        <v>33</v>
      </c>
      <c r="B283" s="234">
        <v>33</v>
      </c>
      <c r="C283" s="133"/>
      <c r="D283" s="42"/>
      <c r="E283" s="318"/>
      <c r="F283" s="43"/>
      <c r="G283" s="320"/>
      <c r="H283" s="44"/>
      <c r="I283" s="133"/>
      <c r="J283" s="133"/>
      <c r="K283" s="284"/>
      <c r="L283" s="316"/>
      <c r="M283" s="313"/>
      <c r="N283" s="313"/>
    </row>
    <row r="284" spans="1:16" ht="11.15" customHeight="1" x14ac:dyDescent="0.25">
      <c r="A284" s="21">
        <v>34</v>
      </c>
      <c r="B284" s="133"/>
      <c r="C284" s="133"/>
      <c r="D284" s="42"/>
      <c r="E284" s="318"/>
      <c r="F284" s="43"/>
      <c r="G284" s="320"/>
      <c r="H284" s="44"/>
      <c r="I284" s="133"/>
      <c r="J284" s="133"/>
      <c r="K284" s="284"/>
      <c r="L284" s="316"/>
      <c r="M284" s="313"/>
      <c r="N284" s="313"/>
    </row>
    <row r="285" spans="1:16" ht="11.15" customHeight="1" x14ac:dyDescent="0.25">
      <c r="A285" s="21">
        <v>35</v>
      </c>
      <c r="B285" s="133"/>
      <c r="C285" s="171"/>
      <c r="D285" s="293"/>
      <c r="E285" s="319"/>
      <c r="F285" s="294"/>
      <c r="G285" s="322"/>
      <c r="H285" s="295"/>
      <c r="I285" s="171"/>
      <c r="J285" s="171"/>
      <c r="K285" s="286"/>
      <c r="L285" s="314"/>
      <c r="M285" s="313"/>
      <c r="N285" s="313"/>
    </row>
    <row r="286" spans="1:16" ht="11.15" customHeight="1" x14ac:dyDescent="0.25">
      <c r="A286" s="480"/>
      <c r="B286" s="481"/>
      <c r="D286" s="260"/>
      <c r="E286" s="260"/>
      <c r="F286" s="260"/>
      <c r="G286" s="260"/>
      <c r="H286" s="260"/>
      <c r="I286" s="232"/>
      <c r="J286" s="232"/>
      <c r="K286" s="281"/>
      <c r="L286" s="300"/>
      <c r="M286" s="313"/>
      <c r="N286" s="313"/>
    </row>
    <row r="287" spans="1:16" ht="11.15" customHeight="1" x14ac:dyDescent="0.3">
      <c r="A287" s="485"/>
      <c r="B287" s="486"/>
      <c r="C287" s="276" t="s">
        <v>71</v>
      </c>
      <c r="D287" s="312"/>
      <c r="E287" s="39"/>
      <c r="F287" s="312"/>
      <c r="G287" s="39"/>
      <c r="H287" s="312"/>
      <c r="I287" s="312"/>
      <c r="J287" s="39"/>
      <c r="K287" s="312">
        <f>COUNTIF(K251:K285,"&gt;=79,5")</f>
        <v>0</v>
      </c>
      <c r="L287" s="366">
        <f>COUNTIF(L251:L285,"&gt;=79,5")</f>
        <v>0</v>
      </c>
      <c r="M287" s="313"/>
      <c r="N287" s="313"/>
      <c r="O287" s="356">
        <f>COUNTIF(O251:O285,"&gt;=79,5")</f>
        <v>0</v>
      </c>
      <c r="P287" s="125"/>
    </row>
    <row r="288" spans="1:16" ht="11.15" customHeight="1" x14ac:dyDescent="0.3">
      <c r="A288" s="482"/>
      <c r="B288" s="483"/>
      <c r="C288" s="273" t="s">
        <v>72</v>
      </c>
      <c r="D288" s="304"/>
      <c r="E288" s="42"/>
      <c r="F288" s="304"/>
      <c r="G288" s="42"/>
      <c r="H288" s="304"/>
      <c r="I288" s="304"/>
      <c r="J288" s="42"/>
      <c r="K288" s="304">
        <f>COUNTIF(K251:K285,"&lt;79,5")</f>
        <v>0</v>
      </c>
      <c r="L288" s="357">
        <f>COUNTIF(L251:L285,"&lt;79,5")</f>
        <v>32</v>
      </c>
      <c r="M288" s="313"/>
      <c r="N288" s="313"/>
      <c r="O288" s="357">
        <f>COUNTIF(O251:O285,"&lt;79,5")</f>
        <v>0</v>
      </c>
      <c r="P288" s="125"/>
    </row>
    <row r="289" spans="1:16" ht="11.15" customHeight="1" x14ac:dyDescent="0.3">
      <c r="A289" s="482"/>
      <c r="B289" s="483"/>
      <c r="C289" s="273" t="s">
        <v>73</v>
      </c>
      <c r="D289" s="304"/>
      <c r="E289" s="42"/>
      <c r="F289" s="304"/>
      <c r="G289" s="42"/>
      <c r="H289" s="304"/>
      <c r="I289" s="304"/>
      <c r="J289" s="42"/>
      <c r="K289" s="304">
        <f>MIN(K251:K285)</f>
        <v>0</v>
      </c>
      <c r="L289" s="358">
        <f>MIN(L251:L285)</f>
        <v>0</v>
      </c>
      <c r="M289" s="313"/>
      <c r="N289" s="313"/>
      <c r="O289" s="358">
        <f>MIN(O251:O285)</f>
        <v>0</v>
      </c>
      <c r="P289" s="427"/>
    </row>
    <row r="290" spans="1:16" ht="11.15" customHeight="1" x14ac:dyDescent="0.3">
      <c r="A290" s="482"/>
      <c r="B290" s="483"/>
      <c r="C290" s="273" t="s">
        <v>74</v>
      </c>
      <c r="D290" s="304"/>
      <c r="E290" s="42"/>
      <c r="F290" s="304"/>
      <c r="G290" s="42"/>
      <c r="H290" s="304"/>
      <c r="I290" s="304"/>
      <c r="J290" s="42"/>
      <c r="K290" s="304">
        <f>MAX(K251:K285)</f>
        <v>0</v>
      </c>
      <c r="L290" s="358">
        <f>MAX(L251:L285)</f>
        <v>0</v>
      </c>
      <c r="M290" s="313"/>
      <c r="N290" s="313"/>
      <c r="O290" s="358">
        <f>MAX(O251:O285)</f>
        <v>0</v>
      </c>
      <c r="P290" s="427"/>
    </row>
    <row r="291" spans="1:16" ht="11.15" customHeight="1" x14ac:dyDescent="0.3">
      <c r="A291" s="475"/>
      <c r="B291" s="476"/>
      <c r="C291" s="274" t="s">
        <v>75</v>
      </c>
      <c r="D291" s="305"/>
      <c r="E291" s="136"/>
      <c r="F291" s="305"/>
      <c r="G291" s="136"/>
      <c r="H291" s="305"/>
      <c r="I291" s="305"/>
      <c r="J291" s="136"/>
      <c r="K291" s="305" t="e">
        <f>AVERAGE(K251:K285)</f>
        <v>#DIV/0!</v>
      </c>
      <c r="L291" s="359">
        <f>AVERAGE(L251:L285)</f>
        <v>0</v>
      </c>
      <c r="M291" s="313"/>
      <c r="N291" s="313"/>
      <c r="O291" s="359" t="e">
        <f>AVERAGE(O251:O285)</f>
        <v>#DIV/0!</v>
      </c>
      <c r="P291" s="427"/>
    </row>
    <row r="292" spans="1:16" ht="11.15" customHeight="1" x14ac:dyDescent="0.25">
      <c r="D292" s="277"/>
      <c r="E292" s="277"/>
      <c r="F292" s="277"/>
      <c r="G292" s="277"/>
      <c r="H292" s="277"/>
      <c r="L292" s="173"/>
      <c r="M292" s="313"/>
      <c r="N292" s="313"/>
    </row>
    <row r="293" spans="1:16" x14ac:dyDescent="0.25">
      <c r="L293" s="173"/>
    </row>
  </sheetData>
  <mergeCells count="123">
    <mergeCell ref="P4:Q4"/>
    <mergeCell ref="P53:Q53"/>
    <mergeCell ref="P102:Q102"/>
    <mergeCell ref="P151:Q151"/>
    <mergeCell ref="P200:Q200"/>
    <mergeCell ref="N200:N201"/>
    <mergeCell ref="O200:O201"/>
    <mergeCell ref="N53:N54"/>
    <mergeCell ref="O53:O54"/>
    <mergeCell ref="N100:O100"/>
    <mergeCell ref="N247:O247"/>
    <mergeCell ref="N248:O248"/>
    <mergeCell ref="N249:N250"/>
    <mergeCell ref="O249:O250"/>
    <mergeCell ref="N149:O149"/>
    <mergeCell ref="N150:O150"/>
    <mergeCell ref="N151:N152"/>
    <mergeCell ref="O151:O152"/>
    <mergeCell ref="N198:O198"/>
    <mergeCell ref="N199:O199"/>
    <mergeCell ref="N101:O101"/>
    <mergeCell ref="N102:N103"/>
    <mergeCell ref="O102:O103"/>
    <mergeCell ref="N2:O2"/>
    <mergeCell ref="N3:O3"/>
    <mergeCell ref="N4:N5"/>
    <mergeCell ref="O4:O5"/>
    <mergeCell ref="N51:O51"/>
    <mergeCell ref="N52:O52"/>
    <mergeCell ref="C200:C201"/>
    <mergeCell ref="C102:C103"/>
    <mergeCell ref="D102:H102"/>
    <mergeCell ref="L102:L103"/>
    <mergeCell ref="A90:B90"/>
    <mergeCell ref="C249:C250"/>
    <mergeCell ref="D249:H249"/>
    <mergeCell ref="L249:L250"/>
    <mergeCell ref="A151:A152"/>
    <mergeCell ref="C151:C152"/>
    <mergeCell ref="D151:H151"/>
    <mergeCell ref="A53:A54"/>
    <mergeCell ref="C53:C54"/>
    <mergeCell ref="A45:B45"/>
    <mergeCell ref="A46:B46"/>
    <mergeCell ref="A47:B47"/>
    <mergeCell ref="A50:B50"/>
    <mergeCell ref="A51:B51"/>
    <mergeCell ref="A91:B91"/>
    <mergeCell ref="A92:B92"/>
    <mergeCell ref="C1:L1"/>
    <mergeCell ref="C246:L246"/>
    <mergeCell ref="C4:C5"/>
    <mergeCell ref="L4:L5"/>
    <mergeCell ref="D200:H200"/>
    <mergeCell ref="Q2:Q3"/>
    <mergeCell ref="Q51:Q52"/>
    <mergeCell ref="Q100:Q101"/>
    <mergeCell ref="Q149:Q150"/>
    <mergeCell ref="Q198:Q199"/>
    <mergeCell ref="A1:B1"/>
    <mergeCell ref="A2:B2"/>
    <mergeCell ref="A41:B41"/>
    <mergeCell ref="A42:B42"/>
    <mergeCell ref="A43:B43"/>
    <mergeCell ref="A44:B44"/>
    <mergeCell ref="A4:A5"/>
    <mergeCell ref="A93:B93"/>
    <mergeCell ref="A94:B94"/>
    <mergeCell ref="A95:B95"/>
    <mergeCell ref="A96:B96"/>
    <mergeCell ref="A99:B99"/>
    <mergeCell ref="A101:B101"/>
    <mergeCell ref="A139:B139"/>
    <mergeCell ref="A140:B140"/>
    <mergeCell ref="A141:B141"/>
    <mergeCell ref="A142:B142"/>
    <mergeCell ref="A102:A103"/>
    <mergeCell ref="A143:B143"/>
    <mergeCell ref="A144:B144"/>
    <mergeCell ref="A145:B145"/>
    <mergeCell ref="A148:B148"/>
    <mergeCell ref="A150:B150"/>
    <mergeCell ref="A188:B188"/>
    <mergeCell ref="A189:B189"/>
    <mergeCell ref="A190:B190"/>
    <mergeCell ref="A191:B191"/>
    <mergeCell ref="A192:B192"/>
    <mergeCell ref="A193:B193"/>
    <mergeCell ref="A194:B194"/>
    <mergeCell ref="A197:B197"/>
    <mergeCell ref="A199:B199"/>
    <mergeCell ref="A237:B237"/>
    <mergeCell ref="A238:B238"/>
    <mergeCell ref="A200:A201"/>
    <mergeCell ref="A288:B288"/>
    <mergeCell ref="A289:B289"/>
    <mergeCell ref="A287:B287"/>
    <mergeCell ref="A290:B290"/>
    <mergeCell ref="A239:B239"/>
    <mergeCell ref="A240:B240"/>
    <mergeCell ref="A241:B241"/>
    <mergeCell ref="A242:B242"/>
    <mergeCell ref="A243:B243"/>
    <mergeCell ref="A246:B246"/>
    <mergeCell ref="A249:A250"/>
    <mergeCell ref="J249:K249"/>
    <mergeCell ref="A291:B291"/>
    <mergeCell ref="D4:H4"/>
    <mergeCell ref="D53:H53"/>
    <mergeCell ref="C50:L50"/>
    <mergeCell ref="C99:L99"/>
    <mergeCell ref="C148:L148"/>
    <mergeCell ref="C197:L197"/>
    <mergeCell ref="A248:B248"/>
    <mergeCell ref="A286:B286"/>
    <mergeCell ref="L200:L201"/>
    <mergeCell ref="L53:L54"/>
    <mergeCell ref="L151:L152"/>
    <mergeCell ref="J4:K4"/>
    <mergeCell ref="J53:K53"/>
    <mergeCell ref="J102:K102"/>
    <mergeCell ref="J151:K151"/>
    <mergeCell ref="J200:K200"/>
  </mergeCells>
  <pageMargins left="1.39" right="0.11" top="0.55000000000000004" bottom="0.3" header="0.12" footer="0.11"/>
  <pageSetup paperSize="5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E9A6-B345-4A03-8B1D-CC1FB3232A5E}">
  <dimension ref="A1:X44"/>
  <sheetViews>
    <sheetView zoomScale="80" zoomScaleNormal="80" workbookViewId="0">
      <selection activeCell="D49" sqref="D49"/>
    </sheetView>
  </sheetViews>
  <sheetFormatPr defaultRowHeight="12.5" x14ac:dyDescent="0.25"/>
  <cols>
    <col min="1" max="1" width="4.26953125" customWidth="1"/>
    <col min="2" max="2" width="13.7265625" customWidth="1"/>
    <col min="3" max="3" width="5" customWidth="1"/>
    <col min="4" max="4" width="7.453125" customWidth="1"/>
    <col min="5" max="5" width="4.453125" customWidth="1"/>
    <col min="6" max="6" width="12.453125" customWidth="1"/>
    <col min="7" max="7" width="4.54296875" customWidth="1"/>
    <col min="8" max="8" width="6.7265625" customWidth="1"/>
    <col min="9" max="9" width="3.54296875" customWidth="1"/>
    <col min="10" max="10" width="14.54296875" customWidth="1"/>
    <col min="11" max="11" width="5.453125" customWidth="1"/>
    <col min="12" max="12" width="6.7265625" customWidth="1"/>
    <col min="13" max="13" width="4.54296875" customWidth="1"/>
    <col min="14" max="14" width="14.81640625" customWidth="1"/>
    <col min="15" max="15" width="5.81640625" customWidth="1"/>
    <col min="16" max="16" width="5" customWidth="1"/>
    <col min="17" max="17" width="4.26953125" customWidth="1"/>
    <col min="18" max="18" width="13.7265625" customWidth="1"/>
    <col min="19" max="19" width="5.26953125" customWidth="1"/>
    <col min="20" max="20" width="6" customWidth="1"/>
    <col min="21" max="21" width="3.1796875" customWidth="1"/>
    <col min="22" max="22" width="13.81640625" customWidth="1"/>
    <col min="23" max="23" width="4.26953125" customWidth="1"/>
    <col min="24" max="24" width="5.81640625" customWidth="1"/>
  </cols>
  <sheetData>
    <row r="1" spans="1:24" ht="15.5" x14ac:dyDescent="0.35">
      <c r="A1" s="503" t="s">
        <v>490</v>
      </c>
      <c r="B1" s="503"/>
      <c r="C1" s="503"/>
      <c r="D1" s="212"/>
      <c r="E1" s="503" t="str">
        <f>A1</f>
        <v>NILAI UJIAN MATMK</v>
      </c>
      <c r="F1" s="503"/>
      <c r="G1" s="503"/>
      <c r="H1" s="212"/>
      <c r="I1" s="503" t="str">
        <f>E1</f>
        <v>NILAI UJIAN MATMK</v>
      </c>
      <c r="J1" s="503"/>
      <c r="K1" s="503"/>
      <c r="L1" s="212"/>
      <c r="M1" s="503" t="str">
        <f>I1</f>
        <v>NILAI UJIAN MATMK</v>
      </c>
      <c r="N1" s="503"/>
      <c r="O1" s="503"/>
      <c r="P1" s="212"/>
      <c r="Q1" s="503" t="str">
        <f>M1</f>
        <v>NILAI UJIAN MATMK</v>
      </c>
      <c r="R1" s="503"/>
      <c r="S1" s="503"/>
      <c r="T1" s="212"/>
      <c r="U1" s="503" t="str">
        <f>Q1</f>
        <v>NILAI UJIAN MATMK</v>
      </c>
      <c r="V1" s="503"/>
      <c r="W1" s="503"/>
      <c r="X1" s="213"/>
    </row>
    <row r="2" spans="1:24" ht="18" x14ac:dyDescent="0.25">
      <c r="A2" s="213"/>
      <c r="B2" s="214" t="str">
        <f>DATA!B8</f>
        <v>9A</v>
      </c>
      <c r="C2" s="214"/>
      <c r="D2" s="214"/>
      <c r="E2" s="214"/>
      <c r="F2" s="214" t="str">
        <f>DATA!D8</f>
        <v>9B</v>
      </c>
      <c r="G2" s="214"/>
      <c r="H2" s="214"/>
      <c r="I2" s="214"/>
      <c r="J2" s="214" t="str">
        <f>DATA!F8</f>
        <v>9C</v>
      </c>
      <c r="K2" s="214"/>
      <c r="L2" s="214"/>
      <c r="M2" s="214"/>
      <c r="N2" s="214" t="str">
        <f>DATA!H8</f>
        <v>9D</v>
      </c>
      <c r="O2" s="214"/>
      <c r="P2" s="214"/>
      <c r="Q2" s="214"/>
      <c r="R2" s="214" t="str">
        <f>DATA!J8</f>
        <v>9E</v>
      </c>
      <c r="S2" s="214"/>
      <c r="T2" s="214"/>
      <c r="U2" s="214"/>
      <c r="V2" s="214" t="str">
        <f>DATA!L8</f>
        <v>9F</v>
      </c>
      <c r="W2" s="213"/>
      <c r="X2" s="213"/>
    </row>
    <row r="3" spans="1:24" ht="13" x14ac:dyDescent="0.3">
      <c r="A3" s="215" t="s">
        <v>0</v>
      </c>
      <c r="B3" s="215" t="s">
        <v>2</v>
      </c>
      <c r="C3" s="215" t="s">
        <v>491</v>
      </c>
      <c r="D3" s="450" t="s">
        <v>492</v>
      </c>
      <c r="E3" s="215" t="s">
        <v>0</v>
      </c>
      <c r="F3" s="215" t="s">
        <v>2</v>
      </c>
      <c r="G3" s="215" t="s">
        <v>43</v>
      </c>
      <c r="H3" s="450" t="s">
        <v>492</v>
      </c>
      <c r="I3" s="215" t="s">
        <v>0</v>
      </c>
      <c r="J3" s="215" t="s">
        <v>2</v>
      </c>
      <c r="K3" s="215" t="s">
        <v>43</v>
      </c>
      <c r="L3" s="450" t="s">
        <v>492</v>
      </c>
      <c r="M3" s="215" t="s">
        <v>0</v>
      </c>
      <c r="N3" s="215" t="s">
        <v>2</v>
      </c>
      <c r="O3" s="215" t="s">
        <v>43</v>
      </c>
      <c r="P3" s="450" t="s">
        <v>492</v>
      </c>
      <c r="Q3" s="215" t="s">
        <v>0</v>
      </c>
      <c r="R3" s="215" t="s">
        <v>2</v>
      </c>
      <c r="S3" s="215" t="s">
        <v>43</v>
      </c>
      <c r="T3" s="450" t="s">
        <v>492</v>
      </c>
      <c r="U3" s="215" t="s">
        <v>0</v>
      </c>
      <c r="V3" s="215" t="s">
        <v>2</v>
      </c>
      <c r="W3" s="215" t="s">
        <v>43</v>
      </c>
      <c r="X3" s="450" t="s">
        <v>492</v>
      </c>
    </row>
    <row r="4" spans="1:24" ht="13" x14ac:dyDescent="0.25">
      <c r="A4" s="216">
        <v>1</v>
      </c>
      <c r="B4" s="217" t="str">
        <f>DATA!B10</f>
        <v>Affan Bagus Ramadhani</v>
      </c>
      <c r="C4" s="180">
        <v>39</v>
      </c>
      <c r="D4" s="420">
        <f>C4+15</f>
        <v>54</v>
      </c>
      <c r="E4" s="216">
        <v>1</v>
      </c>
      <c r="F4" s="217" t="str">
        <f>DATA!D10</f>
        <v>Abid Lionel Abdillah</v>
      </c>
      <c r="G4" s="180">
        <v>32</v>
      </c>
      <c r="H4" s="420">
        <f>G4+15</f>
        <v>47</v>
      </c>
      <c r="I4" s="216">
        <v>1</v>
      </c>
      <c r="J4" s="217" t="str">
        <f>DATA!F10</f>
        <v>Ahmad Husain</v>
      </c>
      <c r="K4" s="180">
        <v>40</v>
      </c>
      <c r="L4" s="420">
        <f>K4+15</f>
        <v>55</v>
      </c>
      <c r="M4" s="216">
        <v>1</v>
      </c>
      <c r="N4" s="217" t="str">
        <f>DATA!H10</f>
        <v>Aditya Wahyu Putra Septiadi</v>
      </c>
      <c r="O4" s="180">
        <v>36</v>
      </c>
      <c r="P4" s="420">
        <f>O4+15</f>
        <v>51</v>
      </c>
      <c r="Q4" s="216">
        <v>1</v>
      </c>
      <c r="R4" s="217" t="str">
        <f>DATA!J10</f>
        <v>Adyatma Danendra Abimanyu</v>
      </c>
      <c r="S4" s="180">
        <v>42</v>
      </c>
      <c r="T4" s="420">
        <f>S4+15</f>
        <v>57</v>
      </c>
      <c r="U4" s="216">
        <v>1</v>
      </c>
      <c r="V4" s="217" t="str">
        <f>DATA!L10</f>
        <v>Ahmad Azam Muhanif</v>
      </c>
      <c r="W4" s="180">
        <v>37</v>
      </c>
      <c r="X4" s="420">
        <f>W4+15</f>
        <v>52</v>
      </c>
    </row>
    <row r="5" spans="1:24" ht="13" x14ac:dyDescent="0.25">
      <c r="A5" s="220">
        <v>2</v>
      </c>
      <c r="B5" s="221" t="str">
        <f>DATA!B11</f>
        <v>Affansa Rayya Assalafi</v>
      </c>
      <c r="C5" s="181">
        <v>33</v>
      </c>
      <c r="D5" s="420">
        <f t="shared" ref="D5:D35" si="0">C5+15</f>
        <v>48</v>
      </c>
      <c r="E5" s="220">
        <v>2</v>
      </c>
      <c r="F5" s="221" t="str">
        <f>DATA!D11</f>
        <v>Aditria Bintang Mustofa</v>
      </c>
      <c r="G5" s="181">
        <v>35</v>
      </c>
      <c r="H5" s="420">
        <f t="shared" ref="H5:H35" si="1">G5+15</f>
        <v>50</v>
      </c>
      <c r="I5" s="220">
        <v>2</v>
      </c>
      <c r="J5" s="217" t="str">
        <f>DATA!F11</f>
        <v>Albeth Christian F.</v>
      </c>
      <c r="K5" s="181">
        <v>34</v>
      </c>
      <c r="L5" s="420">
        <f t="shared" ref="L5:L35" si="2">K5+15</f>
        <v>49</v>
      </c>
      <c r="M5" s="220">
        <v>2</v>
      </c>
      <c r="N5" s="221" t="str">
        <f>DATA!H11</f>
        <v>Al Fuzu Daya Satria</v>
      </c>
      <c r="O5" s="181">
        <v>26</v>
      </c>
      <c r="P5" s="420">
        <f t="shared" ref="P5:P34" si="3">O5+15</f>
        <v>41</v>
      </c>
      <c r="Q5" s="220">
        <v>2</v>
      </c>
      <c r="R5" s="221" t="str">
        <f>DATA!J11</f>
        <v>Ainaya Aprillia Azzahra</v>
      </c>
      <c r="S5" s="181">
        <v>37</v>
      </c>
      <c r="T5" s="420">
        <f t="shared" ref="T5:T33" si="4">S5+15</f>
        <v>52</v>
      </c>
      <c r="U5" s="220">
        <v>2</v>
      </c>
      <c r="V5" s="221" t="str">
        <f>DATA!L11</f>
        <v>Ananda Rafa Mahesa Putra</v>
      </c>
      <c r="W5" s="181">
        <v>33</v>
      </c>
      <c r="X5" s="420">
        <f t="shared" ref="X5:X33" si="5">W5+15</f>
        <v>48</v>
      </c>
    </row>
    <row r="6" spans="1:24" ht="13" x14ac:dyDescent="0.25">
      <c r="A6" s="220">
        <v>3</v>
      </c>
      <c r="B6" s="221" t="str">
        <f>DATA!B12</f>
        <v>Agel Fransiska</v>
      </c>
      <c r="C6" s="181">
        <v>32</v>
      </c>
      <c r="D6" s="420">
        <f t="shared" si="0"/>
        <v>47</v>
      </c>
      <c r="E6" s="220">
        <v>3</v>
      </c>
      <c r="F6" s="221" t="str">
        <f>DATA!D12</f>
        <v>Agni Wulan Pramesti</v>
      </c>
      <c r="G6" s="181">
        <v>38</v>
      </c>
      <c r="H6" s="420">
        <f t="shared" si="1"/>
        <v>53</v>
      </c>
      <c r="I6" s="220">
        <v>3</v>
      </c>
      <c r="J6" s="217" t="str">
        <f>DATA!F12</f>
        <v>Alfino Kurniawan</v>
      </c>
      <c r="K6" s="181">
        <v>43</v>
      </c>
      <c r="L6" s="420">
        <f t="shared" si="2"/>
        <v>58</v>
      </c>
      <c r="M6" s="220">
        <v>3</v>
      </c>
      <c r="N6" s="154" t="str">
        <f>DATA!H12</f>
        <v>Amanda Kirana Maharani</v>
      </c>
      <c r="O6" s="181">
        <v>39</v>
      </c>
      <c r="P6" s="420">
        <f t="shared" si="3"/>
        <v>54</v>
      </c>
      <c r="Q6" s="220">
        <v>3</v>
      </c>
      <c r="R6" s="221" t="str">
        <f>DATA!J12</f>
        <v>Alvicko Aprellio Jordan</v>
      </c>
      <c r="S6" s="181">
        <v>41</v>
      </c>
      <c r="T6" s="420">
        <f t="shared" si="4"/>
        <v>56</v>
      </c>
      <c r="U6" s="220">
        <v>3</v>
      </c>
      <c r="V6" s="221" t="str">
        <f>DATA!L12</f>
        <v>Aprian Caysa Raditiansyah</v>
      </c>
      <c r="W6" s="181">
        <v>39</v>
      </c>
      <c r="X6" s="420">
        <f t="shared" si="5"/>
        <v>54</v>
      </c>
    </row>
    <row r="7" spans="1:24" ht="13" x14ac:dyDescent="0.3">
      <c r="A7" s="220">
        <v>4</v>
      </c>
      <c r="B7" s="258" t="str">
        <f>DATA!B13</f>
        <v>Alfin Putra Firmansyah</v>
      </c>
      <c r="C7" s="181">
        <v>45</v>
      </c>
      <c r="D7" s="420">
        <f t="shared" si="0"/>
        <v>60</v>
      </c>
      <c r="E7" s="220">
        <v>4</v>
      </c>
      <c r="F7" s="221" t="str">
        <f>DATA!D13</f>
        <v>Ahmad Irfan Annadif</v>
      </c>
      <c r="G7" s="181">
        <v>43</v>
      </c>
      <c r="H7" s="420">
        <f t="shared" si="1"/>
        <v>58</v>
      </c>
      <c r="I7" s="220">
        <v>4</v>
      </c>
      <c r="J7" s="217" t="str">
        <f>DATA!F13</f>
        <v>Alif Jalu Adil</v>
      </c>
      <c r="K7" s="181">
        <v>54</v>
      </c>
      <c r="L7" s="420">
        <f t="shared" si="2"/>
        <v>69</v>
      </c>
      <c r="M7" s="220">
        <v>4</v>
      </c>
      <c r="N7" s="221" t="str">
        <f>DATA!H13</f>
        <v>Andra Prima Reza</v>
      </c>
      <c r="O7" s="181">
        <v>36</v>
      </c>
      <c r="P7" s="420">
        <f t="shared" si="3"/>
        <v>51</v>
      </c>
      <c r="Q7" s="220">
        <v>4</v>
      </c>
      <c r="R7" s="221" t="str">
        <f>DATA!J13</f>
        <v>Anastain</v>
      </c>
      <c r="S7" s="181">
        <v>33</v>
      </c>
      <c r="T7" s="420">
        <f t="shared" si="4"/>
        <v>48</v>
      </c>
      <c r="U7" s="220">
        <v>4</v>
      </c>
      <c r="V7" s="221" t="str">
        <f>DATA!L13</f>
        <v>Attaya Nadine Vanessa</v>
      </c>
      <c r="W7" s="181">
        <v>44</v>
      </c>
      <c r="X7" s="420">
        <f t="shared" si="5"/>
        <v>59</v>
      </c>
    </row>
    <row r="8" spans="1:24" ht="13" x14ac:dyDescent="0.25">
      <c r="A8" s="220">
        <v>5</v>
      </c>
      <c r="B8" s="221" t="str">
        <f>DATA!B14</f>
        <v>Almira Sadia Qonitah</v>
      </c>
      <c r="C8" s="181">
        <v>31</v>
      </c>
      <c r="D8" s="420">
        <f t="shared" si="0"/>
        <v>46</v>
      </c>
      <c r="E8" s="220">
        <v>5</v>
      </c>
      <c r="F8" s="221" t="str">
        <f>DATA!D14</f>
        <v>Alesha Najwa Adelia</v>
      </c>
      <c r="G8" s="181">
        <v>35</v>
      </c>
      <c r="H8" s="420">
        <f t="shared" si="1"/>
        <v>50</v>
      </c>
      <c r="I8" s="220">
        <v>5</v>
      </c>
      <c r="J8" s="217" t="str">
        <f>DATA!F14</f>
        <v>Almira Tian Az Zahra</v>
      </c>
      <c r="K8" s="181">
        <v>54</v>
      </c>
      <c r="L8" s="420">
        <f t="shared" si="2"/>
        <v>69</v>
      </c>
      <c r="M8" s="220">
        <v>5</v>
      </c>
      <c r="N8" s="221" t="str">
        <f>DATA!H14</f>
        <v>Ayu Safitri Intan Zahwa</v>
      </c>
      <c r="O8" s="181">
        <v>42</v>
      </c>
      <c r="P8" s="420">
        <f t="shared" si="3"/>
        <v>57</v>
      </c>
      <c r="Q8" s="220">
        <v>5</v>
      </c>
      <c r="R8" s="221" t="str">
        <f>DATA!J14</f>
        <v>Angginia Regina Putri</v>
      </c>
      <c r="S8" s="181">
        <v>41</v>
      </c>
      <c r="T8" s="420">
        <f t="shared" si="4"/>
        <v>56</v>
      </c>
      <c r="U8" s="220">
        <v>5</v>
      </c>
      <c r="V8" s="221" t="str">
        <f>DATA!L14</f>
        <v>Dimas Suryo Admodjo</v>
      </c>
      <c r="W8" s="181">
        <v>43</v>
      </c>
      <c r="X8" s="420">
        <f t="shared" si="5"/>
        <v>58</v>
      </c>
    </row>
    <row r="9" spans="1:24" ht="13" x14ac:dyDescent="0.25">
      <c r="A9" s="220">
        <v>6</v>
      </c>
      <c r="B9" s="221" t="str">
        <f>DATA!B15</f>
        <v>Arif Perdana Putra</v>
      </c>
      <c r="C9" s="181">
        <v>31</v>
      </c>
      <c r="D9" s="420">
        <f t="shared" si="0"/>
        <v>46</v>
      </c>
      <c r="E9" s="220">
        <v>6</v>
      </c>
      <c r="F9" s="221" t="str">
        <f>DATA!D15</f>
        <v>Ana Kharisma Wardani</v>
      </c>
      <c r="G9" s="181">
        <v>41</v>
      </c>
      <c r="H9" s="420">
        <f t="shared" si="1"/>
        <v>56</v>
      </c>
      <c r="I9" s="220">
        <v>6</v>
      </c>
      <c r="J9" s="217" t="str">
        <f>DATA!F15</f>
        <v>Alvino Dafa Radhwa Aqilah</v>
      </c>
      <c r="K9" s="181">
        <v>34</v>
      </c>
      <c r="L9" s="420">
        <f t="shared" si="2"/>
        <v>49</v>
      </c>
      <c r="M9" s="220">
        <v>6</v>
      </c>
      <c r="N9" s="221" t="str">
        <f>DATA!H15</f>
        <v>Azzahra Quinnsha Setyana</v>
      </c>
      <c r="O9" s="181">
        <v>36</v>
      </c>
      <c r="P9" s="420">
        <f t="shared" si="3"/>
        <v>51</v>
      </c>
      <c r="Q9" s="220">
        <v>6</v>
      </c>
      <c r="R9" s="221" t="str">
        <f>DATA!J15</f>
        <v>Arfan Faqih Al Hikam</v>
      </c>
      <c r="S9" s="181">
        <v>33</v>
      </c>
      <c r="T9" s="420">
        <f t="shared" si="4"/>
        <v>48</v>
      </c>
      <c r="U9" s="220">
        <v>6</v>
      </c>
      <c r="V9" s="221" t="str">
        <f>DATA!L15</f>
        <v>Dwi Erinadestari</v>
      </c>
      <c r="W9" s="181">
        <v>40</v>
      </c>
      <c r="X9" s="420">
        <f t="shared" si="5"/>
        <v>55</v>
      </c>
    </row>
    <row r="10" spans="1:24" ht="13" x14ac:dyDescent="0.3">
      <c r="A10" s="220">
        <v>7</v>
      </c>
      <c r="B10" s="221" t="str">
        <f>DATA!B16</f>
        <v>Asifa Nariyati</v>
      </c>
      <c r="C10" s="181">
        <v>25</v>
      </c>
      <c r="D10" s="420">
        <f t="shared" si="0"/>
        <v>40</v>
      </c>
      <c r="E10" s="220">
        <v>7</v>
      </c>
      <c r="F10" s="221" t="str">
        <f>DATA!D16</f>
        <v>Angga Rizki Satriya Utama</v>
      </c>
      <c r="G10" s="181">
        <v>30</v>
      </c>
      <c r="H10" s="420">
        <f t="shared" si="1"/>
        <v>45</v>
      </c>
      <c r="I10" s="220">
        <v>7</v>
      </c>
      <c r="J10" s="217" t="str">
        <f>DATA!F16</f>
        <v>Ananda Dhanis Syarifudien</v>
      </c>
      <c r="K10" s="181">
        <v>34</v>
      </c>
      <c r="L10" s="420">
        <f t="shared" si="2"/>
        <v>49</v>
      </c>
      <c r="M10" s="220">
        <v>7</v>
      </c>
      <c r="N10" s="259" t="str">
        <f>DATA!H16</f>
        <v>Bryan Marcanda</v>
      </c>
      <c r="O10" s="181">
        <v>37</v>
      </c>
      <c r="P10" s="420">
        <f t="shared" si="3"/>
        <v>52</v>
      </c>
      <c r="Q10" s="220">
        <v>7</v>
      </c>
      <c r="R10" s="221" t="str">
        <f>DATA!J16</f>
        <v>Bilqis Aura Dayinta</v>
      </c>
      <c r="S10" s="181">
        <v>29</v>
      </c>
      <c r="T10" s="420">
        <f t="shared" si="4"/>
        <v>44</v>
      </c>
      <c r="U10" s="220">
        <v>7</v>
      </c>
      <c r="V10" s="221" t="str">
        <f>DATA!L16</f>
        <v>Eka Yuanita Safa</v>
      </c>
      <c r="W10" s="181">
        <v>39</v>
      </c>
      <c r="X10" s="420">
        <f t="shared" si="5"/>
        <v>54</v>
      </c>
    </row>
    <row r="11" spans="1:24" ht="13" x14ac:dyDescent="0.25">
      <c r="A11" s="220">
        <v>8</v>
      </c>
      <c r="B11" s="221" t="str">
        <f>DATA!B17</f>
        <v>Calvin Mandala Putra</v>
      </c>
      <c r="C11" s="181">
        <v>34</v>
      </c>
      <c r="D11" s="420">
        <f t="shared" si="0"/>
        <v>49</v>
      </c>
      <c r="E11" s="220">
        <v>8</v>
      </c>
      <c r="F11" s="221" t="str">
        <f>DATA!D17</f>
        <v>Ardiyan Vebri Pratama</v>
      </c>
      <c r="G11" s="181">
        <v>34</v>
      </c>
      <c r="H11" s="420">
        <f t="shared" si="1"/>
        <v>49</v>
      </c>
      <c r="I11" s="220">
        <v>8</v>
      </c>
      <c r="J11" s="217" t="str">
        <f>DATA!F17</f>
        <v>Andra Putra Wahyu Baskara</v>
      </c>
      <c r="K11" s="181">
        <v>41</v>
      </c>
      <c r="L11" s="420">
        <f t="shared" si="2"/>
        <v>56</v>
      </c>
      <c r="M11" s="220">
        <v>8</v>
      </c>
      <c r="N11" s="221" t="str">
        <f>DATA!H17</f>
        <v>Chelsea Felita Matiune</v>
      </c>
      <c r="O11" s="181">
        <v>42</v>
      </c>
      <c r="P11" s="420">
        <f t="shared" si="3"/>
        <v>57</v>
      </c>
      <c r="Q11" s="220">
        <v>8</v>
      </c>
      <c r="R11" s="221" t="str">
        <f>DATA!J17</f>
        <v>Chayril Arya Saputra</v>
      </c>
      <c r="S11" s="181">
        <v>32</v>
      </c>
      <c r="T11" s="420">
        <f t="shared" si="4"/>
        <v>47</v>
      </c>
      <c r="U11" s="220">
        <v>8</v>
      </c>
      <c r="V11" s="221" t="str">
        <f>DATA!L17</f>
        <v>Ellisa Adelia Putri</v>
      </c>
      <c r="W11" s="181">
        <v>36</v>
      </c>
      <c r="X11" s="420">
        <f t="shared" si="5"/>
        <v>51</v>
      </c>
    </row>
    <row r="12" spans="1:24" ht="13" x14ac:dyDescent="0.25">
      <c r="A12" s="220">
        <v>9</v>
      </c>
      <c r="B12" s="221" t="str">
        <f>DATA!B18</f>
        <v>Decha Rifqoh Alma Dhini</v>
      </c>
      <c r="C12" s="181">
        <v>40</v>
      </c>
      <c r="D12" s="420">
        <f t="shared" si="0"/>
        <v>55</v>
      </c>
      <c r="E12" s="220">
        <v>9</v>
      </c>
      <c r="F12" s="221" t="str">
        <f>DATA!D18</f>
        <v>Aurel Azza Adellia Putri</v>
      </c>
      <c r="G12" s="181">
        <v>36</v>
      </c>
      <c r="H12" s="420">
        <f t="shared" si="1"/>
        <v>51</v>
      </c>
      <c r="I12" s="220">
        <v>9</v>
      </c>
      <c r="J12" s="217" t="str">
        <f>DATA!F18</f>
        <v>Ardhan Restu Pratama</v>
      </c>
      <c r="K12" s="181">
        <v>53</v>
      </c>
      <c r="L12" s="420">
        <f t="shared" si="2"/>
        <v>68</v>
      </c>
      <c r="M12" s="220">
        <v>9</v>
      </c>
      <c r="N12" s="221" t="str">
        <f>DATA!H18</f>
        <v>Dharma Tegar Sathrya</v>
      </c>
      <c r="O12" s="181">
        <v>49</v>
      </c>
      <c r="P12" s="420">
        <f t="shared" si="3"/>
        <v>64</v>
      </c>
      <c r="Q12" s="220">
        <v>9</v>
      </c>
      <c r="R12" s="221" t="str">
        <f>DATA!J18</f>
        <v>Dinda Cahya Kirana</v>
      </c>
      <c r="S12" s="181">
        <v>72</v>
      </c>
      <c r="T12" s="420">
        <f t="shared" si="4"/>
        <v>87</v>
      </c>
      <c r="U12" s="220">
        <v>9</v>
      </c>
      <c r="V12" s="221" t="str">
        <f>DATA!L18</f>
        <v>Elsa Adinda Putri</v>
      </c>
      <c r="W12" s="181">
        <v>38</v>
      </c>
      <c r="X12" s="420">
        <f t="shared" si="5"/>
        <v>53</v>
      </c>
    </row>
    <row r="13" spans="1:24" ht="13" x14ac:dyDescent="0.25">
      <c r="A13" s="220">
        <v>10</v>
      </c>
      <c r="B13" s="221" t="str">
        <f>DATA!B19</f>
        <v>Fathir Hibatullah Harahap</v>
      </c>
      <c r="C13" s="181">
        <v>35</v>
      </c>
      <c r="D13" s="420">
        <f t="shared" si="0"/>
        <v>50</v>
      </c>
      <c r="E13" s="220">
        <v>10</v>
      </c>
      <c r="F13" s="221" t="str">
        <f>DATA!D19</f>
        <v>Darasti Keyshafa Azumi</v>
      </c>
      <c r="G13" s="181">
        <v>37</v>
      </c>
      <c r="H13" s="420">
        <f t="shared" si="1"/>
        <v>52</v>
      </c>
      <c r="I13" s="220">
        <v>10</v>
      </c>
      <c r="J13" s="217" t="str">
        <f>DATA!F19</f>
        <v>Ardi Setyo Nugroho</v>
      </c>
      <c r="K13" s="181">
        <v>31</v>
      </c>
      <c r="L13" s="420">
        <f t="shared" si="2"/>
        <v>46</v>
      </c>
      <c r="M13" s="220">
        <v>10</v>
      </c>
      <c r="N13" s="154" t="str">
        <f>DATA!H19</f>
        <v>Eza Septian Dinata</v>
      </c>
      <c r="O13" s="181">
        <v>35</v>
      </c>
      <c r="P13" s="420">
        <f t="shared" si="3"/>
        <v>50</v>
      </c>
      <c r="Q13" s="220">
        <v>10</v>
      </c>
      <c r="R13" s="221" t="str">
        <f>DATA!J19</f>
        <v>Farhan Safiy Devangga</v>
      </c>
      <c r="S13" s="181">
        <v>33</v>
      </c>
      <c r="T13" s="420">
        <f t="shared" si="4"/>
        <v>48</v>
      </c>
      <c r="U13" s="220">
        <v>10</v>
      </c>
      <c r="V13" s="221" t="str">
        <f>DATA!L19</f>
        <v>Erick Putra Wijaya</v>
      </c>
      <c r="W13" s="181">
        <v>23</v>
      </c>
      <c r="X13" s="420">
        <f t="shared" si="5"/>
        <v>38</v>
      </c>
    </row>
    <row r="14" spans="1:24" ht="13" x14ac:dyDescent="0.25">
      <c r="A14" s="220">
        <v>11</v>
      </c>
      <c r="B14" s="221" t="str">
        <f>DATA!B20</f>
        <v>Gendhis Putri Ayreanti</v>
      </c>
      <c r="C14" s="181">
        <v>35</v>
      </c>
      <c r="D14" s="420">
        <f t="shared" si="0"/>
        <v>50</v>
      </c>
      <c r="E14" s="220">
        <v>11</v>
      </c>
      <c r="F14" s="221" t="str">
        <f>DATA!D20</f>
        <v>Dea Resti Lian Dana Sari</v>
      </c>
      <c r="G14" s="181">
        <v>85</v>
      </c>
      <c r="H14" s="420">
        <f t="shared" si="1"/>
        <v>100</v>
      </c>
      <c r="I14" s="220">
        <v>11</v>
      </c>
      <c r="J14" s="217" t="str">
        <f>DATA!F20</f>
        <v>Az Zahra Aulia Rahma</v>
      </c>
      <c r="K14" s="181">
        <v>38</v>
      </c>
      <c r="L14" s="420">
        <f t="shared" si="2"/>
        <v>53</v>
      </c>
      <c r="M14" s="220">
        <v>11</v>
      </c>
      <c r="N14" s="221" t="str">
        <f>DATA!H20</f>
        <v>Hadi Khoirul Anwar</v>
      </c>
      <c r="O14" s="181">
        <v>40</v>
      </c>
      <c r="P14" s="420">
        <f t="shared" si="3"/>
        <v>55</v>
      </c>
      <c r="Q14" s="220">
        <v>11</v>
      </c>
      <c r="R14" s="221" t="str">
        <f>DATA!J20</f>
        <v>Herlin Eka Noviana</v>
      </c>
      <c r="S14" s="181">
        <v>38</v>
      </c>
      <c r="T14" s="420">
        <f t="shared" si="4"/>
        <v>53</v>
      </c>
      <c r="U14" s="220">
        <v>11</v>
      </c>
      <c r="V14" s="221" t="str">
        <f>DATA!L20</f>
        <v>Intan Qurrota A'Yun</v>
      </c>
      <c r="W14" s="181">
        <v>44</v>
      </c>
      <c r="X14" s="420">
        <f t="shared" si="5"/>
        <v>59</v>
      </c>
    </row>
    <row r="15" spans="1:24" ht="13" x14ac:dyDescent="0.25">
      <c r="A15" s="220">
        <v>12</v>
      </c>
      <c r="B15" s="221" t="str">
        <f>DATA!B21</f>
        <v>Habibi Lazuardi</v>
      </c>
      <c r="C15" s="181">
        <v>39</v>
      </c>
      <c r="D15" s="420">
        <f t="shared" si="0"/>
        <v>54</v>
      </c>
      <c r="E15" s="220">
        <v>12</v>
      </c>
      <c r="F15" s="221" t="str">
        <f>DATA!D21</f>
        <v>Desta Dwi Lestari</v>
      </c>
      <c r="G15" s="181">
        <v>48</v>
      </c>
      <c r="H15" s="420">
        <f t="shared" si="1"/>
        <v>63</v>
      </c>
      <c r="I15" s="220">
        <v>12</v>
      </c>
      <c r="J15" s="217" t="str">
        <f>DATA!F21</f>
        <v>Desti Dwi Wahyuni</v>
      </c>
      <c r="K15" s="181">
        <v>39</v>
      </c>
      <c r="L15" s="420">
        <f t="shared" si="2"/>
        <v>54</v>
      </c>
      <c r="M15" s="220">
        <v>12</v>
      </c>
      <c r="N15" s="221" t="str">
        <f>DATA!H21</f>
        <v>Ica Nur Setyo Anugrah</v>
      </c>
      <c r="O15" s="181">
        <v>30</v>
      </c>
      <c r="P15" s="420">
        <f t="shared" si="3"/>
        <v>45</v>
      </c>
      <c r="Q15" s="220">
        <v>12</v>
      </c>
      <c r="R15" s="221" t="str">
        <f>DATA!J21</f>
        <v>Irfan Al Khafidz</v>
      </c>
      <c r="S15" s="181">
        <v>34</v>
      </c>
      <c r="T15" s="420">
        <f t="shared" si="4"/>
        <v>49</v>
      </c>
      <c r="U15" s="220">
        <v>12</v>
      </c>
      <c r="V15" s="221" t="str">
        <f>DATA!L21</f>
        <v>Johan Renaldi</v>
      </c>
      <c r="W15" s="181">
        <v>34</v>
      </c>
      <c r="X15" s="420">
        <f t="shared" si="5"/>
        <v>49</v>
      </c>
    </row>
    <row r="16" spans="1:24" ht="13" x14ac:dyDescent="0.3">
      <c r="A16" s="220">
        <v>13</v>
      </c>
      <c r="B16" s="221" t="str">
        <f>DATA!B22</f>
        <v>Herina Sasha Rasati</v>
      </c>
      <c r="C16" s="174">
        <v>40</v>
      </c>
      <c r="D16" s="420">
        <f t="shared" si="0"/>
        <v>55</v>
      </c>
      <c r="E16" s="220">
        <v>13</v>
      </c>
      <c r="F16" s="221" t="str">
        <f>DATA!D22</f>
        <v>Faaz Nizzar Ardiansyah</v>
      </c>
      <c r="G16" s="174">
        <v>24</v>
      </c>
      <c r="H16" s="420">
        <f t="shared" si="1"/>
        <v>39</v>
      </c>
      <c r="I16" s="220">
        <v>13</v>
      </c>
      <c r="J16" s="217" t="str">
        <f>DATA!F22</f>
        <v>Dominikus Febri Andrean</v>
      </c>
      <c r="K16" s="174">
        <v>51</v>
      </c>
      <c r="L16" s="420">
        <f t="shared" si="2"/>
        <v>66</v>
      </c>
      <c r="M16" s="220">
        <v>13</v>
      </c>
      <c r="N16" s="221" t="str">
        <f>DATA!H22</f>
        <v>Jihan Aliya Kamil Alfayari</v>
      </c>
      <c r="O16" s="174">
        <v>46</v>
      </c>
      <c r="P16" s="420">
        <f t="shared" si="3"/>
        <v>61</v>
      </c>
      <c r="Q16" s="220">
        <v>13</v>
      </c>
      <c r="R16" s="221" t="str">
        <f>DATA!J22</f>
        <v>Mafaza Ayatussyifa</v>
      </c>
      <c r="S16" s="174">
        <v>34</v>
      </c>
      <c r="T16" s="420">
        <f t="shared" si="4"/>
        <v>49</v>
      </c>
      <c r="U16" s="220">
        <v>13</v>
      </c>
      <c r="V16" s="221" t="str">
        <f>DATA!L22</f>
        <v>Lituhayu Sabrina</v>
      </c>
      <c r="W16" s="174">
        <v>47</v>
      </c>
      <c r="X16" s="420">
        <f t="shared" si="5"/>
        <v>62</v>
      </c>
    </row>
    <row r="17" spans="1:24" ht="13" x14ac:dyDescent="0.25">
      <c r="A17" s="220">
        <v>14</v>
      </c>
      <c r="B17" s="221" t="str">
        <f>DATA!B23</f>
        <v>Ivan Adi Saputra</v>
      </c>
      <c r="C17" s="181">
        <v>33</v>
      </c>
      <c r="D17" s="420">
        <f t="shared" si="0"/>
        <v>48</v>
      </c>
      <c r="E17" s="220">
        <v>14</v>
      </c>
      <c r="F17" s="221" t="str">
        <f>DATA!D23</f>
        <v>Hazel Javier Ozora</v>
      </c>
      <c r="G17" s="181">
        <v>38</v>
      </c>
      <c r="H17" s="420">
        <f t="shared" si="1"/>
        <v>53</v>
      </c>
      <c r="I17" s="220">
        <v>14</v>
      </c>
      <c r="J17" s="217" t="str">
        <f>DATA!F23</f>
        <v>Evan Lingga Kurnia Zaen</v>
      </c>
      <c r="K17" s="181">
        <v>39</v>
      </c>
      <c r="L17" s="420">
        <f t="shared" si="2"/>
        <v>54</v>
      </c>
      <c r="M17" s="220">
        <v>14</v>
      </c>
      <c r="N17" s="221" t="str">
        <f>DATA!H23</f>
        <v>Keisya Bily Ferlista</v>
      </c>
      <c r="O17" s="181">
        <v>44</v>
      </c>
      <c r="P17" s="420">
        <f t="shared" si="3"/>
        <v>59</v>
      </c>
      <c r="Q17" s="220">
        <v>14</v>
      </c>
      <c r="R17" s="221" t="str">
        <f>DATA!J23</f>
        <v>Mirzanatun Kuni Afifah</v>
      </c>
      <c r="S17" s="181">
        <v>38</v>
      </c>
      <c r="T17" s="420">
        <f t="shared" si="4"/>
        <v>53</v>
      </c>
      <c r="U17" s="220">
        <v>14</v>
      </c>
      <c r="V17" s="221" t="str">
        <f>DATA!L23</f>
        <v>Luthfi Az Zahra Aulyvia</v>
      </c>
      <c r="W17" s="181">
        <v>24</v>
      </c>
      <c r="X17" s="420">
        <f t="shared" si="5"/>
        <v>39</v>
      </c>
    </row>
    <row r="18" spans="1:24" ht="13" x14ac:dyDescent="0.25">
      <c r="A18" s="220">
        <v>15</v>
      </c>
      <c r="B18" s="221" t="str">
        <f>DATA!B24</f>
        <v>Ivander Veda Ardyanta</v>
      </c>
      <c r="C18" s="181">
        <v>47</v>
      </c>
      <c r="D18" s="420">
        <f t="shared" si="0"/>
        <v>62</v>
      </c>
      <c r="E18" s="220">
        <v>15</v>
      </c>
      <c r="F18" s="221" t="str">
        <f>DATA!D24</f>
        <v>Indika Dwi Laksono</v>
      </c>
      <c r="G18" s="181">
        <v>37</v>
      </c>
      <c r="H18" s="420">
        <f t="shared" si="1"/>
        <v>52</v>
      </c>
      <c r="I18" s="220">
        <v>15</v>
      </c>
      <c r="J18" s="217" t="str">
        <f>DATA!F24</f>
        <v>Fathan Syahrul Anan</v>
      </c>
      <c r="K18" s="181">
        <v>39</v>
      </c>
      <c r="L18" s="420">
        <f t="shared" si="2"/>
        <v>54</v>
      </c>
      <c r="M18" s="220">
        <v>15</v>
      </c>
      <c r="N18" s="221" t="str">
        <f>DATA!H24</f>
        <v>Muhammad Rafi Ma'Arif</v>
      </c>
      <c r="O18" s="181">
        <v>35</v>
      </c>
      <c r="P18" s="420">
        <f t="shared" si="3"/>
        <v>50</v>
      </c>
      <c r="Q18" s="220">
        <v>15</v>
      </c>
      <c r="R18" s="221" t="str">
        <f>DATA!J24</f>
        <v>Muhammad Adil Chizqi Azwan</v>
      </c>
      <c r="S18" s="181">
        <v>29</v>
      </c>
      <c r="T18" s="420">
        <f t="shared" si="4"/>
        <v>44</v>
      </c>
      <c r="U18" s="220">
        <v>15</v>
      </c>
      <c r="V18" s="221" t="str">
        <f>DATA!L24</f>
        <v>Maulana Rizki Kurniawan</v>
      </c>
      <c r="W18" s="181">
        <v>35</v>
      </c>
      <c r="X18" s="420">
        <f t="shared" si="5"/>
        <v>50</v>
      </c>
    </row>
    <row r="19" spans="1:24" ht="13" x14ac:dyDescent="0.25">
      <c r="A19" s="220">
        <v>16</v>
      </c>
      <c r="B19" s="221" t="str">
        <f>DATA!B25</f>
        <v>Keysa Lutfi Yana Putri</v>
      </c>
      <c r="C19" s="181">
        <v>41</v>
      </c>
      <c r="D19" s="420">
        <f t="shared" si="0"/>
        <v>56</v>
      </c>
      <c r="E19" s="220">
        <v>16</v>
      </c>
      <c r="F19" s="221" t="str">
        <f>DATA!D25</f>
        <v>Indra Rahma Azzahra</v>
      </c>
      <c r="G19" s="181">
        <v>54</v>
      </c>
      <c r="H19" s="420">
        <f t="shared" si="1"/>
        <v>69</v>
      </c>
      <c r="I19" s="220">
        <v>16</v>
      </c>
      <c r="J19" s="217" t="str">
        <f>DATA!F25</f>
        <v>Fina Uzlifatil Jannah</v>
      </c>
      <c r="K19" s="181">
        <v>39</v>
      </c>
      <c r="L19" s="420">
        <f t="shared" si="2"/>
        <v>54</v>
      </c>
      <c r="M19" s="220">
        <v>16</v>
      </c>
      <c r="N19" s="221" t="str">
        <f>DATA!H25</f>
        <v>Nafis Aufan Ahsanulkarim</v>
      </c>
      <c r="O19" s="181">
        <v>47</v>
      </c>
      <c r="P19" s="420">
        <f t="shared" si="3"/>
        <v>62</v>
      </c>
      <c r="Q19" s="220">
        <v>16</v>
      </c>
      <c r="R19" s="221" t="str">
        <f>DATA!J25</f>
        <v>Muhammad Alif Aditya Hartafi</v>
      </c>
      <c r="S19" s="181">
        <v>36</v>
      </c>
      <c r="T19" s="420">
        <f t="shared" si="4"/>
        <v>51</v>
      </c>
      <c r="U19" s="220">
        <v>16</v>
      </c>
      <c r="V19" s="221" t="str">
        <f>DATA!L25</f>
        <v>Meisya Anindita</v>
      </c>
      <c r="W19" s="181">
        <v>37</v>
      </c>
      <c r="X19" s="420">
        <f t="shared" si="5"/>
        <v>52</v>
      </c>
    </row>
    <row r="20" spans="1:24" ht="13" x14ac:dyDescent="0.25">
      <c r="A20" s="220">
        <v>17</v>
      </c>
      <c r="B20" s="221" t="str">
        <f>DATA!B26</f>
        <v>Khanaya Putri Emeyliana</v>
      </c>
      <c r="C20" s="181">
        <v>35</v>
      </c>
      <c r="D20" s="420">
        <f t="shared" si="0"/>
        <v>50</v>
      </c>
      <c r="E20" s="220">
        <v>17</v>
      </c>
      <c r="F20" s="221" t="str">
        <f>DATA!D26</f>
        <v>Lutfia Asri Wahyuni</v>
      </c>
      <c r="G20" s="181">
        <v>38</v>
      </c>
      <c r="H20" s="420">
        <f t="shared" si="1"/>
        <v>53</v>
      </c>
      <c r="I20" s="220">
        <v>17</v>
      </c>
      <c r="J20" s="217" t="str">
        <f>DATA!F26</f>
        <v>Hafidz Nugeroho</v>
      </c>
      <c r="K20" s="181">
        <v>29</v>
      </c>
      <c r="L20" s="420">
        <f t="shared" si="2"/>
        <v>44</v>
      </c>
      <c r="M20" s="220">
        <v>17</v>
      </c>
      <c r="N20" s="221" t="str">
        <f>DATA!H26</f>
        <v>Nayla Azalia Lathifah</v>
      </c>
      <c r="O20" s="181">
        <v>42</v>
      </c>
      <c r="P20" s="420">
        <f t="shared" si="3"/>
        <v>57</v>
      </c>
      <c r="Q20" s="220">
        <v>17</v>
      </c>
      <c r="R20" s="221" t="str">
        <f>DATA!J26</f>
        <v>Muhammad Azid Syaifurridho</v>
      </c>
      <c r="S20" s="181">
        <v>26</v>
      </c>
      <c r="T20" s="420">
        <f t="shared" si="4"/>
        <v>41</v>
      </c>
      <c r="U20" s="220">
        <v>17</v>
      </c>
      <c r="V20" s="221" t="str">
        <f>DATA!L26</f>
        <v>Melilea Azahra</v>
      </c>
      <c r="W20" s="181">
        <v>44</v>
      </c>
      <c r="X20" s="420">
        <f t="shared" si="5"/>
        <v>59</v>
      </c>
    </row>
    <row r="21" spans="1:24" ht="13" x14ac:dyDescent="0.25">
      <c r="A21" s="220">
        <v>18</v>
      </c>
      <c r="B21" s="221" t="str">
        <f>DATA!B27</f>
        <v>Khoirul Rodzikin</v>
      </c>
      <c r="C21" s="181">
        <v>31</v>
      </c>
      <c r="D21" s="420">
        <f t="shared" si="0"/>
        <v>46</v>
      </c>
      <c r="E21" s="220">
        <v>18</v>
      </c>
      <c r="F21" s="221" t="str">
        <f>DATA!D27</f>
        <v>Muhamad Fadil Khoiri</v>
      </c>
      <c r="G21" s="181">
        <v>48</v>
      </c>
      <c r="H21" s="420">
        <f t="shared" si="1"/>
        <v>63</v>
      </c>
      <c r="I21" s="220">
        <v>18</v>
      </c>
      <c r="J21" s="217" t="str">
        <f>DATA!F27</f>
        <v>Kevin Sahasika Abyan Abiyyi</v>
      </c>
      <c r="K21" s="181">
        <v>32</v>
      </c>
      <c r="L21" s="420">
        <f t="shared" si="2"/>
        <v>47</v>
      </c>
      <c r="M21" s="220">
        <v>18</v>
      </c>
      <c r="N21" s="221" t="str">
        <f>DATA!H27</f>
        <v>Radita Raharjo</v>
      </c>
      <c r="O21" s="181">
        <v>26</v>
      </c>
      <c r="P21" s="420">
        <f t="shared" si="3"/>
        <v>41</v>
      </c>
      <c r="Q21" s="220">
        <v>18</v>
      </c>
      <c r="R21" s="221" t="str">
        <f>DATA!J27</f>
        <v>Muhammad Hayqal Al Farizzi</v>
      </c>
      <c r="S21" s="181">
        <v>41</v>
      </c>
      <c r="T21" s="420">
        <f t="shared" si="4"/>
        <v>56</v>
      </c>
      <c r="U21" s="220">
        <v>18</v>
      </c>
      <c r="V21" s="221" t="str">
        <f>DATA!L27</f>
        <v>Muhammad Furqon Ashfary</v>
      </c>
      <c r="W21" s="181">
        <v>37</v>
      </c>
      <c r="X21" s="420">
        <f t="shared" si="5"/>
        <v>52</v>
      </c>
    </row>
    <row r="22" spans="1:24" ht="13" x14ac:dyDescent="0.25">
      <c r="A22" s="220">
        <v>19</v>
      </c>
      <c r="B22" s="221" t="str">
        <f>DATA!B28</f>
        <v>Livia Mozavina</v>
      </c>
      <c r="C22" s="181">
        <v>47</v>
      </c>
      <c r="D22" s="420">
        <f t="shared" si="0"/>
        <v>62</v>
      </c>
      <c r="E22" s="220">
        <v>19</v>
      </c>
      <c r="F22" s="221" t="str">
        <f>DATA!D28</f>
        <v>Muhammad Aqil Mufid</v>
      </c>
      <c r="G22" s="181">
        <v>28</v>
      </c>
      <c r="H22" s="420">
        <f t="shared" si="1"/>
        <v>43</v>
      </c>
      <c r="I22" s="220">
        <v>19</v>
      </c>
      <c r="J22" s="217" t="str">
        <f>DATA!F28</f>
        <v>Laeni Shohibatul Maghfiroh</v>
      </c>
      <c r="K22" s="181">
        <v>32</v>
      </c>
      <c r="L22" s="420">
        <f t="shared" si="2"/>
        <v>47</v>
      </c>
      <c r="M22" s="220">
        <v>19</v>
      </c>
      <c r="N22" s="221" t="str">
        <f>DATA!H28</f>
        <v>Rava Aditya Pratama</v>
      </c>
      <c r="O22" s="181">
        <v>37</v>
      </c>
      <c r="P22" s="420">
        <f t="shared" si="3"/>
        <v>52</v>
      </c>
      <c r="Q22" s="220">
        <v>19</v>
      </c>
      <c r="R22" s="221" t="str">
        <f>DATA!J28</f>
        <v>Muhammad Shobar Shodiq</v>
      </c>
      <c r="S22" s="181">
        <v>32</v>
      </c>
      <c r="T22" s="420">
        <f t="shared" si="4"/>
        <v>47</v>
      </c>
      <c r="U22" s="220">
        <v>19</v>
      </c>
      <c r="V22" s="221" t="str">
        <f>DATA!L28</f>
        <v>Muhammad Rizky Fahreza</v>
      </c>
      <c r="W22" s="181">
        <v>29</v>
      </c>
      <c r="X22" s="420">
        <f t="shared" si="5"/>
        <v>44</v>
      </c>
    </row>
    <row r="23" spans="1:24" ht="13" x14ac:dyDescent="0.25">
      <c r="A23" s="220">
        <v>20</v>
      </c>
      <c r="B23" s="221" t="str">
        <f>DATA!B29</f>
        <v>Milatul Ulya Azzahra</v>
      </c>
      <c r="C23" s="181">
        <v>54</v>
      </c>
      <c r="D23" s="420">
        <f t="shared" si="0"/>
        <v>69</v>
      </c>
      <c r="E23" s="220">
        <v>20</v>
      </c>
      <c r="F23" s="221" t="str">
        <f>DATA!D29</f>
        <v>Muhammad Danish Alzydan</v>
      </c>
      <c r="G23" s="181">
        <v>34</v>
      </c>
      <c r="H23" s="420">
        <f t="shared" si="1"/>
        <v>49</v>
      </c>
      <c r="I23" s="220">
        <v>20</v>
      </c>
      <c r="J23" s="217" t="str">
        <f>DATA!F29</f>
        <v>Maelani Mulya Sari</v>
      </c>
      <c r="K23" s="181">
        <v>35</v>
      </c>
      <c r="L23" s="420">
        <f t="shared" si="2"/>
        <v>50</v>
      </c>
      <c r="M23" s="220">
        <v>20</v>
      </c>
      <c r="N23" s="221" t="str">
        <f>DATA!H29</f>
        <v>Saffa Ayu Anastasya</v>
      </c>
      <c r="O23" s="181">
        <v>38</v>
      </c>
      <c r="P23" s="420">
        <f t="shared" si="3"/>
        <v>53</v>
      </c>
      <c r="Q23" s="220">
        <v>20</v>
      </c>
      <c r="R23" s="154" t="str">
        <f>DATA!J29</f>
        <v>Nabila Putri Noor Maulidhanti</v>
      </c>
      <c r="S23" s="181">
        <v>36</v>
      </c>
      <c r="T23" s="420">
        <f t="shared" si="4"/>
        <v>51</v>
      </c>
      <c r="U23" s="220">
        <v>20</v>
      </c>
      <c r="V23" s="221" t="str">
        <f>DATA!L29</f>
        <v>Mutiara Yuliyanti</v>
      </c>
      <c r="W23" s="181">
        <v>38</v>
      </c>
      <c r="X23" s="420">
        <f t="shared" si="5"/>
        <v>53</v>
      </c>
    </row>
    <row r="24" spans="1:24" ht="13" x14ac:dyDescent="0.25">
      <c r="A24" s="220">
        <v>21</v>
      </c>
      <c r="B24" s="221" t="str">
        <f>DATA!B30</f>
        <v>Muhammad Arif Pratama</v>
      </c>
      <c r="C24" s="181">
        <v>32</v>
      </c>
      <c r="D24" s="420">
        <f t="shared" si="0"/>
        <v>47</v>
      </c>
      <c r="E24" s="220">
        <v>21</v>
      </c>
      <c r="F24" s="221" t="str">
        <f>DATA!D30</f>
        <v>Muhammad Nurul Huda</v>
      </c>
      <c r="G24" s="181">
        <v>44</v>
      </c>
      <c r="H24" s="420">
        <f t="shared" si="1"/>
        <v>59</v>
      </c>
      <c r="I24" s="220">
        <v>21</v>
      </c>
      <c r="J24" s="217" t="str">
        <f>DATA!F30</f>
        <v>Mafasa Agung Dwi Putranti</v>
      </c>
      <c r="K24" s="181">
        <v>36</v>
      </c>
      <c r="L24" s="420">
        <f t="shared" si="2"/>
        <v>51</v>
      </c>
      <c r="M24" s="220">
        <v>21</v>
      </c>
      <c r="N24" s="221" t="str">
        <f>DATA!H30</f>
        <v>Saromadika</v>
      </c>
      <c r="O24" s="181">
        <v>36</v>
      </c>
      <c r="P24" s="420">
        <f t="shared" si="3"/>
        <v>51</v>
      </c>
      <c r="Q24" s="220">
        <v>21</v>
      </c>
      <c r="R24" s="154" t="str">
        <f>DATA!J30</f>
        <v>Naila Faizatis Syifa</v>
      </c>
      <c r="S24" s="181">
        <v>34</v>
      </c>
      <c r="T24" s="420">
        <f t="shared" si="4"/>
        <v>49</v>
      </c>
      <c r="U24" s="220">
        <v>21</v>
      </c>
      <c r="V24" s="221" t="str">
        <f>DATA!L30</f>
        <v>Nathasya Maharani Putri Agustina</v>
      </c>
      <c r="W24" s="181">
        <v>47</v>
      </c>
      <c r="X24" s="420">
        <f t="shared" si="5"/>
        <v>62</v>
      </c>
    </row>
    <row r="25" spans="1:24" ht="13" x14ac:dyDescent="0.25">
      <c r="A25" s="220">
        <v>22</v>
      </c>
      <c r="B25" s="221" t="str">
        <f>DATA!B31</f>
        <v>Muhammad Fahri Khoirudin</v>
      </c>
      <c r="C25" s="181">
        <v>37</v>
      </c>
      <c r="D25" s="420">
        <f t="shared" si="0"/>
        <v>52</v>
      </c>
      <c r="E25" s="220">
        <v>22</v>
      </c>
      <c r="F25" s="221" t="str">
        <f>DATA!D31</f>
        <v>Nada Aprillia Zulfa Fairuz</v>
      </c>
      <c r="G25" s="181">
        <v>35</v>
      </c>
      <c r="H25" s="420">
        <f t="shared" si="1"/>
        <v>50</v>
      </c>
      <c r="I25" s="220">
        <v>22</v>
      </c>
      <c r="J25" s="217" t="str">
        <f>DATA!F31</f>
        <v>Marwa Dwi Hafsari</v>
      </c>
      <c r="K25" s="181">
        <v>30</v>
      </c>
      <c r="L25" s="420">
        <f t="shared" si="2"/>
        <v>45</v>
      </c>
      <c r="M25" s="220">
        <v>22</v>
      </c>
      <c r="N25" s="221" t="str">
        <f>DATA!H31</f>
        <v>Siti Fadilah Purmareta</v>
      </c>
      <c r="O25" s="181">
        <v>40</v>
      </c>
      <c r="P25" s="420">
        <f t="shared" si="3"/>
        <v>55</v>
      </c>
      <c r="Q25" s="220">
        <v>22</v>
      </c>
      <c r="R25" s="154" t="str">
        <f>DATA!J31</f>
        <v>Nur Hijrah Maudhina</v>
      </c>
      <c r="S25" s="181">
        <v>36</v>
      </c>
      <c r="T25" s="420">
        <f t="shared" si="4"/>
        <v>51</v>
      </c>
      <c r="U25" s="220">
        <v>22</v>
      </c>
      <c r="V25" s="221" t="str">
        <f>DATA!L31</f>
        <v>Naysilla Anindya Ramadhani Nayra</v>
      </c>
      <c r="W25" s="181">
        <v>35</v>
      </c>
      <c r="X25" s="420">
        <f t="shared" si="5"/>
        <v>50</v>
      </c>
    </row>
    <row r="26" spans="1:24" ht="13" x14ac:dyDescent="0.25">
      <c r="A26" s="220">
        <v>23</v>
      </c>
      <c r="B26" s="221" t="str">
        <f>DATA!B32</f>
        <v>Muhammad Rakha Razansyah</v>
      </c>
      <c r="C26" s="181">
        <v>34</v>
      </c>
      <c r="D26" s="420">
        <f t="shared" si="0"/>
        <v>49</v>
      </c>
      <c r="E26" s="220">
        <v>23</v>
      </c>
      <c r="F26" s="221" t="str">
        <f>DATA!D32</f>
        <v>Nadaa Fadiyah Salsabila</v>
      </c>
      <c r="G26" s="181">
        <v>36</v>
      </c>
      <c r="H26" s="420">
        <f t="shared" si="1"/>
        <v>51</v>
      </c>
      <c r="I26" s="220">
        <v>23</v>
      </c>
      <c r="J26" s="217" t="str">
        <f>DATA!F32</f>
        <v>Natasya Berly Intania</v>
      </c>
      <c r="K26" s="181">
        <v>33</v>
      </c>
      <c r="L26" s="420">
        <f t="shared" si="2"/>
        <v>48</v>
      </c>
      <c r="M26" s="220">
        <v>23</v>
      </c>
      <c r="N26" s="221" t="str">
        <f>DATA!H32</f>
        <v>Surya Ardika Pratama</v>
      </c>
      <c r="O26" s="181">
        <v>27</v>
      </c>
      <c r="P26" s="420">
        <f t="shared" si="3"/>
        <v>42</v>
      </c>
      <c r="Q26" s="220">
        <v>23</v>
      </c>
      <c r="R26" s="154" t="str">
        <f>DATA!J32</f>
        <v>Ozil Azzariat</v>
      </c>
      <c r="S26" s="181">
        <v>34</v>
      </c>
      <c r="T26" s="420">
        <f t="shared" si="4"/>
        <v>49</v>
      </c>
      <c r="U26" s="220">
        <v>23</v>
      </c>
      <c r="V26" s="221" t="str">
        <f>DATA!L32</f>
        <v>Qaleesya Juliandhifa Putri Ajisia</v>
      </c>
      <c r="W26" s="181">
        <v>35</v>
      </c>
      <c r="X26" s="420">
        <f t="shared" si="5"/>
        <v>50</v>
      </c>
    </row>
    <row r="27" spans="1:24" ht="13" x14ac:dyDescent="0.25">
      <c r="A27" s="220">
        <v>24</v>
      </c>
      <c r="B27" s="221" t="str">
        <f>DATA!B33</f>
        <v>Mutiara Dewi Khusna</v>
      </c>
      <c r="C27" s="181">
        <v>39</v>
      </c>
      <c r="D27" s="420">
        <f t="shared" si="0"/>
        <v>54</v>
      </c>
      <c r="E27" s="220">
        <v>24</v>
      </c>
      <c r="F27" s="221" t="str">
        <f>DATA!D33</f>
        <v>Nayla Oriza Shatifa</v>
      </c>
      <c r="G27" s="181">
        <v>37</v>
      </c>
      <c r="H27" s="420">
        <f t="shared" si="1"/>
        <v>52</v>
      </c>
      <c r="I27" s="220">
        <v>24</v>
      </c>
      <c r="J27" s="217" t="str">
        <f>DATA!F33</f>
        <v>Natasya Gisella Anindya Putri</v>
      </c>
      <c r="K27" s="181">
        <v>41</v>
      </c>
      <c r="L27" s="420">
        <f t="shared" si="2"/>
        <v>56</v>
      </c>
      <c r="M27" s="220">
        <v>24</v>
      </c>
      <c r="N27" s="221" t="str">
        <f>DATA!H33</f>
        <v>Syafa Nutrima Andini</v>
      </c>
      <c r="O27" s="181">
        <v>44</v>
      </c>
      <c r="P27" s="420">
        <f t="shared" si="3"/>
        <v>59</v>
      </c>
      <c r="Q27" s="220">
        <v>24</v>
      </c>
      <c r="R27" s="154" t="str">
        <f>DATA!J33</f>
        <v>Pranata Diaz Saputra</v>
      </c>
      <c r="S27" s="181">
        <v>41</v>
      </c>
      <c r="T27" s="420">
        <f t="shared" si="4"/>
        <v>56</v>
      </c>
      <c r="U27" s="220">
        <v>24</v>
      </c>
      <c r="V27" s="221" t="str">
        <f>DATA!L33</f>
        <v>Rahesya Firmansah</v>
      </c>
      <c r="W27" s="181">
        <v>32</v>
      </c>
      <c r="X27" s="420">
        <f t="shared" si="5"/>
        <v>47</v>
      </c>
    </row>
    <row r="28" spans="1:24" ht="13" x14ac:dyDescent="0.25">
      <c r="A28" s="220">
        <v>25</v>
      </c>
      <c r="B28" s="221" t="str">
        <f>DATA!B34</f>
        <v>Qeysya Nabila Maharani</v>
      </c>
      <c r="C28" s="181">
        <v>37</v>
      </c>
      <c r="D28" s="420">
        <f t="shared" si="0"/>
        <v>52</v>
      </c>
      <c r="E28" s="220">
        <v>25</v>
      </c>
      <c r="F28" s="221" t="str">
        <f>DATA!D34</f>
        <v>Raditya Eka Putra Yudha</v>
      </c>
      <c r="G28" s="181">
        <v>42</v>
      </c>
      <c r="H28" s="420">
        <f t="shared" si="1"/>
        <v>57</v>
      </c>
      <c r="I28" s="220">
        <v>25</v>
      </c>
      <c r="J28" s="217" t="str">
        <f>DATA!F34</f>
        <v>Prasetyo Nevan Al Fath</v>
      </c>
      <c r="K28" s="181">
        <v>32</v>
      </c>
      <c r="L28" s="420">
        <f t="shared" si="2"/>
        <v>47</v>
      </c>
      <c r="M28" s="220">
        <v>25</v>
      </c>
      <c r="N28" s="221" t="str">
        <f>DATA!H34</f>
        <v>Syifa Dwi Rahayu</v>
      </c>
      <c r="O28" s="181">
        <v>35</v>
      </c>
      <c r="P28" s="420">
        <f t="shared" si="3"/>
        <v>50</v>
      </c>
      <c r="Q28" s="220">
        <v>25</v>
      </c>
      <c r="R28" s="154" t="str">
        <f>DATA!J34</f>
        <v>Rafki Bais Abimanyu</v>
      </c>
      <c r="S28" s="181">
        <v>31</v>
      </c>
      <c r="T28" s="420">
        <f t="shared" si="4"/>
        <v>46</v>
      </c>
      <c r="U28" s="220">
        <v>25</v>
      </c>
      <c r="V28" s="221" t="str">
        <f>DATA!L34</f>
        <v>Revalino Adhyaqsa Pamungkas</v>
      </c>
      <c r="W28" s="181" t="s">
        <v>63</v>
      </c>
      <c r="X28" s="420"/>
    </row>
    <row r="29" spans="1:24" ht="13" x14ac:dyDescent="0.25">
      <c r="A29" s="220">
        <v>26</v>
      </c>
      <c r="B29" s="221" t="str">
        <f>DATA!B35</f>
        <v>Raihan Akbar Ramadhan</v>
      </c>
      <c r="C29" s="181">
        <v>39</v>
      </c>
      <c r="D29" s="420">
        <f t="shared" si="0"/>
        <v>54</v>
      </c>
      <c r="E29" s="220">
        <v>26</v>
      </c>
      <c r="F29" s="221" t="str">
        <f>DATA!D35</f>
        <v>Ragil Harlangga</v>
      </c>
      <c r="G29" s="181">
        <v>29</v>
      </c>
      <c r="H29" s="420">
        <f t="shared" si="1"/>
        <v>44</v>
      </c>
      <c r="I29" s="220">
        <v>26</v>
      </c>
      <c r="J29" s="221" t="str">
        <f>DATA!F35</f>
        <v>Putri Cikara Dewi</v>
      </c>
      <c r="K29" s="181">
        <v>35</v>
      </c>
      <c r="L29" s="420">
        <f t="shared" si="2"/>
        <v>50</v>
      </c>
      <c r="M29" s="220">
        <v>26</v>
      </c>
      <c r="N29" s="221" t="str">
        <f>DATA!H35</f>
        <v>Trendy Pambayun</v>
      </c>
      <c r="O29" s="181">
        <v>30</v>
      </c>
      <c r="P29" s="420">
        <f t="shared" si="3"/>
        <v>45</v>
      </c>
      <c r="Q29" s="220">
        <v>26</v>
      </c>
      <c r="R29" s="154" t="str">
        <f>DATA!J35</f>
        <v>Risma Liana Gita Pratiwi</v>
      </c>
      <c r="S29" s="181">
        <v>53</v>
      </c>
      <c r="T29" s="420">
        <f t="shared" si="4"/>
        <v>68</v>
      </c>
      <c r="U29" s="220">
        <v>26</v>
      </c>
      <c r="V29" s="221" t="str">
        <f>DATA!L35</f>
        <v>Rokhan Dwi Ma'Arif</v>
      </c>
      <c r="W29" s="181" t="s">
        <v>63</v>
      </c>
      <c r="X29" s="420"/>
    </row>
    <row r="30" spans="1:24" ht="13" x14ac:dyDescent="0.25">
      <c r="A30" s="220">
        <v>27</v>
      </c>
      <c r="B30" s="221" t="str">
        <f>DATA!B36</f>
        <v>Ramadhani</v>
      </c>
      <c r="C30" s="181">
        <v>35</v>
      </c>
      <c r="D30" s="420">
        <f t="shared" si="0"/>
        <v>50</v>
      </c>
      <c r="E30" s="220">
        <v>27</v>
      </c>
      <c r="F30" s="221" t="str">
        <f>DATA!D36</f>
        <v>Rasya Hidayatullah Putra Zatmiko</v>
      </c>
      <c r="G30" s="181">
        <v>27</v>
      </c>
      <c r="H30" s="420">
        <f t="shared" si="1"/>
        <v>42</v>
      </c>
      <c r="I30" s="220">
        <v>27</v>
      </c>
      <c r="J30" s="221" t="str">
        <f>DATA!F36</f>
        <v>Radenta Ardina Putra</v>
      </c>
      <c r="K30" s="181">
        <v>32</v>
      </c>
      <c r="L30" s="420">
        <f t="shared" si="2"/>
        <v>47</v>
      </c>
      <c r="M30" s="220">
        <v>27</v>
      </c>
      <c r="N30" s="221" t="str">
        <f>DATA!H36</f>
        <v>Victar Alfiano</v>
      </c>
      <c r="O30" s="181">
        <v>30</v>
      </c>
      <c r="P30" s="420">
        <f t="shared" si="3"/>
        <v>45</v>
      </c>
      <c r="Q30" s="220">
        <v>27</v>
      </c>
      <c r="R30" s="154" t="str">
        <f>DATA!J36</f>
        <v>Rizky Bagoes Sasongko</v>
      </c>
      <c r="S30" s="181">
        <v>29</v>
      </c>
      <c r="T30" s="420">
        <f t="shared" si="4"/>
        <v>44</v>
      </c>
      <c r="U30" s="220">
        <v>27</v>
      </c>
      <c r="V30" s="221" t="str">
        <f>DATA!L36</f>
        <v>Sawung Lintang Kamandanu</v>
      </c>
      <c r="W30" s="181">
        <v>36</v>
      </c>
      <c r="X30" s="420">
        <f t="shared" si="5"/>
        <v>51</v>
      </c>
    </row>
    <row r="31" spans="1:24" ht="13" x14ac:dyDescent="0.25">
      <c r="A31" s="220">
        <v>28</v>
      </c>
      <c r="B31" s="221" t="str">
        <f>DATA!B37</f>
        <v>Rangga Putra Raditya</v>
      </c>
      <c r="C31" s="181">
        <v>31</v>
      </c>
      <c r="D31" s="420">
        <f t="shared" si="0"/>
        <v>46</v>
      </c>
      <c r="E31" s="220">
        <v>28</v>
      </c>
      <c r="F31" s="221" t="str">
        <f>DATA!D37</f>
        <v>Septiyana Trihapsari</v>
      </c>
      <c r="G31" s="181">
        <v>38</v>
      </c>
      <c r="H31" s="420">
        <f t="shared" si="1"/>
        <v>53</v>
      </c>
      <c r="I31" s="220">
        <v>28</v>
      </c>
      <c r="J31" s="221" t="str">
        <f>DATA!F37</f>
        <v>Raditya Eka Yudhistira</v>
      </c>
      <c r="K31" s="181">
        <v>32</v>
      </c>
      <c r="L31" s="420">
        <f t="shared" si="2"/>
        <v>47</v>
      </c>
      <c r="M31" s="220">
        <v>28</v>
      </c>
      <c r="N31" s="221" t="str">
        <f>DATA!H37</f>
        <v>Vika Adhania</v>
      </c>
      <c r="O31" s="181">
        <v>32</v>
      </c>
      <c r="P31" s="420">
        <f t="shared" si="3"/>
        <v>47</v>
      </c>
      <c r="Q31" s="220">
        <v>28</v>
      </c>
      <c r="R31" s="154" t="str">
        <f>DATA!J37</f>
        <v>Thalita Nava Ailsanti</v>
      </c>
      <c r="S31" s="181">
        <v>28</v>
      </c>
      <c r="T31" s="420">
        <f t="shared" si="4"/>
        <v>43</v>
      </c>
      <c r="U31" s="220">
        <v>28</v>
      </c>
      <c r="V31" s="221" t="str">
        <f>DATA!L37</f>
        <v>Taufik Hidayat</v>
      </c>
      <c r="W31" s="181">
        <v>34</v>
      </c>
      <c r="X31" s="420">
        <f t="shared" si="5"/>
        <v>49</v>
      </c>
    </row>
    <row r="32" spans="1:24" ht="13" x14ac:dyDescent="0.25">
      <c r="A32" s="220">
        <v>29</v>
      </c>
      <c r="B32" s="221" t="str">
        <f>DATA!B38</f>
        <v>Safa Nasila Anajwa</v>
      </c>
      <c r="C32" s="181">
        <v>36</v>
      </c>
      <c r="D32" s="420">
        <f t="shared" si="0"/>
        <v>51</v>
      </c>
      <c r="E32" s="220">
        <v>29</v>
      </c>
      <c r="F32" s="221" t="str">
        <f>DATA!D38</f>
        <v>Syarifa Fatma</v>
      </c>
      <c r="G32" s="181">
        <v>59</v>
      </c>
      <c r="H32" s="420">
        <f t="shared" si="1"/>
        <v>74</v>
      </c>
      <c r="I32" s="220">
        <v>29</v>
      </c>
      <c r="J32" s="221" t="str">
        <f>DATA!F38</f>
        <v>Rere Etrischa Zenobia</v>
      </c>
      <c r="K32" s="181">
        <v>41</v>
      </c>
      <c r="L32" s="420">
        <f t="shared" si="2"/>
        <v>56</v>
      </c>
      <c r="M32" s="220">
        <v>29</v>
      </c>
      <c r="N32" s="221" t="str">
        <f>DATA!H38</f>
        <v>Yogi Restu Bintang Pamungkas</v>
      </c>
      <c r="O32" s="181">
        <v>45</v>
      </c>
      <c r="P32" s="420">
        <f t="shared" si="3"/>
        <v>60</v>
      </c>
      <c r="Q32" s="220">
        <v>29</v>
      </c>
      <c r="R32" s="154" t="str">
        <f>DATA!J38</f>
        <v>Wahid Sulistiyo</v>
      </c>
      <c r="S32" s="181">
        <v>36</v>
      </c>
      <c r="T32" s="420">
        <f t="shared" si="4"/>
        <v>51</v>
      </c>
      <c r="U32" s="220">
        <v>29</v>
      </c>
      <c r="V32" s="221" t="str">
        <f>DATA!L38</f>
        <v>Valentino Febrianzah</v>
      </c>
      <c r="W32" s="181">
        <v>30</v>
      </c>
      <c r="X32" s="420">
        <f t="shared" si="5"/>
        <v>45</v>
      </c>
    </row>
    <row r="33" spans="1:24" ht="13" x14ac:dyDescent="0.25">
      <c r="A33" s="220">
        <v>30</v>
      </c>
      <c r="B33" s="221" t="str">
        <f>DATA!B39</f>
        <v>Sila Ayu Kurnia</v>
      </c>
      <c r="C33" s="181">
        <v>39</v>
      </c>
      <c r="D33" s="420">
        <f t="shared" si="0"/>
        <v>54</v>
      </c>
      <c r="E33" s="220">
        <v>30</v>
      </c>
      <c r="F33" s="221" t="str">
        <f>DATA!D39</f>
        <v>Syauqi Lazuardi</v>
      </c>
      <c r="G33" s="181">
        <v>40</v>
      </c>
      <c r="H33" s="420">
        <f t="shared" si="1"/>
        <v>55</v>
      </c>
      <c r="I33" s="220">
        <v>30</v>
      </c>
      <c r="J33" s="221" t="str">
        <f>DATA!F39</f>
        <v>Roxy Lantip Afpriba</v>
      </c>
      <c r="K33" s="181">
        <v>51</v>
      </c>
      <c r="L33" s="420">
        <f t="shared" si="2"/>
        <v>66</v>
      </c>
      <c r="M33" s="220">
        <v>30</v>
      </c>
      <c r="N33" s="221" t="str">
        <f>DATA!H39</f>
        <v>Zahfa Zilvilya Putri</v>
      </c>
      <c r="O33" s="181">
        <v>36</v>
      </c>
      <c r="P33" s="420">
        <f t="shared" si="3"/>
        <v>51</v>
      </c>
      <c r="Q33" s="220">
        <v>30</v>
      </c>
      <c r="R33" s="154" t="str">
        <f>DATA!J39</f>
        <v>Yanuar Putra Akbar</v>
      </c>
      <c r="S33" s="181">
        <v>35</v>
      </c>
      <c r="T33" s="420">
        <f t="shared" si="4"/>
        <v>50</v>
      </c>
      <c r="U33" s="220">
        <v>30</v>
      </c>
      <c r="V33" s="154" t="str">
        <f>DATA!L39</f>
        <v>Vega Olivia Ramandhani</v>
      </c>
      <c r="W33" s="181">
        <v>44</v>
      </c>
      <c r="X33" s="420">
        <f t="shared" si="5"/>
        <v>59</v>
      </c>
    </row>
    <row r="34" spans="1:24" ht="13" x14ac:dyDescent="0.25">
      <c r="A34" s="220">
        <v>31</v>
      </c>
      <c r="B34" s="221" t="str">
        <f>DATA!B40</f>
        <v>Sindhi Nandha Lusia</v>
      </c>
      <c r="C34" s="181">
        <v>38</v>
      </c>
      <c r="D34" s="420">
        <f t="shared" si="0"/>
        <v>53</v>
      </c>
      <c r="E34" s="220">
        <v>31</v>
      </c>
      <c r="F34" s="221" t="str">
        <f>DATA!D40</f>
        <v>Zakya Ninu Azzahra</v>
      </c>
      <c r="G34" s="181">
        <v>39</v>
      </c>
      <c r="H34" s="420">
        <f t="shared" si="1"/>
        <v>54</v>
      </c>
      <c r="I34" s="220">
        <v>31</v>
      </c>
      <c r="J34" s="221" t="str">
        <f>DATA!F40</f>
        <v>Syifa Maulida Zahra</v>
      </c>
      <c r="K34" s="181">
        <v>40</v>
      </c>
      <c r="L34" s="420">
        <f t="shared" si="2"/>
        <v>55</v>
      </c>
      <c r="M34" s="220">
        <v>31</v>
      </c>
      <c r="N34" s="221" t="str">
        <f>DATA!H40</f>
        <v>Zaidan Rafa Prawidi</v>
      </c>
      <c r="O34" s="181">
        <v>42</v>
      </c>
      <c r="P34" s="420">
        <f t="shared" si="3"/>
        <v>57</v>
      </c>
      <c r="Q34" s="220">
        <v>31</v>
      </c>
      <c r="R34" s="154"/>
      <c r="S34" s="181" t="s">
        <v>63</v>
      </c>
      <c r="T34" s="419"/>
      <c r="U34" s="220">
        <v>31</v>
      </c>
      <c r="V34" s="221"/>
      <c r="W34" s="181" t="s">
        <v>63</v>
      </c>
      <c r="X34" s="419"/>
    </row>
    <row r="35" spans="1:24" ht="13" x14ac:dyDescent="0.25">
      <c r="A35" s="220">
        <v>32</v>
      </c>
      <c r="B35" s="221" t="str">
        <f>DATA!B41</f>
        <v>Siti Alfiani</v>
      </c>
      <c r="C35" s="181">
        <v>37</v>
      </c>
      <c r="D35" s="420">
        <f t="shared" si="0"/>
        <v>52</v>
      </c>
      <c r="E35" s="220">
        <v>32</v>
      </c>
      <c r="F35" s="221" t="str">
        <f>DATA!D41</f>
        <v>Zivara Layly Amaratungga</v>
      </c>
      <c r="G35" s="181">
        <v>42</v>
      </c>
      <c r="H35" s="420">
        <f t="shared" si="1"/>
        <v>57</v>
      </c>
      <c r="I35" s="220">
        <v>32</v>
      </c>
      <c r="J35" s="221" t="str">
        <f>DATA!F41</f>
        <v>Virna Meisya Amelia</v>
      </c>
      <c r="K35" s="181">
        <v>35</v>
      </c>
      <c r="L35" s="420">
        <f t="shared" si="2"/>
        <v>50</v>
      </c>
      <c r="M35" s="220">
        <v>32</v>
      </c>
      <c r="N35" s="221"/>
      <c r="O35" s="181" t="s">
        <v>63</v>
      </c>
      <c r="P35" s="419"/>
      <c r="Q35" s="220">
        <v>32</v>
      </c>
      <c r="R35" s="221"/>
      <c r="S35" s="181" t="s">
        <v>63</v>
      </c>
      <c r="T35" s="419"/>
      <c r="U35" s="220">
        <v>32</v>
      </c>
      <c r="V35" s="221"/>
      <c r="W35" s="181" t="s">
        <v>63</v>
      </c>
      <c r="X35" s="419"/>
    </row>
    <row r="36" spans="1:24" ht="13" x14ac:dyDescent="0.3">
      <c r="A36" s="220">
        <v>33</v>
      </c>
      <c r="B36" s="221"/>
      <c r="C36" s="174" t="s">
        <v>63</v>
      </c>
      <c r="D36" s="219"/>
      <c r="E36" s="220">
        <v>33</v>
      </c>
      <c r="F36" s="221"/>
      <c r="G36" s="174" t="s">
        <v>63</v>
      </c>
      <c r="H36" s="219"/>
      <c r="I36" s="220">
        <v>33</v>
      </c>
      <c r="J36" s="221"/>
      <c r="K36" s="174" t="s">
        <v>63</v>
      </c>
      <c r="L36" s="219"/>
      <c r="M36" s="220">
        <v>33</v>
      </c>
      <c r="N36" s="221"/>
      <c r="O36" s="174" t="s">
        <v>63</v>
      </c>
      <c r="P36" s="219"/>
      <c r="Q36" s="220">
        <v>33</v>
      </c>
      <c r="R36" s="221"/>
      <c r="S36" s="174" t="s">
        <v>63</v>
      </c>
      <c r="T36" s="219"/>
      <c r="U36" s="220">
        <v>33</v>
      </c>
      <c r="V36" s="221"/>
      <c r="W36" s="174" t="s">
        <v>63</v>
      </c>
      <c r="X36" s="219"/>
    </row>
    <row r="37" spans="1:24" ht="13" x14ac:dyDescent="0.3">
      <c r="A37" s="220">
        <v>34</v>
      </c>
      <c r="B37" s="221"/>
      <c r="C37" s="222" t="s">
        <v>63</v>
      </c>
      <c r="D37" s="219"/>
      <c r="E37" s="220">
        <v>34</v>
      </c>
      <c r="F37" s="221"/>
      <c r="G37" s="222" t="s">
        <v>63</v>
      </c>
      <c r="H37" s="219"/>
      <c r="I37" s="220">
        <v>34</v>
      </c>
      <c r="J37" s="221"/>
      <c r="K37" s="222" t="s">
        <v>63</v>
      </c>
      <c r="L37" s="219"/>
      <c r="M37" s="220">
        <v>34</v>
      </c>
      <c r="N37" s="221"/>
      <c r="O37" s="222" t="s">
        <v>63</v>
      </c>
      <c r="P37" s="219"/>
      <c r="Q37" s="220">
        <v>34</v>
      </c>
      <c r="R37" s="221" t="s">
        <v>63</v>
      </c>
      <c r="S37" s="222" t="s">
        <v>63</v>
      </c>
      <c r="T37" s="219"/>
      <c r="U37" s="220">
        <v>34</v>
      </c>
      <c r="V37" s="221"/>
      <c r="W37" s="222" t="s">
        <v>63</v>
      </c>
      <c r="X37" s="219"/>
    </row>
    <row r="38" spans="1:24" ht="13" x14ac:dyDescent="0.3">
      <c r="A38" s="220">
        <v>35</v>
      </c>
      <c r="B38" s="221"/>
      <c r="C38" s="223" t="s">
        <v>63</v>
      </c>
      <c r="D38" s="213"/>
      <c r="E38" s="220"/>
      <c r="F38" s="221"/>
      <c r="G38" s="223" t="s">
        <v>63</v>
      </c>
      <c r="H38" s="213"/>
      <c r="I38" s="220">
        <v>35</v>
      </c>
      <c r="J38" s="221"/>
      <c r="K38" s="223" t="s">
        <v>63</v>
      </c>
      <c r="L38" s="213"/>
      <c r="M38" s="220"/>
      <c r="N38" s="221" t="s">
        <v>63</v>
      </c>
      <c r="O38" s="223" t="s">
        <v>63</v>
      </c>
      <c r="P38" s="213"/>
      <c r="Q38" s="220"/>
      <c r="R38" s="221"/>
      <c r="S38" s="223" t="s">
        <v>63</v>
      </c>
      <c r="T38" s="213"/>
      <c r="U38" s="220">
        <v>35</v>
      </c>
      <c r="V38" s="221"/>
      <c r="W38" s="223" t="s">
        <v>63</v>
      </c>
      <c r="X38" s="213"/>
    </row>
    <row r="39" spans="1:24" ht="13" x14ac:dyDescent="0.3">
      <c r="A39" s="213" t="s">
        <v>76</v>
      </c>
      <c r="B39" s="213"/>
      <c r="C39" s="218">
        <f>MIN(C4:C38)</f>
        <v>25</v>
      </c>
      <c r="D39" s="218">
        <f>MIN(D4:D38)</f>
        <v>40</v>
      </c>
      <c r="E39" s="213" t="s">
        <v>76</v>
      </c>
      <c r="F39" s="213"/>
      <c r="G39" s="218">
        <f>MIN(G4:G38)</f>
        <v>24</v>
      </c>
      <c r="H39" s="218">
        <f>MIN(H4:H38)</f>
        <v>39</v>
      </c>
      <c r="I39" s="213" t="s">
        <v>76</v>
      </c>
      <c r="J39" s="213"/>
      <c r="K39" s="218">
        <f>MIN(K4:K38)</f>
        <v>29</v>
      </c>
      <c r="L39" s="218">
        <f>MIN(L4:L38)</f>
        <v>44</v>
      </c>
      <c r="M39" s="213" t="s">
        <v>76</v>
      </c>
      <c r="N39" s="213"/>
      <c r="O39" s="218">
        <f>MIN(O4:O38)</f>
        <v>26</v>
      </c>
      <c r="P39" s="218">
        <f>MIN(P4:P38)</f>
        <v>41</v>
      </c>
      <c r="Q39" s="213" t="s">
        <v>76</v>
      </c>
      <c r="R39" s="213"/>
      <c r="S39" s="218">
        <f>MIN(S4:S38)</f>
        <v>26</v>
      </c>
      <c r="T39" s="218">
        <f>MIN(T4:T38)</f>
        <v>41</v>
      </c>
      <c r="U39" s="213" t="s">
        <v>76</v>
      </c>
      <c r="V39" s="213"/>
      <c r="W39" s="218">
        <f>MIN(W4:W38)</f>
        <v>23</v>
      </c>
      <c r="X39" s="218">
        <f>MIN(X4:X38)</f>
        <v>38</v>
      </c>
    </row>
    <row r="40" spans="1:24" ht="13" x14ac:dyDescent="0.3">
      <c r="A40" s="213" t="s">
        <v>77</v>
      </c>
      <c r="B40" s="213"/>
      <c r="C40" s="222">
        <f>MAX(C4:C38)</f>
        <v>54</v>
      </c>
      <c r="D40" s="222">
        <f>MAX(D4:D38)</f>
        <v>69</v>
      </c>
      <c r="E40" s="213" t="s">
        <v>77</v>
      </c>
      <c r="F40" s="213"/>
      <c r="G40" s="222">
        <f>MAX(G4:G38)</f>
        <v>85</v>
      </c>
      <c r="H40" s="222">
        <f>MAX(H4:H38)</f>
        <v>100</v>
      </c>
      <c r="I40" s="213" t="s">
        <v>77</v>
      </c>
      <c r="J40" s="213"/>
      <c r="K40" s="222">
        <f>MAX(K4:K38)</f>
        <v>54</v>
      </c>
      <c r="L40" s="222">
        <f>MAX(L4:L38)</f>
        <v>69</v>
      </c>
      <c r="M40" s="213" t="s">
        <v>77</v>
      </c>
      <c r="N40" s="213"/>
      <c r="O40" s="222">
        <f>MAX(O4:O38)</f>
        <v>49</v>
      </c>
      <c r="P40" s="222">
        <f>MAX(P4:P38)</f>
        <v>64</v>
      </c>
      <c r="Q40" s="213" t="s">
        <v>77</v>
      </c>
      <c r="R40" s="213"/>
      <c r="S40" s="222">
        <f>MAX(S4:S38)</f>
        <v>72</v>
      </c>
      <c r="T40" s="222">
        <f>MAX(T4:T38)</f>
        <v>87</v>
      </c>
      <c r="U40" s="213" t="s">
        <v>77</v>
      </c>
      <c r="V40" s="213"/>
      <c r="W40" s="222">
        <f>MAX(W4:W38)</f>
        <v>47</v>
      </c>
      <c r="X40" s="222">
        <f>MAX(X4:X38)</f>
        <v>62</v>
      </c>
    </row>
    <row r="41" spans="1:24" ht="13" x14ac:dyDescent="0.3">
      <c r="A41" s="213" t="s">
        <v>78</v>
      </c>
      <c r="B41" s="213"/>
      <c r="C41" s="223">
        <f>AVERAGE(C4:C38)</f>
        <v>36.90625</v>
      </c>
      <c r="D41" s="223">
        <f>AVERAGE(D4:D38)</f>
        <v>51.90625</v>
      </c>
      <c r="E41" s="213" t="s">
        <v>78</v>
      </c>
      <c r="F41" s="213"/>
      <c r="G41" s="223">
        <f>AVERAGE(G4:G38)</f>
        <v>39.46875</v>
      </c>
      <c r="H41" s="223">
        <f>AVERAGE(H4:H38)</f>
        <v>54.46875</v>
      </c>
      <c r="I41" s="213" t="s">
        <v>78</v>
      </c>
      <c r="J41" s="213"/>
      <c r="K41" s="223">
        <f>AVERAGE(K4:K38)</f>
        <v>38.40625</v>
      </c>
      <c r="L41" s="223">
        <f>AVERAGE(L4:L38)</f>
        <v>53.40625</v>
      </c>
      <c r="M41" s="213" t="s">
        <v>78</v>
      </c>
      <c r="N41" s="213"/>
      <c r="O41" s="223">
        <f>AVERAGE(O4:O38)</f>
        <v>37.41935483870968</v>
      </c>
      <c r="P41" s="223">
        <f>AVERAGE(P4:P38)</f>
        <v>52.41935483870968</v>
      </c>
      <c r="Q41" s="213" t="s">
        <v>78</v>
      </c>
      <c r="R41" s="213"/>
      <c r="S41" s="223">
        <f>AVERAGE(S4:S38)</f>
        <v>36.466666666666669</v>
      </c>
      <c r="T41" s="223">
        <f>AVERAGE(T4:T38)</f>
        <v>51.466666666666669</v>
      </c>
      <c r="U41" s="213" t="s">
        <v>78</v>
      </c>
      <c r="V41" s="213"/>
      <c r="W41" s="223">
        <f>AVERAGE(W4:W38)</f>
        <v>36.928571428571431</v>
      </c>
      <c r="X41" s="223">
        <f>AVERAGE(X4:X38)</f>
        <v>51.928571428571431</v>
      </c>
    </row>
    <row r="42" spans="1:24" ht="15.5" x14ac:dyDescent="0.35">
      <c r="A42" s="224" t="s">
        <v>84</v>
      </c>
      <c r="B42" s="213"/>
      <c r="C42" s="225">
        <f>COUNTIF(C4:C38,"&gt;=80")</f>
        <v>0</v>
      </c>
      <c r="D42" s="226">
        <v>2</v>
      </c>
      <c r="E42" s="224" t="s">
        <v>84</v>
      </c>
      <c r="F42" s="213"/>
      <c r="G42" s="225">
        <f>COUNTIF(G4:G38,"&gt;=80")</f>
        <v>1</v>
      </c>
      <c r="H42" s="226">
        <v>0</v>
      </c>
      <c r="I42" s="224" t="s">
        <v>84</v>
      </c>
      <c r="J42" s="213"/>
      <c r="K42" s="225">
        <f>COUNTIF(K4:K38,"&gt;=80")</f>
        <v>0</v>
      </c>
      <c r="L42" s="226">
        <v>1</v>
      </c>
      <c r="M42" s="224" t="s">
        <v>84</v>
      </c>
      <c r="N42" s="213"/>
      <c r="O42" s="225">
        <f>COUNTIF(O4:O38,"&gt;=80")</f>
        <v>0</v>
      </c>
      <c r="P42" s="226">
        <v>0</v>
      </c>
      <c r="Q42" s="224" t="s">
        <v>84</v>
      </c>
      <c r="R42" s="213"/>
      <c r="S42" s="225">
        <f>COUNTIF(S4:S38,"&gt;=80")</f>
        <v>0</v>
      </c>
      <c r="T42" s="226">
        <v>0</v>
      </c>
      <c r="U42" s="224"/>
      <c r="V42" s="213"/>
      <c r="W42" s="225">
        <f>COUNTIF(W4:W38,"&gt;=75")</f>
        <v>0</v>
      </c>
      <c r="X42" s="213">
        <v>0</v>
      </c>
    </row>
    <row r="43" spans="1:24" ht="13" x14ac:dyDescent="0.3">
      <c r="A43" s="227" t="s">
        <v>86</v>
      </c>
      <c r="B43" s="213"/>
      <c r="C43" s="228">
        <f>(C41+G41+K41+O41+S41+W41)/6</f>
        <v>37.599307155657961</v>
      </c>
      <c r="D43" s="228">
        <f>(D41+H41+L41+P41+T41+X41)/6</f>
        <v>52.599307155657961</v>
      </c>
      <c r="E43" s="227" t="str">
        <f>A43</f>
        <v>RATAAN 6 KL</v>
      </c>
      <c r="F43" s="213"/>
      <c r="G43" s="228">
        <f>C43</f>
        <v>37.599307155657961</v>
      </c>
      <c r="H43" s="228">
        <f>D43</f>
        <v>52.599307155657961</v>
      </c>
      <c r="I43" s="227" t="str">
        <f>E43</f>
        <v>RATAAN 6 KL</v>
      </c>
      <c r="J43" s="213"/>
      <c r="K43" s="228">
        <f>G43</f>
        <v>37.599307155657961</v>
      </c>
      <c r="L43" s="219">
        <f>H43</f>
        <v>52.599307155657961</v>
      </c>
      <c r="M43" s="227" t="str">
        <f>I43</f>
        <v>RATAAN 6 KL</v>
      </c>
      <c r="N43" s="213"/>
      <c r="O43" s="228">
        <f>K43</f>
        <v>37.599307155657961</v>
      </c>
      <c r="P43" s="219">
        <f>L43</f>
        <v>52.599307155657961</v>
      </c>
      <c r="Q43" s="227" t="str">
        <f>M43</f>
        <v>RATAAN 6 KL</v>
      </c>
      <c r="R43" s="213"/>
      <c r="S43" s="228">
        <f>O43</f>
        <v>37.599307155657961</v>
      </c>
      <c r="T43" s="229">
        <f>P43</f>
        <v>52.599307155657961</v>
      </c>
      <c r="U43" s="213"/>
      <c r="V43" s="230"/>
      <c r="W43" s="228">
        <f>S43</f>
        <v>37.599307155657961</v>
      </c>
      <c r="X43" s="219">
        <f>T43</f>
        <v>52.599307155657961</v>
      </c>
    </row>
    <row r="44" spans="1:24" ht="13" x14ac:dyDescent="0.3">
      <c r="A44" s="227"/>
      <c r="B44" s="213"/>
      <c r="C44" s="228"/>
      <c r="D44" s="228"/>
      <c r="E44" s="227"/>
      <c r="F44" s="213"/>
      <c r="G44" s="228"/>
      <c r="H44" s="228"/>
      <c r="I44" s="227"/>
      <c r="J44" s="213"/>
      <c r="K44" s="228"/>
      <c r="L44" s="219"/>
      <c r="M44" s="227"/>
      <c r="N44" s="213"/>
      <c r="O44" s="228"/>
      <c r="P44" s="219"/>
      <c r="Q44" s="227"/>
      <c r="R44" s="213"/>
      <c r="S44" s="228"/>
      <c r="T44" s="229"/>
      <c r="U44" s="213"/>
      <c r="V44" s="230"/>
      <c r="W44" s="228"/>
      <c r="X44" s="219"/>
    </row>
  </sheetData>
  <mergeCells count="6">
    <mergeCell ref="A1:C1"/>
    <mergeCell ref="E1:G1"/>
    <mergeCell ref="I1:K1"/>
    <mergeCell ref="M1:O1"/>
    <mergeCell ref="Q1:S1"/>
    <mergeCell ref="U1:W1"/>
  </mergeCells>
  <pageMargins left="0.21" right="0.13" top="0.24" bottom="0.16" header="0.12" footer="0.12"/>
  <pageSetup paperSize="5" orientation="landscape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8C6C-0D0F-48F5-BA4C-CBE8615715DD}">
  <dimension ref="A1:AI264"/>
  <sheetViews>
    <sheetView workbookViewId="0">
      <selection activeCell="A3" sqref="A3"/>
    </sheetView>
  </sheetViews>
  <sheetFormatPr defaultRowHeight="12.5" x14ac:dyDescent="0.25"/>
  <cols>
    <col min="1" max="1" width="3.7265625" customWidth="1"/>
    <col min="2" max="2" width="15.26953125" customWidth="1"/>
    <col min="3" max="18" width="3.7265625" customWidth="1"/>
    <col min="19" max="19" width="15.81640625" customWidth="1"/>
    <col min="20" max="34" width="3.7265625" customWidth="1"/>
  </cols>
  <sheetData>
    <row r="1" spans="1:34" ht="13" x14ac:dyDescent="0.3">
      <c r="A1" s="478" t="s">
        <v>88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478"/>
      <c r="P1" s="478"/>
      <c r="Q1" s="478"/>
      <c r="R1" s="478"/>
      <c r="S1" s="478"/>
      <c r="T1" s="478"/>
      <c r="U1" s="478"/>
      <c r="V1" s="478"/>
      <c r="W1" s="478"/>
      <c r="X1" s="478"/>
      <c r="Y1" s="478"/>
      <c r="Z1" s="478"/>
      <c r="AA1" s="478"/>
      <c r="AB1" s="478"/>
      <c r="AC1" s="478"/>
      <c r="AD1" s="478"/>
      <c r="AE1" s="478"/>
      <c r="AF1" s="478"/>
      <c r="AG1" s="478"/>
      <c r="AH1" s="478"/>
    </row>
    <row r="2" spans="1:34" ht="13" x14ac:dyDescent="0.3">
      <c r="A2" s="479" t="s">
        <v>486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479"/>
      <c r="AB2" s="479"/>
      <c r="AC2" s="479"/>
      <c r="AD2" s="479"/>
      <c r="AE2" s="479"/>
      <c r="AF2" s="479"/>
      <c r="AG2" s="479"/>
      <c r="AH2" s="479"/>
    </row>
    <row r="3" spans="1:34" ht="13" x14ac:dyDescent="0.3">
      <c r="A3" s="108" t="s">
        <v>65</v>
      </c>
      <c r="B3" s="109" t="s">
        <v>90</v>
      </c>
      <c r="C3" s="250" t="s">
        <v>21</v>
      </c>
      <c r="D3" s="106"/>
      <c r="E3" s="251">
        <v>1</v>
      </c>
      <c r="F3" s="106"/>
      <c r="G3" s="107"/>
      <c r="H3" s="250" t="s">
        <v>21</v>
      </c>
      <c r="I3" s="106"/>
      <c r="J3" s="251">
        <v>2</v>
      </c>
      <c r="K3" s="106"/>
      <c r="L3" s="107"/>
      <c r="M3" s="250" t="s">
        <v>21</v>
      </c>
      <c r="N3" s="106"/>
      <c r="O3" s="251">
        <v>3</v>
      </c>
      <c r="P3" s="106"/>
      <c r="Q3" s="107"/>
      <c r="R3" s="327"/>
      <c r="S3" s="328"/>
      <c r="T3" s="506" t="s">
        <v>96</v>
      </c>
      <c r="U3" s="506"/>
      <c r="V3" s="506"/>
      <c r="W3" s="506"/>
      <c r="X3" s="506"/>
      <c r="Y3" s="506"/>
      <c r="Z3" s="506"/>
      <c r="AA3" s="506"/>
      <c r="AB3" s="506"/>
      <c r="AC3" s="507"/>
      <c r="AD3" s="505" t="s">
        <v>89</v>
      </c>
      <c r="AE3" s="506"/>
      <c r="AF3" s="506"/>
      <c r="AG3" s="506"/>
      <c r="AH3" s="507"/>
    </row>
    <row r="4" spans="1:34" x14ac:dyDescent="0.25">
      <c r="A4" s="2"/>
      <c r="B4" s="3" t="s">
        <v>7</v>
      </c>
      <c r="C4" s="32">
        <v>1</v>
      </c>
      <c r="D4" s="33">
        <v>2</v>
      </c>
      <c r="E4" s="33">
        <v>3</v>
      </c>
      <c r="F4" s="33">
        <v>4</v>
      </c>
      <c r="G4" s="34">
        <v>5</v>
      </c>
      <c r="H4" s="32">
        <v>1</v>
      </c>
      <c r="I4" s="33">
        <v>2</v>
      </c>
      <c r="J4" s="33">
        <v>3</v>
      </c>
      <c r="K4" s="33">
        <v>4</v>
      </c>
      <c r="L4" s="34">
        <v>5</v>
      </c>
      <c r="M4" s="32">
        <v>1</v>
      </c>
      <c r="N4" s="33">
        <v>2</v>
      </c>
      <c r="O4" s="33">
        <v>3</v>
      </c>
      <c r="P4" s="33">
        <v>4</v>
      </c>
      <c r="Q4" s="34">
        <v>5</v>
      </c>
      <c r="R4" s="266"/>
      <c r="S4" s="268"/>
      <c r="T4" s="261">
        <v>1</v>
      </c>
      <c r="U4" s="33">
        <v>2</v>
      </c>
      <c r="V4" s="33">
        <v>3</v>
      </c>
      <c r="W4" s="33">
        <v>4</v>
      </c>
      <c r="X4" s="33">
        <v>5</v>
      </c>
      <c r="Y4" s="33">
        <v>6</v>
      </c>
      <c r="Z4" s="33">
        <v>7</v>
      </c>
      <c r="AA4" s="33">
        <v>8</v>
      </c>
      <c r="AB4" s="33">
        <v>9</v>
      </c>
      <c r="AC4" s="34">
        <v>10</v>
      </c>
      <c r="AD4" s="261">
        <v>1</v>
      </c>
      <c r="AE4" s="33">
        <v>2</v>
      </c>
      <c r="AF4" s="33">
        <v>3</v>
      </c>
      <c r="AG4" s="33">
        <v>4</v>
      </c>
      <c r="AH4" s="34">
        <v>5</v>
      </c>
    </row>
    <row r="5" spans="1:34" x14ac:dyDescent="0.25">
      <c r="A5" s="6" t="s">
        <v>0</v>
      </c>
      <c r="B5" s="5" t="s">
        <v>8</v>
      </c>
      <c r="C5" s="55"/>
      <c r="D5" s="56"/>
      <c r="E5" s="56"/>
      <c r="F5" s="56"/>
      <c r="G5" s="57"/>
      <c r="H5" s="55"/>
      <c r="I5" s="56"/>
      <c r="J5" s="56"/>
      <c r="K5" s="56"/>
      <c r="L5" s="57"/>
      <c r="M5" s="55"/>
      <c r="N5" s="56"/>
      <c r="O5" s="56"/>
      <c r="P5" s="56"/>
      <c r="Q5" s="57"/>
      <c r="R5" s="55"/>
      <c r="S5" s="105"/>
      <c r="T5" s="262"/>
      <c r="U5" s="56"/>
      <c r="V5" s="56"/>
      <c r="W5" s="56"/>
      <c r="X5" s="57"/>
      <c r="Y5" s="56"/>
      <c r="Z5" s="56"/>
      <c r="AA5" s="56"/>
      <c r="AB5" s="56"/>
      <c r="AC5" s="105"/>
      <c r="AD5" s="262"/>
      <c r="AE5" s="56"/>
      <c r="AF5" s="56"/>
      <c r="AG5" s="56"/>
      <c r="AH5" s="105"/>
    </row>
    <row r="6" spans="1:34" x14ac:dyDescent="0.25">
      <c r="A6" s="6"/>
      <c r="B6" s="257" t="s">
        <v>2</v>
      </c>
      <c r="C6" s="36"/>
      <c r="D6" s="37"/>
      <c r="E6" s="37"/>
      <c r="F6" s="37"/>
      <c r="G6" s="38"/>
      <c r="H6" s="36"/>
      <c r="I6" s="37"/>
      <c r="J6" s="37"/>
      <c r="K6" s="37"/>
      <c r="L6" s="38"/>
      <c r="M6" s="36"/>
      <c r="N6" s="37"/>
      <c r="O6" s="37"/>
      <c r="P6" s="37"/>
      <c r="Q6" s="38"/>
      <c r="R6" s="267"/>
      <c r="S6" s="269"/>
      <c r="T6" s="263"/>
      <c r="U6" s="37"/>
      <c r="V6" s="37"/>
      <c r="W6" s="37"/>
      <c r="X6" s="252"/>
      <c r="Y6" s="37"/>
      <c r="Z6" s="37"/>
      <c r="AA6" s="37"/>
      <c r="AB6" s="37"/>
      <c r="AC6" s="38"/>
      <c r="AD6" s="263"/>
      <c r="AE6" s="37"/>
      <c r="AF6" s="37"/>
      <c r="AG6" s="37"/>
      <c r="AH6" s="38"/>
    </row>
    <row r="7" spans="1:34" x14ac:dyDescent="0.25">
      <c r="A7" s="20">
        <v>1</v>
      </c>
      <c r="B7" s="130" t="str">
        <f>DATA!B10</f>
        <v>Affan Bagus Ramadhani</v>
      </c>
      <c r="C7" s="111" t="s">
        <v>63</v>
      </c>
      <c r="D7" s="112"/>
      <c r="E7" s="112"/>
      <c r="F7" s="112"/>
      <c r="G7" s="253"/>
      <c r="H7" s="111"/>
      <c r="I7" s="112"/>
      <c r="J7" s="112"/>
      <c r="K7" s="112"/>
      <c r="L7" s="253"/>
      <c r="M7" s="111"/>
      <c r="N7" s="112"/>
      <c r="O7" s="112"/>
      <c r="P7" s="112"/>
      <c r="Q7" s="253"/>
      <c r="R7" s="329">
        <f>A7</f>
        <v>1</v>
      </c>
      <c r="S7" s="330" t="str">
        <f>B7</f>
        <v>Affan Bagus Ramadhani</v>
      </c>
      <c r="T7" s="242" t="s">
        <v>63</v>
      </c>
      <c r="U7" s="112"/>
      <c r="V7" s="112"/>
      <c r="W7" s="112"/>
      <c r="X7" s="240"/>
      <c r="Y7" s="112"/>
      <c r="Z7" s="112"/>
      <c r="AA7" s="112"/>
      <c r="AB7" s="112"/>
      <c r="AC7" s="253"/>
      <c r="AD7" s="242"/>
      <c r="AE7" s="112"/>
      <c r="AF7" s="112"/>
      <c r="AG7" s="112"/>
      <c r="AH7" s="253"/>
    </row>
    <row r="8" spans="1:34" x14ac:dyDescent="0.25">
      <c r="A8" s="21">
        <v>2</v>
      </c>
      <c r="B8" s="133" t="str">
        <f>DATA!B11</f>
        <v>Affansa Rayya Assalafi</v>
      </c>
      <c r="C8" s="113" t="s">
        <v>63</v>
      </c>
      <c r="D8" s="114"/>
      <c r="E8" s="114"/>
      <c r="F8" s="114"/>
      <c r="G8" s="254"/>
      <c r="H8" s="113"/>
      <c r="I8" s="114"/>
      <c r="J8" s="114"/>
      <c r="K8" s="114"/>
      <c r="L8" s="254"/>
      <c r="M8" s="113"/>
      <c r="N8" s="114"/>
      <c r="O8" s="114"/>
      <c r="P8" s="114"/>
      <c r="Q8" s="254"/>
      <c r="R8" s="331">
        <f t="shared" ref="R8:R38" si="0">A8</f>
        <v>2</v>
      </c>
      <c r="S8" s="332" t="str">
        <f t="shared" ref="S8:S38" si="1">B8</f>
        <v>Affansa Rayya Assalafi</v>
      </c>
      <c r="T8" s="243" t="s">
        <v>63</v>
      </c>
      <c r="U8" s="114"/>
      <c r="V8" s="114"/>
      <c r="W8" s="114"/>
      <c r="X8" s="238"/>
      <c r="Y8" s="114"/>
      <c r="Z8" s="114"/>
      <c r="AA8" s="114"/>
      <c r="AB8" s="114"/>
      <c r="AC8" s="254"/>
      <c r="AD8" s="243"/>
      <c r="AE8" s="114"/>
      <c r="AF8" s="114"/>
      <c r="AG8" s="114"/>
      <c r="AH8" s="254"/>
    </row>
    <row r="9" spans="1:34" x14ac:dyDescent="0.25">
      <c r="A9" s="21">
        <v>3</v>
      </c>
      <c r="B9" s="133" t="str">
        <f>DATA!B12</f>
        <v>Agel Fransiska</v>
      </c>
      <c r="C9" s="113" t="s">
        <v>63</v>
      </c>
      <c r="D9" s="114"/>
      <c r="E9" s="114"/>
      <c r="F9" s="114"/>
      <c r="G9" s="254"/>
      <c r="H9" s="113"/>
      <c r="I9" s="114"/>
      <c r="J9" s="114"/>
      <c r="K9" s="114"/>
      <c r="L9" s="254"/>
      <c r="M9" s="113"/>
      <c r="N9" s="114"/>
      <c r="O9" s="114"/>
      <c r="P9" s="114"/>
      <c r="Q9" s="254"/>
      <c r="R9" s="331">
        <f t="shared" si="0"/>
        <v>3</v>
      </c>
      <c r="S9" s="332" t="str">
        <f t="shared" si="1"/>
        <v>Agel Fransiska</v>
      </c>
      <c r="T9" s="243" t="s">
        <v>63</v>
      </c>
      <c r="U9" s="114"/>
      <c r="V9" s="114"/>
      <c r="W9" s="114"/>
      <c r="X9" s="238"/>
      <c r="Y9" s="114"/>
      <c r="Z9" s="114"/>
      <c r="AA9" s="114"/>
      <c r="AB9" s="114"/>
      <c r="AC9" s="254"/>
      <c r="AD9" s="243"/>
      <c r="AE9" s="114"/>
      <c r="AF9" s="114"/>
      <c r="AG9" s="114"/>
      <c r="AH9" s="254"/>
    </row>
    <row r="10" spans="1:34" x14ac:dyDescent="0.25">
      <c r="A10" s="21">
        <v>4</v>
      </c>
      <c r="B10" s="133" t="str">
        <f>DATA!B13</f>
        <v>Alfin Putra Firmansyah</v>
      </c>
      <c r="C10" s="113" t="s">
        <v>63</v>
      </c>
      <c r="D10" s="114"/>
      <c r="E10" s="114"/>
      <c r="F10" s="114"/>
      <c r="G10" s="254"/>
      <c r="H10" s="113"/>
      <c r="I10" s="114"/>
      <c r="J10" s="114"/>
      <c r="K10" s="114"/>
      <c r="L10" s="254"/>
      <c r="M10" s="113"/>
      <c r="N10" s="114"/>
      <c r="O10" s="114"/>
      <c r="P10" s="114"/>
      <c r="Q10" s="254"/>
      <c r="R10" s="331">
        <f t="shared" si="0"/>
        <v>4</v>
      </c>
      <c r="S10" s="332" t="str">
        <f t="shared" si="1"/>
        <v>Alfin Putra Firmansyah</v>
      </c>
      <c r="T10" s="243" t="s">
        <v>63</v>
      </c>
      <c r="U10" s="114"/>
      <c r="V10" s="114"/>
      <c r="W10" s="114"/>
      <c r="X10" s="238"/>
      <c r="Y10" s="114"/>
      <c r="Z10" s="114"/>
      <c r="AA10" s="114"/>
      <c r="AB10" s="114"/>
      <c r="AC10" s="254"/>
      <c r="AD10" s="243"/>
      <c r="AE10" s="114"/>
      <c r="AF10" s="114"/>
      <c r="AG10" s="114"/>
      <c r="AH10" s="254"/>
    </row>
    <row r="11" spans="1:34" x14ac:dyDescent="0.25">
      <c r="A11" s="21">
        <v>5</v>
      </c>
      <c r="B11" s="133" t="str">
        <f>DATA!B14</f>
        <v>Almira Sadia Qonitah</v>
      </c>
      <c r="C11" s="113" t="s">
        <v>63</v>
      </c>
      <c r="D11" s="114"/>
      <c r="E11" s="114"/>
      <c r="F11" s="114"/>
      <c r="G11" s="254"/>
      <c r="H11" s="113"/>
      <c r="I11" s="114"/>
      <c r="J11" s="114"/>
      <c r="K11" s="114"/>
      <c r="L11" s="254"/>
      <c r="M11" s="113"/>
      <c r="N11" s="114"/>
      <c r="O11" s="114"/>
      <c r="P11" s="114"/>
      <c r="Q11" s="254"/>
      <c r="R11" s="331">
        <f t="shared" si="0"/>
        <v>5</v>
      </c>
      <c r="S11" s="332" t="str">
        <f t="shared" si="1"/>
        <v>Almira Sadia Qonitah</v>
      </c>
      <c r="T11" s="243" t="s">
        <v>63</v>
      </c>
      <c r="U11" s="114"/>
      <c r="V11" s="114"/>
      <c r="W11" s="114"/>
      <c r="X11" s="238"/>
      <c r="Y11" s="114"/>
      <c r="Z11" s="114"/>
      <c r="AA11" s="114"/>
      <c r="AB11" s="114"/>
      <c r="AC11" s="254"/>
      <c r="AD11" s="243"/>
      <c r="AE11" s="114"/>
      <c r="AF11" s="114"/>
      <c r="AG11" s="114"/>
      <c r="AH11" s="254"/>
    </row>
    <row r="12" spans="1:34" x14ac:dyDescent="0.25">
      <c r="A12" s="21">
        <v>6</v>
      </c>
      <c r="B12" s="133" t="str">
        <f>DATA!B15</f>
        <v>Arif Perdana Putra</v>
      </c>
      <c r="C12" s="113" t="s">
        <v>63</v>
      </c>
      <c r="D12" s="114"/>
      <c r="E12" s="114"/>
      <c r="F12" s="114"/>
      <c r="G12" s="254"/>
      <c r="H12" s="113"/>
      <c r="I12" s="114"/>
      <c r="J12" s="114"/>
      <c r="K12" s="114"/>
      <c r="L12" s="254"/>
      <c r="M12" s="113"/>
      <c r="N12" s="114"/>
      <c r="O12" s="114"/>
      <c r="P12" s="114"/>
      <c r="Q12" s="254"/>
      <c r="R12" s="331">
        <f t="shared" si="0"/>
        <v>6</v>
      </c>
      <c r="S12" s="332" t="str">
        <f t="shared" si="1"/>
        <v>Arif Perdana Putra</v>
      </c>
      <c r="T12" s="243" t="s">
        <v>63</v>
      </c>
      <c r="U12" s="114"/>
      <c r="V12" s="114"/>
      <c r="W12" s="114"/>
      <c r="X12" s="238"/>
      <c r="Y12" s="114"/>
      <c r="Z12" s="114"/>
      <c r="AA12" s="114"/>
      <c r="AB12" s="114"/>
      <c r="AC12" s="254"/>
      <c r="AD12" s="243"/>
      <c r="AE12" s="114"/>
      <c r="AF12" s="114"/>
      <c r="AG12" s="114"/>
      <c r="AH12" s="254"/>
    </row>
    <row r="13" spans="1:34" x14ac:dyDescent="0.25">
      <c r="A13" s="21">
        <v>7</v>
      </c>
      <c r="B13" s="133" t="str">
        <f>DATA!B16</f>
        <v>Asifa Nariyati</v>
      </c>
      <c r="C13" s="113" t="s">
        <v>63</v>
      </c>
      <c r="D13" s="114"/>
      <c r="E13" s="114"/>
      <c r="F13" s="114"/>
      <c r="G13" s="254"/>
      <c r="H13" s="113"/>
      <c r="I13" s="114"/>
      <c r="J13" s="114"/>
      <c r="K13" s="114"/>
      <c r="L13" s="254"/>
      <c r="M13" s="113"/>
      <c r="N13" s="114"/>
      <c r="O13" s="114"/>
      <c r="P13" s="114"/>
      <c r="Q13" s="254"/>
      <c r="R13" s="331">
        <f t="shared" si="0"/>
        <v>7</v>
      </c>
      <c r="S13" s="332" t="str">
        <f t="shared" si="1"/>
        <v>Asifa Nariyati</v>
      </c>
      <c r="T13" s="243" t="s">
        <v>63</v>
      </c>
      <c r="U13" s="114"/>
      <c r="V13" s="114"/>
      <c r="W13" s="114"/>
      <c r="X13" s="238"/>
      <c r="Y13" s="114"/>
      <c r="Z13" s="114"/>
      <c r="AA13" s="114"/>
      <c r="AB13" s="114"/>
      <c r="AC13" s="254"/>
      <c r="AD13" s="243"/>
      <c r="AE13" s="114"/>
      <c r="AF13" s="114"/>
      <c r="AG13" s="114"/>
      <c r="AH13" s="254"/>
    </row>
    <row r="14" spans="1:34" x14ac:dyDescent="0.25">
      <c r="A14" s="21">
        <v>8</v>
      </c>
      <c r="B14" s="133" t="str">
        <f>DATA!B17</f>
        <v>Calvin Mandala Putra</v>
      </c>
      <c r="C14" s="113" t="s">
        <v>63</v>
      </c>
      <c r="D14" s="114"/>
      <c r="E14" s="114"/>
      <c r="F14" s="114"/>
      <c r="G14" s="254"/>
      <c r="H14" s="113"/>
      <c r="I14" s="114"/>
      <c r="J14" s="114"/>
      <c r="K14" s="114"/>
      <c r="L14" s="254"/>
      <c r="M14" s="113"/>
      <c r="N14" s="114"/>
      <c r="O14" s="114"/>
      <c r="P14" s="114"/>
      <c r="Q14" s="254"/>
      <c r="R14" s="331">
        <f t="shared" si="0"/>
        <v>8</v>
      </c>
      <c r="S14" s="332" t="str">
        <f t="shared" si="1"/>
        <v>Calvin Mandala Putra</v>
      </c>
      <c r="T14" s="243" t="s">
        <v>63</v>
      </c>
      <c r="U14" s="114"/>
      <c r="V14" s="114"/>
      <c r="W14" s="114"/>
      <c r="X14" s="238"/>
      <c r="Y14" s="114"/>
      <c r="Z14" s="114"/>
      <c r="AA14" s="114"/>
      <c r="AB14" s="114"/>
      <c r="AC14" s="254"/>
      <c r="AD14" s="243"/>
      <c r="AE14" s="114"/>
      <c r="AF14" s="114"/>
      <c r="AG14" s="114"/>
      <c r="AH14" s="254"/>
    </row>
    <row r="15" spans="1:34" x14ac:dyDescent="0.25">
      <c r="A15" s="21">
        <v>9</v>
      </c>
      <c r="B15" s="133" t="str">
        <f>DATA!B18</f>
        <v>Decha Rifqoh Alma Dhini</v>
      </c>
      <c r="C15" s="113" t="s">
        <v>63</v>
      </c>
      <c r="D15" s="114"/>
      <c r="E15" s="114"/>
      <c r="F15" s="114"/>
      <c r="G15" s="254"/>
      <c r="H15" s="113"/>
      <c r="I15" s="114"/>
      <c r="J15" s="114"/>
      <c r="K15" s="114"/>
      <c r="L15" s="254"/>
      <c r="M15" s="113"/>
      <c r="N15" s="114"/>
      <c r="O15" s="114"/>
      <c r="P15" s="114"/>
      <c r="Q15" s="254"/>
      <c r="R15" s="331">
        <f t="shared" si="0"/>
        <v>9</v>
      </c>
      <c r="S15" s="332" t="str">
        <f t="shared" si="1"/>
        <v>Decha Rifqoh Alma Dhini</v>
      </c>
      <c r="T15" s="243" t="s">
        <v>63</v>
      </c>
      <c r="U15" s="114"/>
      <c r="V15" s="114"/>
      <c r="W15" s="114"/>
      <c r="X15" s="238"/>
      <c r="Y15" s="114"/>
      <c r="Z15" s="114"/>
      <c r="AA15" s="114"/>
      <c r="AB15" s="114"/>
      <c r="AC15" s="254"/>
      <c r="AD15" s="243"/>
      <c r="AE15" s="114"/>
      <c r="AF15" s="114"/>
      <c r="AG15" s="114"/>
      <c r="AH15" s="254"/>
    </row>
    <row r="16" spans="1:34" x14ac:dyDescent="0.25">
      <c r="A16" s="21">
        <v>10</v>
      </c>
      <c r="B16" s="133" t="str">
        <f>DATA!B19</f>
        <v>Fathir Hibatullah Harahap</v>
      </c>
      <c r="C16" s="113" t="s">
        <v>63</v>
      </c>
      <c r="D16" s="114"/>
      <c r="E16" s="114"/>
      <c r="F16" s="114"/>
      <c r="G16" s="254"/>
      <c r="H16" s="113"/>
      <c r="I16" s="114"/>
      <c r="J16" s="114"/>
      <c r="K16" s="114"/>
      <c r="L16" s="254"/>
      <c r="M16" s="113"/>
      <c r="N16" s="114"/>
      <c r="O16" s="114"/>
      <c r="P16" s="114"/>
      <c r="Q16" s="254"/>
      <c r="R16" s="331">
        <f t="shared" si="0"/>
        <v>10</v>
      </c>
      <c r="S16" s="332" t="str">
        <f t="shared" si="1"/>
        <v>Fathir Hibatullah Harahap</v>
      </c>
      <c r="T16" s="243" t="s">
        <v>63</v>
      </c>
      <c r="U16" s="114"/>
      <c r="V16" s="114"/>
      <c r="W16" s="114"/>
      <c r="X16" s="238"/>
      <c r="Y16" s="114"/>
      <c r="Z16" s="114"/>
      <c r="AA16" s="114"/>
      <c r="AB16" s="114"/>
      <c r="AC16" s="254"/>
      <c r="AD16" s="243"/>
      <c r="AE16" s="114"/>
      <c r="AF16" s="114"/>
      <c r="AG16" s="114"/>
      <c r="AH16" s="254"/>
    </row>
    <row r="17" spans="1:34" x14ac:dyDescent="0.25">
      <c r="A17" s="21">
        <v>11</v>
      </c>
      <c r="B17" s="133" t="str">
        <f>DATA!B20</f>
        <v>Gendhis Putri Ayreanti</v>
      </c>
      <c r="C17" s="113" t="s">
        <v>63</v>
      </c>
      <c r="D17" s="114"/>
      <c r="E17" s="114"/>
      <c r="F17" s="114"/>
      <c r="G17" s="254"/>
      <c r="H17" s="113"/>
      <c r="I17" s="114"/>
      <c r="J17" s="114"/>
      <c r="K17" s="114"/>
      <c r="L17" s="254"/>
      <c r="M17" s="113"/>
      <c r="N17" s="114"/>
      <c r="O17" s="114"/>
      <c r="P17" s="114"/>
      <c r="Q17" s="254"/>
      <c r="R17" s="331">
        <f t="shared" si="0"/>
        <v>11</v>
      </c>
      <c r="S17" s="332" t="str">
        <f t="shared" si="1"/>
        <v>Gendhis Putri Ayreanti</v>
      </c>
      <c r="T17" s="243" t="s">
        <v>63</v>
      </c>
      <c r="U17" s="114"/>
      <c r="V17" s="114"/>
      <c r="W17" s="114"/>
      <c r="X17" s="238"/>
      <c r="Y17" s="114"/>
      <c r="Z17" s="114"/>
      <c r="AA17" s="114"/>
      <c r="AB17" s="114"/>
      <c r="AC17" s="254"/>
      <c r="AD17" s="243"/>
      <c r="AE17" s="114"/>
      <c r="AF17" s="114"/>
      <c r="AG17" s="114"/>
      <c r="AH17" s="254"/>
    </row>
    <row r="18" spans="1:34" x14ac:dyDescent="0.25">
      <c r="A18" s="21">
        <v>12</v>
      </c>
      <c r="B18" s="133" t="str">
        <f>DATA!B21</f>
        <v>Habibi Lazuardi</v>
      </c>
      <c r="C18" s="113" t="s">
        <v>63</v>
      </c>
      <c r="D18" s="114"/>
      <c r="E18" s="114"/>
      <c r="F18" s="114"/>
      <c r="G18" s="254"/>
      <c r="H18" s="113"/>
      <c r="I18" s="114"/>
      <c r="J18" s="114"/>
      <c r="K18" s="114"/>
      <c r="L18" s="254"/>
      <c r="M18" s="113"/>
      <c r="N18" s="114"/>
      <c r="O18" s="114"/>
      <c r="P18" s="114"/>
      <c r="Q18" s="254"/>
      <c r="R18" s="331">
        <f t="shared" si="0"/>
        <v>12</v>
      </c>
      <c r="S18" s="332" t="str">
        <f t="shared" si="1"/>
        <v>Habibi Lazuardi</v>
      </c>
      <c r="T18" s="243" t="s">
        <v>63</v>
      </c>
      <c r="U18" s="114"/>
      <c r="V18" s="114"/>
      <c r="W18" s="114"/>
      <c r="X18" s="238"/>
      <c r="Y18" s="114"/>
      <c r="Z18" s="114"/>
      <c r="AA18" s="114"/>
      <c r="AB18" s="114"/>
      <c r="AC18" s="254"/>
      <c r="AD18" s="243"/>
      <c r="AE18" s="114"/>
      <c r="AF18" s="114"/>
      <c r="AG18" s="114"/>
      <c r="AH18" s="254"/>
    </row>
    <row r="19" spans="1:34" x14ac:dyDescent="0.25">
      <c r="A19" s="21">
        <v>13</v>
      </c>
      <c r="B19" s="133" t="str">
        <f>DATA!B22</f>
        <v>Herina Sasha Rasati</v>
      </c>
      <c r="C19" s="113" t="s">
        <v>63</v>
      </c>
      <c r="D19" s="114"/>
      <c r="E19" s="114"/>
      <c r="F19" s="114"/>
      <c r="G19" s="254"/>
      <c r="H19" s="113"/>
      <c r="I19" s="114"/>
      <c r="J19" s="114"/>
      <c r="K19" s="114"/>
      <c r="L19" s="254"/>
      <c r="M19" s="113"/>
      <c r="N19" s="114"/>
      <c r="O19" s="114"/>
      <c r="P19" s="114"/>
      <c r="Q19" s="254"/>
      <c r="R19" s="331">
        <f t="shared" si="0"/>
        <v>13</v>
      </c>
      <c r="S19" s="332" t="str">
        <f t="shared" si="1"/>
        <v>Herina Sasha Rasati</v>
      </c>
      <c r="T19" s="243" t="s">
        <v>63</v>
      </c>
      <c r="U19" s="114"/>
      <c r="V19" s="114"/>
      <c r="W19" s="114"/>
      <c r="X19" s="238"/>
      <c r="Y19" s="114"/>
      <c r="Z19" s="114"/>
      <c r="AA19" s="114"/>
      <c r="AB19" s="114"/>
      <c r="AC19" s="254"/>
      <c r="AD19" s="243"/>
      <c r="AE19" s="114"/>
      <c r="AF19" s="114"/>
      <c r="AG19" s="114"/>
      <c r="AH19" s="254"/>
    </row>
    <row r="20" spans="1:34" x14ac:dyDescent="0.25">
      <c r="A20" s="21">
        <v>14</v>
      </c>
      <c r="B20" s="133" t="str">
        <f>DATA!B23</f>
        <v>Ivan Adi Saputra</v>
      </c>
      <c r="C20" s="113" t="s">
        <v>63</v>
      </c>
      <c r="D20" s="114"/>
      <c r="E20" s="114"/>
      <c r="F20" s="114"/>
      <c r="G20" s="254"/>
      <c r="H20" s="113"/>
      <c r="I20" s="114"/>
      <c r="J20" s="114"/>
      <c r="K20" s="114"/>
      <c r="L20" s="254"/>
      <c r="M20" s="113"/>
      <c r="N20" s="114"/>
      <c r="O20" s="114"/>
      <c r="P20" s="114"/>
      <c r="Q20" s="254"/>
      <c r="R20" s="331">
        <f t="shared" si="0"/>
        <v>14</v>
      </c>
      <c r="S20" s="332" t="str">
        <f t="shared" si="1"/>
        <v>Ivan Adi Saputra</v>
      </c>
      <c r="T20" s="243" t="s">
        <v>63</v>
      </c>
      <c r="U20" s="114"/>
      <c r="V20" s="114"/>
      <c r="W20" s="114"/>
      <c r="X20" s="238"/>
      <c r="Y20" s="114"/>
      <c r="Z20" s="114"/>
      <c r="AA20" s="114"/>
      <c r="AB20" s="114"/>
      <c r="AC20" s="254"/>
      <c r="AD20" s="243"/>
      <c r="AE20" s="114"/>
      <c r="AF20" s="114"/>
      <c r="AG20" s="114"/>
      <c r="AH20" s="254"/>
    </row>
    <row r="21" spans="1:34" x14ac:dyDescent="0.25">
      <c r="A21" s="21">
        <v>15</v>
      </c>
      <c r="B21" s="133" t="str">
        <f>DATA!B24</f>
        <v>Ivander Veda Ardyanta</v>
      </c>
      <c r="C21" s="113" t="s">
        <v>63</v>
      </c>
      <c r="D21" s="114"/>
      <c r="E21" s="114"/>
      <c r="F21" s="114"/>
      <c r="G21" s="254"/>
      <c r="H21" s="113"/>
      <c r="I21" s="114"/>
      <c r="J21" s="114"/>
      <c r="K21" s="114"/>
      <c r="L21" s="254"/>
      <c r="M21" s="113"/>
      <c r="N21" s="114"/>
      <c r="O21" s="114"/>
      <c r="P21" s="114"/>
      <c r="Q21" s="254"/>
      <c r="R21" s="331">
        <f t="shared" si="0"/>
        <v>15</v>
      </c>
      <c r="S21" s="332" t="str">
        <f t="shared" si="1"/>
        <v>Ivander Veda Ardyanta</v>
      </c>
      <c r="T21" s="243" t="s">
        <v>63</v>
      </c>
      <c r="U21" s="114"/>
      <c r="V21" s="114"/>
      <c r="W21" s="114"/>
      <c r="X21" s="238"/>
      <c r="Y21" s="114"/>
      <c r="Z21" s="114"/>
      <c r="AA21" s="114"/>
      <c r="AB21" s="114"/>
      <c r="AC21" s="254"/>
      <c r="AD21" s="243"/>
      <c r="AE21" s="114"/>
      <c r="AF21" s="114"/>
      <c r="AG21" s="114"/>
      <c r="AH21" s="254"/>
    </row>
    <row r="22" spans="1:34" x14ac:dyDescent="0.25">
      <c r="A22" s="21">
        <v>16</v>
      </c>
      <c r="B22" s="133" t="str">
        <f>DATA!B25</f>
        <v>Keysa Lutfi Yana Putri</v>
      </c>
      <c r="C22" s="113" t="s">
        <v>63</v>
      </c>
      <c r="D22" s="114"/>
      <c r="E22" s="114"/>
      <c r="F22" s="114"/>
      <c r="G22" s="254"/>
      <c r="H22" s="113"/>
      <c r="I22" s="114"/>
      <c r="J22" s="114"/>
      <c r="K22" s="114"/>
      <c r="L22" s="254"/>
      <c r="M22" s="113"/>
      <c r="N22" s="114"/>
      <c r="O22" s="114"/>
      <c r="P22" s="114"/>
      <c r="Q22" s="254"/>
      <c r="R22" s="331">
        <f t="shared" si="0"/>
        <v>16</v>
      </c>
      <c r="S22" s="332" t="str">
        <f t="shared" si="1"/>
        <v>Keysa Lutfi Yana Putri</v>
      </c>
      <c r="T22" s="243" t="s">
        <v>63</v>
      </c>
      <c r="U22" s="114"/>
      <c r="V22" s="114"/>
      <c r="W22" s="114"/>
      <c r="X22" s="238"/>
      <c r="Y22" s="114"/>
      <c r="Z22" s="114"/>
      <c r="AA22" s="114"/>
      <c r="AB22" s="114"/>
      <c r="AC22" s="254"/>
      <c r="AD22" s="243"/>
      <c r="AE22" s="114"/>
      <c r="AF22" s="114"/>
      <c r="AG22" s="114"/>
      <c r="AH22" s="254"/>
    </row>
    <row r="23" spans="1:34" x14ac:dyDescent="0.25">
      <c r="A23" s="21">
        <v>17</v>
      </c>
      <c r="B23" s="133" t="str">
        <f>DATA!B26</f>
        <v>Khanaya Putri Emeyliana</v>
      </c>
      <c r="C23" s="113" t="s">
        <v>63</v>
      </c>
      <c r="D23" s="114"/>
      <c r="E23" s="114"/>
      <c r="F23" s="114"/>
      <c r="G23" s="254"/>
      <c r="H23" s="113"/>
      <c r="I23" s="114"/>
      <c r="J23" s="114"/>
      <c r="K23" s="114"/>
      <c r="L23" s="254"/>
      <c r="M23" s="113"/>
      <c r="N23" s="114"/>
      <c r="O23" s="114"/>
      <c r="P23" s="114"/>
      <c r="Q23" s="254"/>
      <c r="R23" s="331">
        <f t="shared" si="0"/>
        <v>17</v>
      </c>
      <c r="S23" s="332" t="str">
        <f t="shared" si="1"/>
        <v>Khanaya Putri Emeyliana</v>
      </c>
      <c r="T23" s="243" t="s">
        <v>63</v>
      </c>
      <c r="U23" s="114"/>
      <c r="V23" s="114"/>
      <c r="W23" s="114"/>
      <c r="X23" s="238"/>
      <c r="Y23" s="114"/>
      <c r="Z23" s="114"/>
      <c r="AA23" s="114"/>
      <c r="AB23" s="114"/>
      <c r="AC23" s="254"/>
      <c r="AD23" s="243"/>
      <c r="AE23" s="114"/>
      <c r="AF23" s="114"/>
      <c r="AG23" s="114"/>
      <c r="AH23" s="254"/>
    </row>
    <row r="24" spans="1:34" x14ac:dyDescent="0.25">
      <c r="A24" s="21">
        <v>18</v>
      </c>
      <c r="B24" s="133" t="str">
        <f>DATA!B27</f>
        <v>Khoirul Rodzikin</v>
      </c>
      <c r="C24" s="113" t="s">
        <v>63</v>
      </c>
      <c r="D24" s="114"/>
      <c r="E24" s="114"/>
      <c r="F24" s="114"/>
      <c r="G24" s="254"/>
      <c r="H24" s="113"/>
      <c r="I24" s="114"/>
      <c r="J24" s="114"/>
      <c r="K24" s="114"/>
      <c r="L24" s="254"/>
      <c r="M24" s="113"/>
      <c r="N24" s="114"/>
      <c r="O24" s="114"/>
      <c r="P24" s="114"/>
      <c r="Q24" s="254"/>
      <c r="R24" s="331">
        <f t="shared" si="0"/>
        <v>18</v>
      </c>
      <c r="S24" s="332" t="str">
        <f t="shared" si="1"/>
        <v>Khoirul Rodzikin</v>
      </c>
      <c r="T24" s="243" t="s">
        <v>63</v>
      </c>
      <c r="U24" s="114"/>
      <c r="V24" s="114"/>
      <c r="W24" s="114"/>
      <c r="X24" s="238"/>
      <c r="Y24" s="114"/>
      <c r="Z24" s="114"/>
      <c r="AA24" s="114"/>
      <c r="AB24" s="114"/>
      <c r="AC24" s="254"/>
      <c r="AD24" s="243"/>
      <c r="AE24" s="114"/>
      <c r="AF24" s="114"/>
      <c r="AG24" s="114"/>
      <c r="AH24" s="254"/>
    </row>
    <row r="25" spans="1:34" x14ac:dyDescent="0.25">
      <c r="A25" s="21">
        <v>19</v>
      </c>
      <c r="B25" s="133" t="str">
        <f>DATA!B28</f>
        <v>Livia Mozavina</v>
      </c>
      <c r="C25" s="113" t="s">
        <v>63</v>
      </c>
      <c r="D25" s="114"/>
      <c r="E25" s="114"/>
      <c r="F25" s="114"/>
      <c r="G25" s="254"/>
      <c r="H25" s="113"/>
      <c r="I25" s="114"/>
      <c r="J25" s="114"/>
      <c r="K25" s="114"/>
      <c r="L25" s="254"/>
      <c r="M25" s="113"/>
      <c r="N25" s="114"/>
      <c r="O25" s="114"/>
      <c r="P25" s="114"/>
      <c r="Q25" s="254"/>
      <c r="R25" s="331">
        <f t="shared" si="0"/>
        <v>19</v>
      </c>
      <c r="S25" s="332" t="str">
        <f t="shared" si="1"/>
        <v>Livia Mozavina</v>
      </c>
      <c r="T25" s="243" t="s">
        <v>63</v>
      </c>
      <c r="U25" s="114"/>
      <c r="V25" s="114"/>
      <c r="W25" s="114"/>
      <c r="X25" s="238"/>
      <c r="Y25" s="114"/>
      <c r="Z25" s="114"/>
      <c r="AA25" s="114"/>
      <c r="AB25" s="114"/>
      <c r="AC25" s="254"/>
      <c r="AD25" s="243"/>
      <c r="AE25" s="114"/>
      <c r="AF25" s="114"/>
      <c r="AG25" s="114"/>
      <c r="AH25" s="254"/>
    </row>
    <row r="26" spans="1:34" x14ac:dyDescent="0.25">
      <c r="A26" s="21">
        <v>20</v>
      </c>
      <c r="B26" s="133" t="str">
        <f>DATA!B29</f>
        <v>Milatul Ulya Azzahra</v>
      </c>
      <c r="C26" s="113" t="s">
        <v>63</v>
      </c>
      <c r="D26" s="114"/>
      <c r="E26" s="114"/>
      <c r="F26" s="114"/>
      <c r="G26" s="254"/>
      <c r="H26" s="113"/>
      <c r="I26" s="114"/>
      <c r="J26" s="114"/>
      <c r="K26" s="114"/>
      <c r="L26" s="254"/>
      <c r="M26" s="113"/>
      <c r="N26" s="114"/>
      <c r="O26" s="114"/>
      <c r="P26" s="114"/>
      <c r="Q26" s="254"/>
      <c r="R26" s="331">
        <f t="shared" si="0"/>
        <v>20</v>
      </c>
      <c r="S26" s="332" t="str">
        <f t="shared" si="1"/>
        <v>Milatul Ulya Azzahra</v>
      </c>
      <c r="T26" s="243" t="s">
        <v>63</v>
      </c>
      <c r="U26" s="114"/>
      <c r="V26" s="114"/>
      <c r="W26" s="114"/>
      <c r="X26" s="238"/>
      <c r="Y26" s="114"/>
      <c r="Z26" s="114"/>
      <c r="AA26" s="114"/>
      <c r="AB26" s="114"/>
      <c r="AC26" s="254"/>
      <c r="AD26" s="243"/>
      <c r="AE26" s="114"/>
      <c r="AF26" s="114"/>
      <c r="AG26" s="114"/>
      <c r="AH26" s="254"/>
    </row>
    <row r="27" spans="1:34" x14ac:dyDescent="0.25">
      <c r="A27" s="21">
        <v>21</v>
      </c>
      <c r="B27" s="133" t="str">
        <f>DATA!B30</f>
        <v>Muhammad Arif Pratama</v>
      </c>
      <c r="C27" s="113" t="s">
        <v>63</v>
      </c>
      <c r="D27" s="114"/>
      <c r="E27" s="114"/>
      <c r="F27" s="114"/>
      <c r="G27" s="254"/>
      <c r="H27" s="113"/>
      <c r="I27" s="114"/>
      <c r="J27" s="114"/>
      <c r="K27" s="114"/>
      <c r="L27" s="254"/>
      <c r="M27" s="113"/>
      <c r="N27" s="114"/>
      <c r="O27" s="114"/>
      <c r="P27" s="114"/>
      <c r="Q27" s="254"/>
      <c r="R27" s="331">
        <f t="shared" si="0"/>
        <v>21</v>
      </c>
      <c r="S27" s="332" t="str">
        <f t="shared" si="1"/>
        <v>Muhammad Arif Pratama</v>
      </c>
      <c r="T27" s="243" t="s">
        <v>63</v>
      </c>
      <c r="U27" s="114"/>
      <c r="V27" s="114"/>
      <c r="W27" s="114"/>
      <c r="X27" s="238"/>
      <c r="Y27" s="114"/>
      <c r="Z27" s="114"/>
      <c r="AA27" s="114"/>
      <c r="AB27" s="114"/>
      <c r="AC27" s="254"/>
      <c r="AD27" s="243"/>
      <c r="AE27" s="114"/>
      <c r="AF27" s="114"/>
      <c r="AG27" s="114"/>
      <c r="AH27" s="254"/>
    </row>
    <row r="28" spans="1:34" x14ac:dyDescent="0.25">
      <c r="A28" s="21">
        <v>22</v>
      </c>
      <c r="B28" s="133" t="str">
        <f>DATA!B31</f>
        <v>Muhammad Fahri Khoirudin</v>
      </c>
      <c r="C28" s="113" t="s">
        <v>63</v>
      </c>
      <c r="D28" s="114"/>
      <c r="E28" s="114"/>
      <c r="F28" s="114"/>
      <c r="G28" s="254"/>
      <c r="H28" s="113"/>
      <c r="I28" s="114"/>
      <c r="J28" s="114"/>
      <c r="K28" s="114"/>
      <c r="L28" s="254"/>
      <c r="M28" s="113"/>
      <c r="N28" s="114"/>
      <c r="O28" s="114"/>
      <c r="P28" s="114"/>
      <c r="Q28" s="254"/>
      <c r="R28" s="331">
        <f t="shared" si="0"/>
        <v>22</v>
      </c>
      <c r="S28" s="332" t="str">
        <f t="shared" si="1"/>
        <v>Muhammad Fahri Khoirudin</v>
      </c>
      <c r="T28" s="243" t="s">
        <v>63</v>
      </c>
      <c r="U28" s="114"/>
      <c r="V28" s="114"/>
      <c r="W28" s="114"/>
      <c r="X28" s="238"/>
      <c r="Y28" s="114"/>
      <c r="Z28" s="114"/>
      <c r="AA28" s="114"/>
      <c r="AB28" s="114"/>
      <c r="AC28" s="254"/>
      <c r="AD28" s="243"/>
      <c r="AE28" s="114"/>
      <c r="AF28" s="114"/>
      <c r="AG28" s="114"/>
      <c r="AH28" s="254"/>
    </row>
    <row r="29" spans="1:34" x14ac:dyDescent="0.25">
      <c r="A29" s="21">
        <v>23</v>
      </c>
      <c r="B29" s="133" t="str">
        <f>DATA!B32</f>
        <v>Muhammad Rakha Razansyah</v>
      </c>
      <c r="C29" s="113" t="s">
        <v>63</v>
      </c>
      <c r="D29" s="114"/>
      <c r="E29" s="114"/>
      <c r="F29" s="114"/>
      <c r="G29" s="254"/>
      <c r="H29" s="113"/>
      <c r="I29" s="114"/>
      <c r="J29" s="114"/>
      <c r="K29" s="114"/>
      <c r="L29" s="254"/>
      <c r="M29" s="113"/>
      <c r="N29" s="114"/>
      <c r="O29" s="114"/>
      <c r="P29" s="114"/>
      <c r="Q29" s="254"/>
      <c r="R29" s="331">
        <f t="shared" si="0"/>
        <v>23</v>
      </c>
      <c r="S29" s="332" t="str">
        <f t="shared" si="1"/>
        <v>Muhammad Rakha Razansyah</v>
      </c>
      <c r="T29" s="243" t="s">
        <v>63</v>
      </c>
      <c r="U29" s="114"/>
      <c r="V29" s="114"/>
      <c r="W29" s="114"/>
      <c r="X29" s="238"/>
      <c r="Y29" s="114"/>
      <c r="Z29" s="114"/>
      <c r="AA29" s="114"/>
      <c r="AB29" s="114"/>
      <c r="AC29" s="254"/>
      <c r="AD29" s="243"/>
      <c r="AE29" s="114"/>
      <c r="AF29" s="114"/>
      <c r="AG29" s="114"/>
      <c r="AH29" s="254"/>
    </row>
    <row r="30" spans="1:34" x14ac:dyDescent="0.25">
      <c r="A30" s="21">
        <v>24</v>
      </c>
      <c r="B30" s="133" t="str">
        <f>DATA!B33</f>
        <v>Mutiara Dewi Khusna</v>
      </c>
      <c r="C30" s="113" t="s">
        <v>63</v>
      </c>
      <c r="D30" s="114"/>
      <c r="E30" s="114"/>
      <c r="F30" s="114"/>
      <c r="G30" s="254"/>
      <c r="H30" s="113"/>
      <c r="I30" s="114"/>
      <c r="J30" s="114"/>
      <c r="K30" s="114"/>
      <c r="L30" s="254"/>
      <c r="M30" s="113"/>
      <c r="N30" s="114"/>
      <c r="O30" s="114"/>
      <c r="P30" s="114"/>
      <c r="Q30" s="254"/>
      <c r="R30" s="331">
        <f t="shared" si="0"/>
        <v>24</v>
      </c>
      <c r="S30" s="332" t="str">
        <f t="shared" si="1"/>
        <v>Mutiara Dewi Khusna</v>
      </c>
      <c r="T30" s="243" t="s">
        <v>63</v>
      </c>
      <c r="U30" s="114"/>
      <c r="V30" s="114"/>
      <c r="W30" s="114"/>
      <c r="X30" s="238"/>
      <c r="Y30" s="114"/>
      <c r="Z30" s="114"/>
      <c r="AA30" s="114"/>
      <c r="AB30" s="114"/>
      <c r="AC30" s="254"/>
      <c r="AD30" s="243"/>
      <c r="AE30" s="114"/>
      <c r="AF30" s="114"/>
      <c r="AG30" s="114"/>
      <c r="AH30" s="254"/>
    </row>
    <row r="31" spans="1:34" x14ac:dyDescent="0.25">
      <c r="A31" s="21">
        <v>25</v>
      </c>
      <c r="B31" s="133" t="str">
        <f>DATA!B34</f>
        <v>Qeysya Nabila Maharani</v>
      </c>
      <c r="C31" s="113" t="s">
        <v>63</v>
      </c>
      <c r="D31" s="114"/>
      <c r="E31" s="114"/>
      <c r="F31" s="114"/>
      <c r="G31" s="254"/>
      <c r="H31" s="113"/>
      <c r="I31" s="114"/>
      <c r="J31" s="114"/>
      <c r="K31" s="114"/>
      <c r="L31" s="254"/>
      <c r="M31" s="113"/>
      <c r="N31" s="114"/>
      <c r="O31" s="114"/>
      <c r="P31" s="114"/>
      <c r="Q31" s="254"/>
      <c r="R31" s="331">
        <f t="shared" si="0"/>
        <v>25</v>
      </c>
      <c r="S31" s="332" t="str">
        <f t="shared" si="1"/>
        <v>Qeysya Nabila Maharani</v>
      </c>
      <c r="T31" s="243" t="s">
        <v>63</v>
      </c>
      <c r="U31" s="114"/>
      <c r="V31" s="114"/>
      <c r="W31" s="114"/>
      <c r="X31" s="238"/>
      <c r="Y31" s="114"/>
      <c r="Z31" s="114"/>
      <c r="AA31" s="114"/>
      <c r="AB31" s="114"/>
      <c r="AC31" s="254"/>
      <c r="AD31" s="243"/>
      <c r="AE31" s="114"/>
      <c r="AF31" s="114"/>
      <c r="AG31" s="114"/>
      <c r="AH31" s="254"/>
    </row>
    <row r="32" spans="1:34" x14ac:dyDescent="0.25">
      <c r="A32" s="21">
        <v>26</v>
      </c>
      <c r="B32" s="133" t="str">
        <f>DATA!B35</f>
        <v>Raihan Akbar Ramadhan</v>
      </c>
      <c r="C32" s="113" t="s">
        <v>63</v>
      </c>
      <c r="D32" s="114"/>
      <c r="E32" s="114"/>
      <c r="F32" s="114"/>
      <c r="G32" s="254"/>
      <c r="H32" s="113"/>
      <c r="I32" s="114"/>
      <c r="J32" s="114"/>
      <c r="K32" s="114"/>
      <c r="L32" s="254"/>
      <c r="M32" s="113"/>
      <c r="N32" s="114"/>
      <c r="O32" s="114"/>
      <c r="P32" s="114"/>
      <c r="Q32" s="254"/>
      <c r="R32" s="331">
        <f t="shared" si="0"/>
        <v>26</v>
      </c>
      <c r="S32" s="332" t="str">
        <f t="shared" si="1"/>
        <v>Raihan Akbar Ramadhan</v>
      </c>
      <c r="T32" s="243" t="s">
        <v>63</v>
      </c>
      <c r="U32" s="114"/>
      <c r="V32" s="114"/>
      <c r="W32" s="114"/>
      <c r="X32" s="238"/>
      <c r="Y32" s="114"/>
      <c r="Z32" s="114"/>
      <c r="AA32" s="114"/>
      <c r="AB32" s="114"/>
      <c r="AC32" s="254"/>
      <c r="AD32" s="243"/>
      <c r="AE32" s="114"/>
      <c r="AF32" s="114"/>
      <c r="AG32" s="114"/>
      <c r="AH32" s="254"/>
    </row>
    <row r="33" spans="1:34" x14ac:dyDescent="0.25">
      <c r="A33" s="21">
        <v>27</v>
      </c>
      <c r="B33" s="133" t="str">
        <f>DATA!B36</f>
        <v>Ramadhani</v>
      </c>
      <c r="C33" s="113" t="s">
        <v>63</v>
      </c>
      <c r="D33" s="114"/>
      <c r="E33" s="114"/>
      <c r="F33" s="114"/>
      <c r="G33" s="254"/>
      <c r="H33" s="113"/>
      <c r="I33" s="114"/>
      <c r="J33" s="114"/>
      <c r="K33" s="114"/>
      <c r="L33" s="254"/>
      <c r="M33" s="113"/>
      <c r="N33" s="114"/>
      <c r="O33" s="114"/>
      <c r="P33" s="114"/>
      <c r="Q33" s="254"/>
      <c r="R33" s="331">
        <f t="shared" si="0"/>
        <v>27</v>
      </c>
      <c r="S33" s="332" t="str">
        <f t="shared" si="1"/>
        <v>Ramadhani</v>
      </c>
      <c r="T33" s="243" t="s">
        <v>63</v>
      </c>
      <c r="U33" s="114"/>
      <c r="V33" s="114"/>
      <c r="W33" s="114"/>
      <c r="X33" s="238"/>
      <c r="Y33" s="114"/>
      <c r="Z33" s="114"/>
      <c r="AA33" s="114"/>
      <c r="AB33" s="114"/>
      <c r="AC33" s="254"/>
      <c r="AD33" s="243"/>
      <c r="AE33" s="114"/>
      <c r="AF33" s="114"/>
      <c r="AG33" s="114"/>
      <c r="AH33" s="254"/>
    </row>
    <row r="34" spans="1:34" x14ac:dyDescent="0.25">
      <c r="A34" s="21">
        <v>28</v>
      </c>
      <c r="B34" s="133" t="str">
        <f>DATA!B37</f>
        <v>Rangga Putra Raditya</v>
      </c>
      <c r="C34" s="113" t="s">
        <v>63</v>
      </c>
      <c r="D34" s="114"/>
      <c r="E34" s="114"/>
      <c r="F34" s="114"/>
      <c r="G34" s="254"/>
      <c r="H34" s="113"/>
      <c r="I34" s="114"/>
      <c r="J34" s="114"/>
      <c r="K34" s="114"/>
      <c r="L34" s="254"/>
      <c r="M34" s="113"/>
      <c r="N34" s="114"/>
      <c r="O34" s="114"/>
      <c r="P34" s="114"/>
      <c r="Q34" s="254"/>
      <c r="R34" s="331">
        <f t="shared" si="0"/>
        <v>28</v>
      </c>
      <c r="S34" s="332" t="str">
        <f t="shared" si="1"/>
        <v>Rangga Putra Raditya</v>
      </c>
      <c r="T34" s="243" t="s">
        <v>63</v>
      </c>
      <c r="U34" s="114"/>
      <c r="V34" s="114"/>
      <c r="W34" s="114"/>
      <c r="X34" s="238"/>
      <c r="Y34" s="114"/>
      <c r="Z34" s="114"/>
      <c r="AA34" s="114"/>
      <c r="AB34" s="114"/>
      <c r="AC34" s="254"/>
      <c r="AD34" s="243"/>
      <c r="AE34" s="114"/>
      <c r="AF34" s="114"/>
      <c r="AG34" s="114"/>
      <c r="AH34" s="254"/>
    </row>
    <row r="35" spans="1:34" x14ac:dyDescent="0.25">
      <c r="A35" s="21">
        <v>29</v>
      </c>
      <c r="B35" s="133" t="str">
        <f>DATA!B38</f>
        <v>Safa Nasila Anajwa</v>
      </c>
      <c r="C35" s="113" t="s">
        <v>63</v>
      </c>
      <c r="D35" s="114"/>
      <c r="E35" s="114"/>
      <c r="F35" s="114"/>
      <c r="G35" s="254"/>
      <c r="H35" s="113"/>
      <c r="I35" s="114"/>
      <c r="J35" s="114"/>
      <c r="K35" s="114"/>
      <c r="L35" s="254"/>
      <c r="M35" s="113"/>
      <c r="N35" s="114"/>
      <c r="O35" s="114"/>
      <c r="P35" s="114"/>
      <c r="Q35" s="254"/>
      <c r="R35" s="331">
        <f t="shared" si="0"/>
        <v>29</v>
      </c>
      <c r="S35" s="332" t="str">
        <f t="shared" si="1"/>
        <v>Safa Nasila Anajwa</v>
      </c>
      <c r="T35" s="243" t="s">
        <v>63</v>
      </c>
      <c r="U35" s="114"/>
      <c r="V35" s="114"/>
      <c r="W35" s="114"/>
      <c r="X35" s="238"/>
      <c r="Y35" s="114"/>
      <c r="Z35" s="114"/>
      <c r="AA35" s="114"/>
      <c r="AB35" s="114"/>
      <c r="AC35" s="254"/>
      <c r="AD35" s="243"/>
      <c r="AE35" s="114"/>
      <c r="AF35" s="114"/>
      <c r="AG35" s="114"/>
      <c r="AH35" s="254"/>
    </row>
    <row r="36" spans="1:34" x14ac:dyDescent="0.25">
      <c r="A36" s="21">
        <v>30</v>
      </c>
      <c r="B36" s="133" t="str">
        <f>DATA!B39</f>
        <v>Sila Ayu Kurnia</v>
      </c>
      <c r="C36" s="113" t="s">
        <v>63</v>
      </c>
      <c r="D36" s="114"/>
      <c r="E36" s="114"/>
      <c r="F36" s="114"/>
      <c r="G36" s="254"/>
      <c r="H36" s="113"/>
      <c r="I36" s="114"/>
      <c r="J36" s="114"/>
      <c r="K36" s="114"/>
      <c r="L36" s="254"/>
      <c r="M36" s="113"/>
      <c r="N36" s="114"/>
      <c r="O36" s="114"/>
      <c r="P36" s="114"/>
      <c r="Q36" s="254"/>
      <c r="R36" s="331">
        <f t="shared" si="0"/>
        <v>30</v>
      </c>
      <c r="S36" s="332" t="str">
        <f t="shared" si="1"/>
        <v>Sila Ayu Kurnia</v>
      </c>
      <c r="T36" s="243" t="s">
        <v>63</v>
      </c>
      <c r="U36" s="114"/>
      <c r="V36" s="114"/>
      <c r="W36" s="114"/>
      <c r="X36" s="238"/>
      <c r="Y36" s="114"/>
      <c r="Z36" s="114"/>
      <c r="AA36" s="114"/>
      <c r="AB36" s="114"/>
      <c r="AC36" s="254"/>
      <c r="AD36" s="243"/>
      <c r="AE36" s="114"/>
      <c r="AF36" s="114"/>
      <c r="AG36" s="114"/>
      <c r="AH36" s="254"/>
    </row>
    <row r="37" spans="1:34" x14ac:dyDescent="0.25">
      <c r="A37" s="21">
        <v>31</v>
      </c>
      <c r="B37" s="133" t="str">
        <f>DATA!B40</f>
        <v>Sindhi Nandha Lusia</v>
      </c>
      <c r="C37" s="113" t="s">
        <v>63</v>
      </c>
      <c r="D37" s="114"/>
      <c r="E37" s="114"/>
      <c r="F37" s="114"/>
      <c r="G37" s="254"/>
      <c r="H37" s="113"/>
      <c r="I37" s="114"/>
      <c r="J37" s="114"/>
      <c r="K37" s="114"/>
      <c r="L37" s="254"/>
      <c r="M37" s="113"/>
      <c r="N37" s="114"/>
      <c r="O37" s="114"/>
      <c r="P37" s="114"/>
      <c r="Q37" s="254"/>
      <c r="R37" s="331">
        <f t="shared" si="0"/>
        <v>31</v>
      </c>
      <c r="S37" s="332" t="str">
        <f t="shared" si="1"/>
        <v>Sindhi Nandha Lusia</v>
      </c>
      <c r="T37" s="243" t="s">
        <v>63</v>
      </c>
      <c r="U37" s="114"/>
      <c r="V37" s="114"/>
      <c r="W37" s="114"/>
      <c r="X37" s="238"/>
      <c r="Y37" s="114"/>
      <c r="Z37" s="114"/>
      <c r="AA37" s="114"/>
      <c r="AB37" s="114"/>
      <c r="AC37" s="254"/>
      <c r="AD37" s="243"/>
      <c r="AE37" s="114"/>
      <c r="AF37" s="114"/>
      <c r="AG37" s="114"/>
      <c r="AH37" s="254"/>
    </row>
    <row r="38" spans="1:34" x14ac:dyDescent="0.25">
      <c r="A38" s="21">
        <v>32</v>
      </c>
      <c r="B38" s="133" t="str">
        <f>DATA!B41</f>
        <v>Siti Alfiani</v>
      </c>
      <c r="C38" s="113" t="s">
        <v>63</v>
      </c>
      <c r="D38" s="114"/>
      <c r="E38" s="114"/>
      <c r="F38" s="114"/>
      <c r="G38" s="254"/>
      <c r="H38" s="113"/>
      <c r="I38" s="114"/>
      <c r="J38" s="114"/>
      <c r="K38" s="114"/>
      <c r="L38" s="254"/>
      <c r="M38" s="113"/>
      <c r="N38" s="114"/>
      <c r="O38" s="114"/>
      <c r="P38" s="114"/>
      <c r="Q38" s="254"/>
      <c r="R38" s="331">
        <f t="shared" si="0"/>
        <v>32</v>
      </c>
      <c r="S38" s="332" t="str">
        <f t="shared" si="1"/>
        <v>Siti Alfiani</v>
      </c>
      <c r="T38" s="243" t="s">
        <v>63</v>
      </c>
      <c r="U38" s="114"/>
      <c r="V38" s="114"/>
      <c r="W38" s="114"/>
      <c r="X38" s="238"/>
      <c r="Y38" s="114"/>
      <c r="Z38" s="114"/>
      <c r="AA38" s="114"/>
      <c r="AB38" s="114"/>
      <c r="AC38" s="254"/>
      <c r="AD38" s="243"/>
      <c r="AE38" s="114"/>
      <c r="AF38" s="114"/>
      <c r="AG38" s="114"/>
      <c r="AH38" s="254"/>
    </row>
    <row r="39" spans="1:34" x14ac:dyDescent="0.25">
      <c r="A39" s="21">
        <v>33</v>
      </c>
      <c r="B39" s="133"/>
      <c r="C39" s="113"/>
      <c r="D39" s="114"/>
      <c r="E39" s="114"/>
      <c r="F39" s="114"/>
      <c r="G39" s="254"/>
      <c r="H39" s="113"/>
      <c r="I39" s="114"/>
      <c r="J39" s="114"/>
      <c r="K39" s="114"/>
      <c r="L39" s="254"/>
      <c r="M39" s="113"/>
      <c r="N39" s="114"/>
      <c r="O39" s="114"/>
      <c r="P39" s="114"/>
      <c r="Q39" s="254"/>
      <c r="R39" s="331"/>
      <c r="S39" s="332"/>
      <c r="T39" s="243" t="s">
        <v>63</v>
      </c>
      <c r="U39" s="114"/>
      <c r="V39" s="114"/>
      <c r="W39" s="114"/>
      <c r="X39" s="238"/>
      <c r="Y39" s="114"/>
      <c r="Z39" s="114"/>
      <c r="AA39" s="114"/>
      <c r="AB39" s="114"/>
      <c r="AC39" s="254"/>
      <c r="AD39" s="243"/>
      <c r="AE39" s="114"/>
      <c r="AF39" s="114"/>
      <c r="AG39" s="114"/>
      <c r="AH39" s="254"/>
    </row>
    <row r="40" spans="1:34" x14ac:dyDescent="0.25">
      <c r="A40" s="21">
        <v>34</v>
      </c>
      <c r="B40" s="133"/>
      <c r="C40" s="113"/>
      <c r="D40" s="114"/>
      <c r="E40" s="114"/>
      <c r="F40" s="114"/>
      <c r="G40" s="254"/>
      <c r="H40" s="113"/>
      <c r="I40" s="114"/>
      <c r="J40" s="114"/>
      <c r="K40" s="114"/>
      <c r="L40" s="254"/>
      <c r="M40" s="113"/>
      <c r="N40" s="114"/>
      <c r="O40" s="114"/>
      <c r="P40" s="114"/>
      <c r="Q40" s="254"/>
      <c r="R40" s="331"/>
      <c r="S40" s="332"/>
      <c r="T40" s="243" t="s">
        <v>63</v>
      </c>
      <c r="U40" s="114"/>
      <c r="V40" s="114"/>
      <c r="W40" s="114"/>
      <c r="X40" s="238"/>
      <c r="Y40" s="114"/>
      <c r="Z40" s="114"/>
      <c r="AA40" s="114"/>
      <c r="AB40" s="114"/>
      <c r="AC40" s="254"/>
      <c r="AD40" s="243"/>
      <c r="AE40" s="114"/>
      <c r="AF40" s="114"/>
      <c r="AG40" s="114"/>
      <c r="AH40" s="254"/>
    </row>
    <row r="41" spans="1:34" x14ac:dyDescent="0.25">
      <c r="A41" s="21">
        <v>35</v>
      </c>
      <c r="B41" s="161"/>
      <c r="C41" s="113"/>
      <c r="D41" s="115"/>
      <c r="E41" s="115"/>
      <c r="F41" s="114"/>
      <c r="G41" s="254"/>
      <c r="H41" s="255"/>
      <c r="I41" s="115"/>
      <c r="J41" s="114"/>
      <c r="K41" s="114"/>
      <c r="L41" s="254"/>
      <c r="M41" s="255"/>
      <c r="N41" s="115"/>
      <c r="O41" s="115"/>
      <c r="P41" s="115"/>
      <c r="Q41" s="256"/>
      <c r="R41" s="333"/>
      <c r="S41" s="334"/>
      <c r="T41" s="244" t="s">
        <v>63</v>
      </c>
      <c r="U41" s="115"/>
      <c r="V41" s="115"/>
      <c r="W41" s="115"/>
      <c r="X41" s="239"/>
      <c r="Y41" s="115"/>
      <c r="Z41" s="115"/>
      <c r="AA41" s="115"/>
      <c r="AB41" s="115"/>
      <c r="AC41" s="256"/>
      <c r="AD41" s="244"/>
      <c r="AE41" s="115"/>
      <c r="AF41" s="115"/>
      <c r="AG41" s="115"/>
      <c r="AH41" s="256"/>
    </row>
    <row r="42" spans="1:34" x14ac:dyDescent="0.25">
      <c r="A42" s="116"/>
      <c r="B42" s="116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 t="s">
        <v>63</v>
      </c>
      <c r="U42" s="117"/>
      <c r="V42" s="117"/>
      <c r="W42" s="117"/>
      <c r="X42" s="117"/>
      <c r="Y42" s="104"/>
      <c r="Z42" s="504" t="str">
        <f>B3</f>
        <v>9A</v>
      </c>
      <c r="AA42" s="504"/>
      <c r="AB42" s="504"/>
      <c r="AC42" s="104"/>
    </row>
    <row r="43" spans="1:34" x14ac:dyDescent="0.25">
      <c r="A43" s="118"/>
      <c r="B43" s="118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504"/>
      <c r="AA43" s="504"/>
      <c r="AB43" s="504"/>
      <c r="AC43" s="104"/>
    </row>
    <row r="44" spans="1:34" x14ac:dyDescent="0.25">
      <c r="A44" s="118"/>
      <c r="B44" s="118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504"/>
      <c r="AA44" s="504"/>
      <c r="AB44" s="504"/>
      <c r="AC44" s="104"/>
    </row>
    <row r="45" spans="1:34" ht="13" x14ac:dyDescent="0.3">
      <c r="A45" s="478" t="s">
        <v>88</v>
      </c>
      <c r="B45" s="478"/>
      <c r="C45" s="478"/>
      <c r="D45" s="478"/>
      <c r="E45" s="478"/>
      <c r="F45" s="478"/>
      <c r="G45" s="478"/>
      <c r="H45" s="478"/>
      <c r="I45" s="478"/>
      <c r="J45" s="478"/>
      <c r="K45" s="478"/>
      <c r="L45" s="478"/>
      <c r="M45" s="478"/>
      <c r="N45" s="478"/>
      <c r="O45" s="478"/>
      <c r="P45" s="478"/>
      <c r="Q45" s="478"/>
      <c r="R45" s="478"/>
      <c r="S45" s="478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</row>
    <row r="46" spans="1:34" ht="13" x14ac:dyDescent="0.3">
      <c r="A46" s="479" t="str">
        <f>A2</f>
        <v xml:space="preserve"> KL IX SMT GASAL TP 2025/2026</v>
      </c>
      <c r="B46" s="479"/>
      <c r="C46" s="479"/>
      <c r="D46" s="479"/>
      <c r="E46" s="479"/>
      <c r="F46" s="479"/>
      <c r="G46" s="479"/>
      <c r="H46" s="479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Y46" s="479"/>
      <c r="Z46" s="479"/>
      <c r="AA46" s="479"/>
      <c r="AB46" s="479"/>
      <c r="AC46" s="479"/>
      <c r="AD46" s="479"/>
      <c r="AE46" s="479"/>
      <c r="AF46" s="479"/>
      <c r="AG46" s="479"/>
      <c r="AH46" s="479"/>
    </row>
    <row r="47" spans="1:34" ht="13" x14ac:dyDescent="0.3">
      <c r="A47" s="108" t="s">
        <v>65</v>
      </c>
      <c r="B47" s="109" t="s">
        <v>91</v>
      </c>
      <c r="C47" s="250" t="s">
        <v>21</v>
      </c>
      <c r="D47" s="106"/>
      <c r="E47" s="251">
        <v>1</v>
      </c>
      <c r="F47" s="106"/>
      <c r="G47" s="107"/>
      <c r="H47" s="250" t="s">
        <v>21</v>
      </c>
      <c r="I47" s="106"/>
      <c r="J47" s="251">
        <v>2</v>
      </c>
      <c r="K47" s="106"/>
      <c r="L47" s="107"/>
      <c r="M47" s="250" t="s">
        <v>21</v>
      </c>
      <c r="N47" s="106"/>
      <c r="O47" s="251">
        <v>3</v>
      </c>
      <c r="P47" s="106"/>
      <c r="Q47" s="107"/>
      <c r="R47" s="327"/>
      <c r="S47" s="328"/>
      <c r="T47" s="506" t="s">
        <v>96</v>
      </c>
      <c r="U47" s="506"/>
      <c r="V47" s="506"/>
      <c r="W47" s="506"/>
      <c r="X47" s="506"/>
      <c r="Y47" s="506"/>
      <c r="Z47" s="506"/>
      <c r="AA47" s="506"/>
      <c r="AB47" s="506"/>
      <c r="AC47" s="507"/>
      <c r="AD47" s="505" t="s">
        <v>89</v>
      </c>
      <c r="AE47" s="506"/>
      <c r="AF47" s="506"/>
      <c r="AG47" s="506"/>
      <c r="AH47" s="507"/>
    </row>
    <row r="48" spans="1:34" x14ac:dyDescent="0.25">
      <c r="A48" s="2"/>
      <c r="B48" s="3" t="s">
        <v>7</v>
      </c>
      <c r="C48" s="32">
        <v>1</v>
      </c>
      <c r="D48" s="33">
        <v>2</v>
      </c>
      <c r="E48" s="33">
        <v>3</v>
      </c>
      <c r="F48" s="33">
        <v>4</v>
      </c>
      <c r="G48" s="34">
        <v>5</v>
      </c>
      <c r="H48" s="32">
        <v>1</v>
      </c>
      <c r="I48" s="33">
        <v>2</v>
      </c>
      <c r="J48" s="33">
        <v>3</v>
      </c>
      <c r="K48" s="33">
        <v>4</v>
      </c>
      <c r="L48" s="34">
        <v>5</v>
      </c>
      <c r="M48" s="32">
        <v>1</v>
      </c>
      <c r="N48" s="33">
        <v>2</v>
      </c>
      <c r="O48" s="33">
        <v>3</v>
      </c>
      <c r="P48" s="33">
        <v>4</v>
      </c>
      <c r="Q48" s="34">
        <v>5</v>
      </c>
      <c r="R48" s="266"/>
      <c r="S48" s="268"/>
      <c r="T48" s="261">
        <v>1</v>
      </c>
      <c r="U48" s="33">
        <v>2</v>
      </c>
      <c r="V48" s="33">
        <v>3</v>
      </c>
      <c r="W48" s="33">
        <v>4</v>
      </c>
      <c r="X48" s="33">
        <v>5</v>
      </c>
      <c r="Y48" s="33">
        <v>6</v>
      </c>
      <c r="Z48" s="33">
        <v>7</v>
      </c>
      <c r="AA48" s="33">
        <v>8</v>
      </c>
      <c r="AB48" s="33">
        <v>9</v>
      </c>
      <c r="AC48" s="34">
        <v>10</v>
      </c>
      <c r="AD48" s="261">
        <v>1</v>
      </c>
      <c r="AE48" s="33">
        <v>2</v>
      </c>
      <c r="AF48" s="33">
        <v>3</v>
      </c>
      <c r="AG48" s="33">
        <v>4</v>
      </c>
      <c r="AH48" s="34">
        <v>5</v>
      </c>
    </row>
    <row r="49" spans="1:34" x14ac:dyDescent="0.25">
      <c r="A49" s="6" t="s">
        <v>0</v>
      </c>
      <c r="B49" s="5" t="s">
        <v>8</v>
      </c>
      <c r="C49" s="55"/>
      <c r="D49" s="56"/>
      <c r="E49" s="56"/>
      <c r="F49" s="56"/>
      <c r="G49" s="57"/>
      <c r="H49" s="55"/>
      <c r="I49" s="56"/>
      <c r="J49" s="56"/>
      <c r="K49" s="56"/>
      <c r="L49" s="57"/>
      <c r="M49" s="55"/>
      <c r="N49" s="56"/>
      <c r="O49" s="56"/>
      <c r="P49" s="56"/>
      <c r="Q49" s="57"/>
      <c r="R49" s="55"/>
      <c r="S49" s="105"/>
      <c r="T49" s="262"/>
      <c r="U49" s="56"/>
      <c r="V49" s="56"/>
      <c r="W49" s="56"/>
      <c r="X49" s="57"/>
      <c r="Y49" s="56"/>
      <c r="Z49" s="56"/>
      <c r="AA49" s="56"/>
      <c r="AB49" s="56"/>
      <c r="AC49" s="105"/>
      <c r="AD49" s="262"/>
      <c r="AE49" s="56"/>
      <c r="AF49" s="56"/>
      <c r="AG49" s="56"/>
      <c r="AH49" s="105"/>
    </row>
    <row r="50" spans="1:34" x14ac:dyDescent="0.25">
      <c r="A50" s="6"/>
      <c r="B50" s="257" t="s">
        <v>2</v>
      </c>
      <c r="C50" s="36"/>
      <c r="D50" s="37"/>
      <c r="E50" s="37"/>
      <c r="F50" s="37"/>
      <c r="G50" s="38"/>
      <c r="H50" s="36"/>
      <c r="I50" s="37"/>
      <c r="J50" s="37"/>
      <c r="K50" s="37"/>
      <c r="L50" s="38"/>
      <c r="M50" s="36"/>
      <c r="N50" s="37"/>
      <c r="O50" s="37"/>
      <c r="P50" s="37"/>
      <c r="Q50" s="38"/>
      <c r="R50" s="267"/>
      <c r="S50" s="269"/>
      <c r="T50" s="263"/>
      <c r="U50" s="37"/>
      <c r="V50" s="37"/>
      <c r="W50" s="37"/>
      <c r="X50" s="252"/>
      <c r="Y50" s="37"/>
      <c r="Z50" s="37"/>
      <c r="AA50" s="37"/>
      <c r="AB50" s="37"/>
      <c r="AC50" s="38"/>
      <c r="AD50" s="263"/>
      <c r="AE50" s="37"/>
      <c r="AF50" s="37"/>
      <c r="AG50" s="37"/>
      <c r="AH50" s="38"/>
    </row>
    <row r="51" spans="1:34" x14ac:dyDescent="0.25">
      <c r="A51" s="20">
        <v>1</v>
      </c>
      <c r="B51" s="130" t="str">
        <f>DATA!D10</f>
        <v>Abid Lionel Abdillah</v>
      </c>
      <c r="C51" s="111" t="s">
        <v>63</v>
      </c>
      <c r="D51" s="112"/>
      <c r="E51" s="112"/>
      <c r="F51" s="112"/>
      <c r="G51" s="253"/>
      <c r="H51" s="111"/>
      <c r="I51" s="112"/>
      <c r="J51" s="112"/>
      <c r="K51" s="112"/>
      <c r="L51" s="253"/>
      <c r="M51" s="111"/>
      <c r="N51" s="112"/>
      <c r="O51" s="112"/>
      <c r="P51" s="112"/>
      <c r="Q51" s="253"/>
      <c r="R51" s="329">
        <f>A51</f>
        <v>1</v>
      </c>
      <c r="S51" s="330" t="str">
        <f>B51</f>
        <v>Abid Lionel Abdillah</v>
      </c>
      <c r="T51" s="242" t="s">
        <v>63</v>
      </c>
      <c r="U51" s="112"/>
      <c r="V51" s="112"/>
      <c r="W51" s="112"/>
      <c r="X51" s="240"/>
      <c r="Y51" s="112"/>
      <c r="Z51" s="112"/>
      <c r="AA51" s="112"/>
      <c r="AB51" s="112"/>
      <c r="AC51" s="253"/>
      <c r="AD51" s="242"/>
      <c r="AE51" s="112"/>
      <c r="AF51" s="112"/>
      <c r="AG51" s="112"/>
      <c r="AH51" s="253"/>
    </row>
    <row r="52" spans="1:34" x14ac:dyDescent="0.25">
      <c r="A52" s="21">
        <v>2</v>
      </c>
      <c r="B52" s="133" t="str">
        <f>DATA!D11</f>
        <v>Aditria Bintang Mustofa</v>
      </c>
      <c r="C52" s="113" t="s">
        <v>63</v>
      </c>
      <c r="D52" s="114"/>
      <c r="E52" s="114"/>
      <c r="F52" s="114"/>
      <c r="G52" s="254"/>
      <c r="H52" s="113"/>
      <c r="I52" s="114"/>
      <c r="J52" s="114"/>
      <c r="K52" s="114"/>
      <c r="L52" s="254"/>
      <c r="M52" s="113"/>
      <c r="N52" s="114"/>
      <c r="O52" s="114"/>
      <c r="P52" s="114"/>
      <c r="Q52" s="254"/>
      <c r="R52" s="331">
        <f t="shared" ref="R52:R82" si="2">A52</f>
        <v>2</v>
      </c>
      <c r="S52" s="332" t="str">
        <f t="shared" ref="S52:S82" si="3">B52</f>
        <v>Aditria Bintang Mustofa</v>
      </c>
      <c r="T52" s="243" t="s">
        <v>63</v>
      </c>
      <c r="U52" s="114"/>
      <c r="V52" s="114"/>
      <c r="W52" s="114"/>
      <c r="X52" s="238"/>
      <c r="Y52" s="114"/>
      <c r="Z52" s="114"/>
      <c r="AA52" s="114"/>
      <c r="AB52" s="114"/>
      <c r="AC52" s="254"/>
      <c r="AD52" s="243"/>
      <c r="AE52" s="114"/>
      <c r="AF52" s="114"/>
      <c r="AG52" s="114"/>
      <c r="AH52" s="254"/>
    </row>
    <row r="53" spans="1:34" x14ac:dyDescent="0.25">
      <c r="A53" s="21">
        <v>3</v>
      </c>
      <c r="B53" s="133" t="str">
        <f>DATA!D12</f>
        <v>Agni Wulan Pramesti</v>
      </c>
      <c r="C53" s="113" t="s">
        <v>63</v>
      </c>
      <c r="D53" s="114"/>
      <c r="E53" s="114"/>
      <c r="F53" s="114"/>
      <c r="G53" s="254"/>
      <c r="H53" s="113"/>
      <c r="I53" s="114"/>
      <c r="J53" s="114"/>
      <c r="K53" s="114"/>
      <c r="L53" s="254"/>
      <c r="M53" s="113"/>
      <c r="N53" s="114"/>
      <c r="O53" s="114"/>
      <c r="P53" s="114"/>
      <c r="Q53" s="254"/>
      <c r="R53" s="331">
        <f t="shared" si="2"/>
        <v>3</v>
      </c>
      <c r="S53" s="332" t="str">
        <f t="shared" si="3"/>
        <v>Agni Wulan Pramesti</v>
      </c>
      <c r="T53" s="243" t="s">
        <v>63</v>
      </c>
      <c r="U53" s="114"/>
      <c r="V53" s="114"/>
      <c r="W53" s="114"/>
      <c r="X53" s="238"/>
      <c r="Y53" s="114"/>
      <c r="Z53" s="114"/>
      <c r="AA53" s="114"/>
      <c r="AB53" s="114"/>
      <c r="AC53" s="254"/>
      <c r="AD53" s="243"/>
      <c r="AE53" s="114"/>
      <c r="AF53" s="114"/>
      <c r="AG53" s="114"/>
      <c r="AH53" s="254"/>
    </row>
    <row r="54" spans="1:34" x14ac:dyDescent="0.25">
      <c r="A54" s="21">
        <v>4</v>
      </c>
      <c r="B54" s="133" t="str">
        <f>DATA!D13</f>
        <v>Ahmad Irfan Annadif</v>
      </c>
      <c r="C54" s="113" t="s">
        <v>63</v>
      </c>
      <c r="D54" s="114"/>
      <c r="E54" s="114"/>
      <c r="F54" s="114"/>
      <c r="G54" s="254"/>
      <c r="H54" s="113"/>
      <c r="I54" s="114"/>
      <c r="J54" s="114"/>
      <c r="K54" s="114"/>
      <c r="L54" s="254"/>
      <c r="M54" s="113"/>
      <c r="N54" s="114"/>
      <c r="O54" s="114"/>
      <c r="P54" s="114"/>
      <c r="Q54" s="254"/>
      <c r="R54" s="331">
        <f t="shared" si="2"/>
        <v>4</v>
      </c>
      <c r="S54" s="332" t="str">
        <f t="shared" si="3"/>
        <v>Ahmad Irfan Annadif</v>
      </c>
      <c r="T54" s="243" t="s">
        <v>63</v>
      </c>
      <c r="U54" s="114"/>
      <c r="V54" s="114"/>
      <c r="W54" s="114"/>
      <c r="X54" s="238"/>
      <c r="Y54" s="114"/>
      <c r="Z54" s="114"/>
      <c r="AA54" s="114"/>
      <c r="AB54" s="114"/>
      <c r="AC54" s="254"/>
      <c r="AD54" s="243"/>
      <c r="AE54" s="114"/>
      <c r="AF54" s="114"/>
      <c r="AG54" s="114"/>
      <c r="AH54" s="254"/>
    </row>
    <row r="55" spans="1:34" x14ac:dyDescent="0.25">
      <c r="A55" s="21">
        <v>5</v>
      </c>
      <c r="B55" s="133" t="str">
        <f>DATA!D14</f>
        <v>Alesha Najwa Adelia</v>
      </c>
      <c r="C55" s="113" t="s">
        <v>63</v>
      </c>
      <c r="D55" s="114"/>
      <c r="E55" s="114"/>
      <c r="F55" s="114"/>
      <c r="G55" s="254"/>
      <c r="H55" s="113"/>
      <c r="I55" s="114"/>
      <c r="J55" s="114"/>
      <c r="K55" s="114"/>
      <c r="L55" s="254"/>
      <c r="M55" s="113"/>
      <c r="N55" s="114"/>
      <c r="O55" s="114"/>
      <c r="P55" s="114"/>
      <c r="Q55" s="254"/>
      <c r="R55" s="331">
        <f t="shared" si="2"/>
        <v>5</v>
      </c>
      <c r="S55" s="332" t="str">
        <f t="shared" si="3"/>
        <v>Alesha Najwa Adelia</v>
      </c>
      <c r="T55" s="243" t="s">
        <v>63</v>
      </c>
      <c r="U55" s="114"/>
      <c r="V55" s="114"/>
      <c r="W55" s="114"/>
      <c r="X55" s="238"/>
      <c r="Y55" s="114"/>
      <c r="Z55" s="114"/>
      <c r="AA55" s="114"/>
      <c r="AB55" s="114"/>
      <c r="AC55" s="254"/>
      <c r="AD55" s="243"/>
      <c r="AE55" s="114"/>
      <c r="AF55" s="114"/>
      <c r="AG55" s="114"/>
      <c r="AH55" s="254"/>
    </row>
    <row r="56" spans="1:34" x14ac:dyDescent="0.25">
      <c r="A56" s="21">
        <v>6</v>
      </c>
      <c r="B56" s="133" t="str">
        <f>DATA!D15</f>
        <v>Ana Kharisma Wardani</v>
      </c>
      <c r="C56" s="113" t="s">
        <v>63</v>
      </c>
      <c r="D56" s="114"/>
      <c r="E56" s="114"/>
      <c r="F56" s="114"/>
      <c r="G56" s="254"/>
      <c r="H56" s="113"/>
      <c r="I56" s="114"/>
      <c r="J56" s="114"/>
      <c r="K56" s="114"/>
      <c r="L56" s="254"/>
      <c r="M56" s="113"/>
      <c r="N56" s="114"/>
      <c r="O56" s="114"/>
      <c r="P56" s="114"/>
      <c r="Q56" s="254"/>
      <c r="R56" s="331">
        <f t="shared" si="2"/>
        <v>6</v>
      </c>
      <c r="S56" s="332" t="str">
        <f t="shared" si="3"/>
        <v>Ana Kharisma Wardani</v>
      </c>
      <c r="T56" s="243" t="s">
        <v>63</v>
      </c>
      <c r="U56" s="114"/>
      <c r="V56" s="114"/>
      <c r="W56" s="114"/>
      <c r="X56" s="238"/>
      <c r="Y56" s="114"/>
      <c r="Z56" s="114"/>
      <c r="AA56" s="114"/>
      <c r="AB56" s="114"/>
      <c r="AC56" s="254"/>
      <c r="AD56" s="243"/>
      <c r="AE56" s="114"/>
      <c r="AF56" s="114"/>
      <c r="AG56" s="114"/>
      <c r="AH56" s="254"/>
    </row>
    <row r="57" spans="1:34" x14ac:dyDescent="0.25">
      <c r="A57" s="21">
        <v>7</v>
      </c>
      <c r="B57" s="133" t="str">
        <f>DATA!D16</f>
        <v>Angga Rizki Satriya Utama</v>
      </c>
      <c r="C57" s="113" t="s">
        <v>63</v>
      </c>
      <c r="D57" s="114"/>
      <c r="E57" s="114"/>
      <c r="F57" s="114"/>
      <c r="G57" s="254"/>
      <c r="H57" s="113"/>
      <c r="I57" s="114"/>
      <c r="J57" s="114"/>
      <c r="K57" s="114"/>
      <c r="L57" s="254"/>
      <c r="M57" s="113"/>
      <c r="N57" s="114"/>
      <c r="O57" s="114"/>
      <c r="P57" s="114"/>
      <c r="Q57" s="254"/>
      <c r="R57" s="331">
        <f t="shared" si="2"/>
        <v>7</v>
      </c>
      <c r="S57" s="332" t="str">
        <f t="shared" si="3"/>
        <v>Angga Rizki Satriya Utama</v>
      </c>
      <c r="T57" s="243" t="s">
        <v>63</v>
      </c>
      <c r="U57" s="114"/>
      <c r="V57" s="114"/>
      <c r="W57" s="114"/>
      <c r="X57" s="238"/>
      <c r="Y57" s="114"/>
      <c r="Z57" s="114"/>
      <c r="AA57" s="114"/>
      <c r="AB57" s="114"/>
      <c r="AC57" s="254"/>
      <c r="AD57" s="243"/>
      <c r="AE57" s="114"/>
      <c r="AF57" s="114"/>
      <c r="AG57" s="114"/>
      <c r="AH57" s="254"/>
    </row>
    <row r="58" spans="1:34" x14ac:dyDescent="0.25">
      <c r="A58" s="21">
        <v>8</v>
      </c>
      <c r="B58" s="133" t="str">
        <f>DATA!D17</f>
        <v>Ardiyan Vebri Pratama</v>
      </c>
      <c r="C58" s="113" t="s">
        <v>63</v>
      </c>
      <c r="D58" s="114"/>
      <c r="E58" s="114"/>
      <c r="F58" s="114"/>
      <c r="G58" s="254"/>
      <c r="H58" s="113"/>
      <c r="I58" s="114"/>
      <c r="J58" s="114"/>
      <c r="K58" s="114"/>
      <c r="L58" s="254"/>
      <c r="M58" s="113"/>
      <c r="N58" s="114"/>
      <c r="O58" s="114"/>
      <c r="P58" s="114"/>
      <c r="Q58" s="254"/>
      <c r="R58" s="331">
        <f t="shared" si="2"/>
        <v>8</v>
      </c>
      <c r="S58" s="332" t="str">
        <f t="shared" si="3"/>
        <v>Ardiyan Vebri Pratama</v>
      </c>
      <c r="T58" s="243" t="s">
        <v>63</v>
      </c>
      <c r="U58" s="114"/>
      <c r="V58" s="114"/>
      <c r="W58" s="114"/>
      <c r="X58" s="238"/>
      <c r="Y58" s="114"/>
      <c r="Z58" s="114"/>
      <c r="AA58" s="114"/>
      <c r="AB58" s="114"/>
      <c r="AC58" s="254"/>
      <c r="AD58" s="243"/>
      <c r="AE58" s="114"/>
      <c r="AF58" s="114"/>
      <c r="AG58" s="114"/>
      <c r="AH58" s="254"/>
    </row>
    <row r="59" spans="1:34" x14ac:dyDescent="0.25">
      <c r="A59" s="21">
        <v>9</v>
      </c>
      <c r="B59" s="133" t="str">
        <f>DATA!D18</f>
        <v>Aurel Azza Adellia Putri</v>
      </c>
      <c r="C59" s="113" t="s">
        <v>63</v>
      </c>
      <c r="D59" s="114"/>
      <c r="E59" s="114"/>
      <c r="F59" s="114"/>
      <c r="G59" s="254"/>
      <c r="H59" s="113"/>
      <c r="I59" s="114"/>
      <c r="J59" s="114"/>
      <c r="K59" s="114"/>
      <c r="L59" s="254"/>
      <c r="M59" s="113"/>
      <c r="N59" s="114"/>
      <c r="O59" s="114"/>
      <c r="P59" s="114"/>
      <c r="Q59" s="254"/>
      <c r="R59" s="331">
        <f t="shared" si="2"/>
        <v>9</v>
      </c>
      <c r="S59" s="332" t="str">
        <f t="shared" si="3"/>
        <v>Aurel Azza Adellia Putri</v>
      </c>
      <c r="T59" s="243" t="s">
        <v>63</v>
      </c>
      <c r="U59" s="114"/>
      <c r="V59" s="114"/>
      <c r="W59" s="114"/>
      <c r="X59" s="238"/>
      <c r="Y59" s="114"/>
      <c r="Z59" s="114"/>
      <c r="AA59" s="114"/>
      <c r="AB59" s="114"/>
      <c r="AC59" s="254"/>
      <c r="AD59" s="243"/>
      <c r="AE59" s="114"/>
      <c r="AF59" s="114"/>
      <c r="AG59" s="114"/>
      <c r="AH59" s="254"/>
    </row>
    <row r="60" spans="1:34" x14ac:dyDescent="0.25">
      <c r="A60" s="21">
        <v>10</v>
      </c>
      <c r="B60" s="133" t="str">
        <f>DATA!D19</f>
        <v>Darasti Keyshafa Azumi</v>
      </c>
      <c r="C60" s="113" t="s">
        <v>63</v>
      </c>
      <c r="D60" s="114"/>
      <c r="E60" s="114"/>
      <c r="F60" s="114"/>
      <c r="G60" s="254"/>
      <c r="H60" s="113"/>
      <c r="I60" s="114"/>
      <c r="J60" s="114"/>
      <c r="K60" s="114"/>
      <c r="L60" s="254"/>
      <c r="M60" s="113"/>
      <c r="N60" s="114"/>
      <c r="O60" s="114"/>
      <c r="P60" s="114"/>
      <c r="Q60" s="254"/>
      <c r="R60" s="331">
        <f t="shared" si="2"/>
        <v>10</v>
      </c>
      <c r="S60" s="332" t="str">
        <f t="shared" si="3"/>
        <v>Darasti Keyshafa Azumi</v>
      </c>
      <c r="T60" s="243" t="s">
        <v>63</v>
      </c>
      <c r="U60" s="114"/>
      <c r="V60" s="114"/>
      <c r="W60" s="114"/>
      <c r="X60" s="238"/>
      <c r="Y60" s="114"/>
      <c r="Z60" s="114"/>
      <c r="AA60" s="114"/>
      <c r="AB60" s="114"/>
      <c r="AC60" s="254"/>
      <c r="AD60" s="243"/>
      <c r="AE60" s="114"/>
      <c r="AF60" s="114"/>
      <c r="AG60" s="114"/>
      <c r="AH60" s="254"/>
    </row>
    <row r="61" spans="1:34" x14ac:dyDescent="0.25">
      <c r="A61" s="21">
        <v>11</v>
      </c>
      <c r="B61" s="133" t="str">
        <f>DATA!D20</f>
        <v>Dea Resti Lian Dana Sari</v>
      </c>
      <c r="C61" s="113" t="s">
        <v>63</v>
      </c>
      <c r="D61" s="114"/>
      <c r="E61" s="114"/>
      <c r="F61" s="114"/>
      <c r="G61" s="254"/>
      <c r="H61" s="113"/>
      <c r="I61" s="114"/>
      <c r="J61" s="114"/>
      <c r="K61" s="114"/>
      <c r="L61" s="254"/>
      <c r="M61" s="113"/>
      <c r="N61" s="114"/>
      <c r="O61" s="114"/>
      <c r="P61" s="114"/>
      <c r="Q61" s="254"/>
      <c r="R61" s="331">
        <f t="shared" si="2"/>
        <v>11</v>
      </c>
      <c r="S61" s="332" t="str">
        <f t="shared" si="3"/>
        <v>Dea Resti Lian Dana Sari</v>
      </c>
      <c r="T61" s="243" t="s">
        <v>63</v>
      </c>
      <c r="U61" s="114"/>
      <c r="V61" s="114"/>
      <c r="W61" s="114"/>
      <c r="X61" s="238"/>
      <c r="Y61" s="114"/>
      <c r="Z61" s="114"/>
      <c r="AA61" s="114"/>
      <c r="AB61" s="114"/>
      <c r="AC61" s="254"/>
      <c r="AD61" s="243"/>
      <c r="AE61" s="114"/>
      <c r="AF61" s="114"/>
      <c r="AG61" s="114"/>
      <c r="AH61" s="254"/>
    </row>
    <row r="62" spans="1:34" x14ac:dyDescent="0.25">
      <c r="A62" s="21">
        <v>12</v>
      </c>
      <c r="B62" s="133" t="str">
        <f>DATA!D21</f>
        <v>Desta Dwi Lestari</v>
      </c>
      <c r="C62" s="113" t="s">
        <v>63</v>
      </c>
      <c r="D62" s="114"/>
      <c r="E62" s="114"/>
      <c r="F62" s="114"/>
      <c r="G62" s="254"/>
      <c r="H62" s="113"/>
      <c r="I62" s="114"/>
      <c r="J62" s="114"/>
      <c r="K62" s="114"/>
      <c r="L62" s="254"/>
      <c r="M62" s="113"/>
      <c r="N62" s="114"/>
      <c r="O62" s="114"/>
      <c r="P62" s="114"/>
      <c r="Q62" s="254"/>
      <c r="R62" s="331">
        <f t="shared" si="2"/>
        <v>12</v>
      </c>
      <c r="S62" s="332" t="str">
        <f t="shared" si="3"/>
        <v>Desta Dwi Lestari</v>
      </c>
      <c r="T62" s="243" t="s">
        <v>63</v>
      </c>
      <c r="U62" s="114"/>
      <c r="V62" s="114"/>
      <c r="W62" s="114"/>
      <c r="X62" s="238"/>
      <c r="Y62" s="114"/>
      <c r="Z62" s="114"/>
      <c r="AA62" s="114"/>
      <c r="AB62" s="114"/>
      <c r="AC62" s="254"/>
      <c r="AD62" s="243"/>
      <c r="AE62" s="114"/>
      <c r="AF62" s="114"/>
      <c r="AG62" s="114"/>
      <c r="AH62" s="254"/>
    </row>
    <row r="63" spans="1:34" x14ac:dyDescent="0.25">
      <c r="A63" s="21">
        <v>13</v>
      </c>
      <c r="B63" s="133" t="str">
        <f>DATA!D22</f>
        <v>Faaz Nizzar Ardiansyah</v>
      </c>
      <c r="C63" s="113" t="s">
        <v>63</v>
      </c>
      <c r="D63" s="114"/>
      <c r="E63" s="114"/>
      <c r="F63" s="114"/>
      <c r="G63" s="254"/>
      <c r="H63" s="113"/>
      <c r="I63" s="114"/>
      <c r="J63" s="114"/>
      <c r="K63" s="114"/>
      <c r="L63" s="254"/>
      <c r="M63" s="113"/>
      <c r="N63" s="114"/>
      <c r="O63" s="114"/>
      <c r="P63" s="114"/>
      <c r="Q63" s="254"/>
      <c r="R63" s="331">
        <f t="shared" si="2"/>
        <v>13</v>
      </c>
      <c r="S63" s="332" t="str">
        <f t="shared" si="3"/>
        <v>Faaz Nizzar Ardiansyah</v>
      </c>
      <c r="T63" s="243" t="s">
        <v>63</v>
      </c>
      <c r="U63" s="114"/>
      <c r="V63" s="114"/>
      <c r="W63" s="114"/>
      <c r="X63" s="238"/>
      <c r="Y63" s="114"/>
      <c r="Z63" s="114"/>
      <c r="AA63" s="114"/>
      <c r="AB63" s="114"/>
      <c r="AC63" s="254"/>
      <c r="AD63" s="243"/>
      <c r="AE63" s="114"/>
      <c r="AF63" s="114"/>
      <c r="AG63" s="114"/>
      <c r="AH63" s="254"/>
    </row>
    <row r="64" spans="1:34" x14ac:dyDescent="0.25">
      <c r="A64" s="21">
        <v>14</v>
      </c>
      <c r="B64" s="133" t="str">
        <f>DATA!D23</f>
        <v>Hazel Javier Ozora</v>
      </c>
      <c r="C64" s="113" t="s">
        <v>63</v>
      </c>
      <c r="D64" s="114"/>
      <c r="E64" s="114"/>
      <c r="F64" s="114"/>
      <c r="G64" s="254"/>
      <c r="H64" s="113"/>
      <c r="I64" s="114"/>
      <c r="J64" s="114"/>
      <c r="K64" s="114"/>
      <c r="L64" s="254"/>
      <c r="M64" s="113"/>
      <c r="N64" s="114"/>
      <c r="O64" s="114"/>
      <c r="P64" s="114"/>
      <c r="Q64" s="254"/>
      <c r="R64" s="331">
        <f t="shared" si="2"/>
        <v>14</v>
      </c>
      <c r="S64" s="332" t="str">
        <f t="shared" si="3"/>
        <v>Hazel Javier Ozora</v>
      </c>
      <c r="T64" s="243" t="s">
        <v>63</v>
      </c>
      <c r="U64" s="114"/>
      <c r="V64" s="114"/>
      <c r="W64" s="114"/>
      <c r="X64" s="238"/>
      <c r="Y64" s="114"/>
      <c r="Z64" s="114"/>
      <c r="AA64" s="114"/>
      <c r="AB64" s="114"/>
      <c r="AC64" s="254"/>
      <c r="AD64" s="243"/>
      <c r="AE64" s="114"/>
      <c r="AF64" s="114"/>
      <c r="AG64" s="114"/>
      <c r="AH64" s="254"/>
    </row>
    <row r="65" spans="1:34" x14ac:dyDescent="0.25">
      <c r="A65" s="21">
        <v>15</v>
      </c>
      <c r="B65" s="133" t="str">
        <f>DATA!D24</f>
        <v>Indika Dwi Laksono</v>
      </c>
      <c r="C65" s="113" t="s">
        <v>63</v>
      </c>
      <c r="D65" s="114"/>
      <c r="E65" s="114"/>
      <c r="F65" s="114"/>
      <c r="G65" s="254"/>
      <c r="H65" s="113"/>
      <c r="I65" s="114"/>
      <c r="J65" s="114"/>
      <c r="K65" s="114"/>
      <c r="L65" s="254"/>
      <c r="M65" s="113"/>
      <c r="N65" s="114"/>
      <c r="O65" s="114"/>
      <c r="P65" s="114"/>
      <c r="Q65" s="254"/>
      <c r="R65" s="331">
        <f t="shared" si="2"/>
        <v>15</v>
      </c>
      <c r="S65" s="332" t="str">
        <f t="shared" si="3"/>
        <v>Indika Dwi Laksono</v>
      </c>
      <c r="T65" s="243" t="s">
        <v>63</v>
      </c>
      <c r="U65" s="114"/>
      <c r="V65" s="114"/>
      <c r="W65" s="114"/>
      <c r="X65" s="238"/>
      <c r="Y65" s="114"/>
      <c r="Z65" s="114"/>
      <c r="AA65" s="114"/>
      <c r="AB65" s="114"/>
      <c r="AC65" s="254"/>
      <c r="AD65" s="243"/>
      <c r="AE65" s="114"/>
      <c r="AF65" s="114"/>
      <c r="AG65" s="114"/>
      <c r="AH65" s="254"/>
    </row>
    <row r="66" spans="1:34" x14ac:dyDescent="0.25">
      <c r="A66" s="21">
        <v>16</v>
      </c>
      <c r="B66" s="133" t="str">
        <f>DATA!D25</f>
        <v>Indra Rahma Azzahra</v>
      </c>
      <c r="C66" s="113" t="s">
        <v>63</v>
      </c>
      <c r="D66" s="114"/>
      <c r="E66" s="114"/>
      <c r="F66" s="114"/>
      <c r="G66" s="254"/>
      <c r="H66" s="113"/>
      <c r="I66" s="114"/>
      <c r="J66" s="114"/>
      <c r="K66" s="114"/>
      <c r="L66" s="254"/>
      <c r="M66" s="113"/>
      <c r="N66" s="114"/>
      <c r="O66" s="114"/>
      <c r="P66" s="114"/>
      <c r="Q66" s="254"/>
      <c r="R66" s="331">
        <f t="shared" si="2"/>
        <v>16</v>
      </c>
      <c r="S66" s="332" t="str">
        <f t="shared" si="3"/>
        <v>Indra Rahma Azzahra</v>
      </c>
      <c r="T66" s="243" t="s">
        <v>63</v>
      </c>
      <c r="U66" s="114"/>
      <c r="V66" s="114"/>
      <c r="W66" s="114"/>
      <c r="X66" s="238"/>
      <c r="Y66" s="114"/>
      <c r="Z66" s="114"/>
      <c r="AA66" s="114"/>
      <c r="AB66" s="114"/>
      <c r="AC66" s="254"/>
      <c r="AD66" s="243"/>
      <c r="AE66" s="114"/>
      <c r="AF66" s="114"/>
      <c r="AG66" s="114"/>
      <c r="AH66" s="254"/>
    </row>
    <row r="67" spans="1:34" x14ac:dyDescent="0.25">
      <c r="A67" s="21">
        <v>17</v>
      </c>
      <c r="B67" s="133" t="str">
        <f>DATA!D26</f>
        <v>Lutfia Asri Wahyuni</v>
      </c>
      <c r="C67" s="113" t="s">
        <v>63</v>
      </c>
      <c r="D67" s="114"/>
      <c r="E67" s="114"/>
      <c r="F67" s="114"/>
      <c r="G67" s="254"/>
      <c r="H67" s="113"/>
      <c r="I67" s="114"/>
      <c r="J67" s="114"/>
      <c r="K67" s="114"/>
      <c r="L67" s="254"/>
      <c r="M67" s="113"/>
      <c r="N67" s="114"/>
      <c r="O67" s="114"/>
      <c r="P67" s="114"/>
      <c r="Q67" s="254"/>
      <c r="R67" s="331">
        <f t="shared" si="2"/>
        <v>17</v>
      </c>
      <c r="S67" s="332" t="str">
        <f t="shared" si="3"/>
        <v>Lutfia Asri Wahyuni</v>
      </c>
      <c r="T67" s="243" t="s">
        <v>63</v>
      </c>
      <c r="U67" s="114"/>
      <c r="V67" s="114"/>
      <c r="W67" s="114"/>
      <c r="X67" s="238"/>
      <c r="Y67" s="114"/>
      <c r="Z67" s="114"/>
      <c r="AA67" s="114"/>
      <c r="AB67" s="114"/>
      <c r="AC67" s="254"/>
      <c r="AD67" s="243"/>
      <c r="AE67" s="114"/>
      <c r="AF67" s="114"/>
      <c r="AG67" s="114"/>
      <c r="AH67" s="254"/>
    </row>
    <row r="68" spans="1:34" x14ac:dyDescent="0.25">
      <c r="A68" s="21">
        <v>18</v>
      </c>
      <c r="B68" s="133" t="str">
        <f>DATA!D27</f>
        <v>Muhamad Fadil Khoiri</v>
      </c>
      <c r="C68" s="113" t="s">
        <v>63</v>
      </c>
      <c r="D68" s="114"/>
      <c r="E68" s="114"/>
      <c r="F68" s="114"/>
      <c r="G68" s="254"/>
      <c r="H68" s="113"/>
      <c r="I68" s="114"/>
      <c r="J68" s="114"/>
      <c r="K68" s="114"/>
      <c r="L68" s="254"/>
      <c r="M68" s="113"/>
      <c r="N68" s="114"/>
      <c r="O68" s="114"/>
      <c r="P68" s="114"/>
      <c r="Q68" s="254"/>
      <c r="R68" s="331">
        <f t="shared" si="2"/>
        <v>18</v>
      </c>
      <c r="S68" s="332" t="str">
        <f t="shared" si="3"/>
        <v>Muhamad Fadil Khoiri</v>
      </c>
      <c r="T68" s="243" t="s">
        <v>63</v>
      </c>
      <c r="U68" s="114"/>
      <c r="V68" s="114"/>
      <c r="W68" s="114"/>
      <c r="X68" s="238"/>
      <c r="Y68" s="114"/>
      <c r="Z68" s="114"/>
      <c r="AA68" s="114"/>
      <c r="AB68" s="114"/>
      <c r="AC68" s="254"/>
      <c r="AD68" s="243"/>
      <c r="AE68" s="114"/>
      <c r="AF68" s="114"/>
      <c r="AG68" s="114"/>
      <c r="AH68" s="254"/>
    </row>
    <row r="69" spans="1:34" x14ac:dyDescent="0.25">
      <c r="A69" s="21">
        <v>19</v>
      </c>
      <c r="B69" s="133" t="str">
        <f>DATA!D28</f>
        <v>Muhammad Aqil Mufid</v>
      </c>
      <c r="C69" s="113" t="s">
        <v>63</v>
      </c>
      <c r="D69" s="114"/>
      <c r="E69" s="114"/>
      <c r="F69" s="114"/>
      <c r="G69" s="254"/>
      <c r="H69" s="113"/>
      <c r="I69" s="114"/>
      <c r="J69" s="114"/>
      <c r="K69" s="114"/>
      <c r="L69" s="254"/>
      <c r="M69" s="113"/>
      <c r="N69" s="114"/>
      <c r="O69" s="114"/>
      <c r="P69" s="114"/>
      <c r="Q69" s="254"/>
      <c r="R69" s="331">
        <f t="shared" si="2"/>
        <v>19</v>
      </c>
      <c r="S69" s="332" t="str">
        <f t="shared" si="3"/>
        <v>Muhammad Aqil Mufid</v>
      </c>
      <c r="T69" s="243" t="s">
        <v>63</v>
      </c>
      <c r="U69" s="114"/>
      <c r="V69" s="114"/>
      <c r="W69" s="114"/>
      <c r="X69" s="238"/>
      <c r="Y69" s="114"/>
      <c r="Z69" s="114"/>
      <c r="AA69" s="114"/>
      <c r="AB69" s="114"/>
      <c r="AC69" s="254"/>
      <c r="AD69" s="243"/>
      <c r="AE69" s="114"/>
      <c r="AF69" s="114"/>
      <c r="AG69" s="114"/>
      <c r="AH69" s="254"/>
    </row>
    <row r="70" spans="1:34" x14ac:dyDescent="0.25">
      <c r="A70" s="21">
        <v>20</v>
      </c>
      <c r="B70" s="133" t="str">
        <f>DATA!D29</f>
        <v>Muhammad Danish Alzydan</v>
      </c>
      <c r="C70" s="113" t="s">
        <v>63</v>
      </c>
      <c r="D70" s="114"/>
      <c r="E70" s="114"/>
      <c r="F70" s="114"/>
      <c r="G70" s="254"/>
      <c r="H70" s="113"/>
      <c r="I70" s="114"/>
      <c r="J70" s="114"/>
      <c r="K70" s="114"/>
      <c r="L70" s="254"/>
      <c r="M70" s="113"/>
      <c r="N70" s="114"/>
      <c r="O70" s="114"/>
      <c r="P70" s="114"/>
      <c r="Q70" s="254"/>
      <c r="R70" s="331">
        <f t="shared" si="2"/>
        <v>20</v>
      </c>
      <c r="S70" s="332" t="str">
        <f t="shared" si="3"/>
        <v>Muhammad Danish Alzydan</v>
      </c>
      <c r="T70" s="243" t="s">
        <v>63</v>
      </c>
      <c r="U70" s="114"/>
      <c r="V70" s="114"/>
      <c r="W70" s="114"/>
      <c r="X70" s="238"/>
      <c r="Y70" s="114"/>
      <c r="Z70" s="114"/>
      <c r="AA70" s="114"/>
      <c r="AB70" s="114"/>
      <c r="AC70" s="254"/>
      <c r="AD70" s="243"/>
      <c r="AE70" s="114"/>
      <c r="AF70" s="114"/>
      <c r="AG70" s="114"/>
      <c r="AH70" s="254"/>
    </row>
    <row r="71" spans="1:34" x14ac:dyDescent="0.25">
      <c r="A71" s="21">
        <v>21</v>
      </c>
      <c r="B71" s="133" t="str">
        <f>DATA!D30</f>
        <v>Muhammad Nurul Huda</v>
      </c>
      <c r="C71" s="113" t="s">
        <v>63</v>
      </c>
      <c r="D71" s="114"/>
      <c r="E71" s="114"/>
      <c r="F71" s="114"/>
      <c r="G71" s="254"/>
      <c r="H71" s="113"/>
      <c r="I71" s="114"/>
      <c r="J71" s="114"/>
      <c r="K71" s="114"/>
      <c r="L71" s="254"/>
      <c r="M71" s="113"/>
      <c r="N71" s="114"/>
      <c r="O71" s="114"/>
      <c r="P71" s="114"/>
      <c r="Q71" s="254"/>
      <c r="R71" s="331">
        <f t="shared" si="2"/>
        <v>21</v>
      </c>
      <c r="S71" s="332" t="str">
        <f t="shared" si="3"/>
        <v>Muhammad Nurul Huda</v>
      </c>
      <c r="T71" s="243" t="s">
        <v>63</v>
      </c>
      <c r="U71" s="114"/>
      <c r="V71" s="114"/>
      <c r="W71" s="114"/>
      <c r="X71" s="238"/>
      <c r="Y71" s="114"/>
      <c r="Z71" s="114"/>
      <c r="AA71" s="114"/>
      <c r="AB71" s="114"/>
      <c r="AC71" s="254"/>
      <c r="AD71" s="243"/>
      <c r="AE71" s="114"/>
      <c r="AF71" s="114"/>
      <c r="AG71" s="114"/>
      <c r="AH71" s="254"/>
    </row>
    <row r="72" spans="1:34" x14ac:dyDescent="0.25">
      <c r="A72" s="21">
        <v>22</v>
      </c>
      <c r="B72" s="133" t="str">
        <f>DATA!D31</f>
        <v>Nada Aprillia Zulfa Fairuz</v>
      </c>
      <c r="C72" s="113" t="s">
        <v>63</v>
      </c>
      <c r="D72" s="114"/>
      <c r="E72" s="114"/>
      <c r="F72" s="114"/>
      <c r="G72" s="254"/>
      <c r="H72" s="113"/>
      <c r="I72" s="114"/>
      <c r="J72" s="114"/>
      <c r="K72" s="114"/>
      <c r="L72" s="254"/>
      <c r="M72" s="113"/>
      <c r="N72" s="114"/>
      <c r="O72" s="114"/>
      <c r="P72" s="114"/>
      <c r="Q72" s="254"/>
      <c r="R72" s="331">
        <f t="shared" si="2"/>
        <v>22</v>
      </c>
      <c r="S72" s="332" t="str">
        <f t="shared" si="3"/>
        <v>Nada Aprillia Zulfa Fairuz</v>
      </c>
      <c r="T72" s="243" t="s">
        <v>63</v>
      </c>
      <c r="U72" s="114"/>
      <c r="V72" s="114"/>
      <c r="W72" s="114"/>
      <c r="X72" s="238"/>
      <c r="Y72" s="114"/>
      <c r="Z72" s="114"/>
      <c r="AA72" s="114"/>
      <c r="AB72" s="114"/>
      <c r="AC72" s="254"/>
      <c r="AD72" s="243"/>
      <c r="AE72" s="114"/>
      <c r="AF72" s="114"/>
      <c r="AG72" s="114"/>
      <c r="AH72" s="254"/>
    </row>
    <row r="73" spans="1:34" x14ac:dyDescent="0.25">
      <c r="A73" s="21">
        <v>23</v>
      </c>
      <c r="B73" s="133" t="str">
        <f>DATA!D32</f>
        <v>Nadaa Fadiyah Salsabila</v>
      </c>
      <c r="C73" s="113" t="s">
        <v>63</v>
      </c>
      <c r="D73" s="114"/>
      <c r="E73" s="114"/>
      <c r="F73" s="114"/>
      <c r="G73" s="254"/>
      <c r="H73" s="113"/>
      <c r="I73" s="114"/>
      <c r="J73" s="114"/>
      <c r="K73" s="114"/>
      <c r="L73" s="254"/>
      <c r="M73" s="113"/>
      <c r="N73" s="114"/>
      <c r="O73" s="114"/>
      <c r="P73" s="114"/>
      <c r="Q73" s="254"/>
      <c r="R73" s="331">
        <f t="shared" si="2"/>
        <v>23</v>
      </c>
      <c r="S73" s="332" t="str">
        <f t="shared" si="3"/>
        <v>Nadaa Fadiyah Salsabila</v>
      </c>
      <c r="T73" s="243" t="s">
        <v>63</v>
      </c>
      <c r="U73" s="114"/>
      <c r="V73" s="114"/>
      <c r="W73" s="114"/>
      <c r="X73" s="238"/>
      <c r="Y73" s="114"/>
      <c r="Z73" s="114"/>
      <c r="AA73" s="114"/>
      <c r="AB73" s="114"/>
      <c r="AC73" s="254"/>
      <c r="AD73" s="243"/>
      <c r="AE73" s="114"/>
      <c r="AF73" s="114"/>
      <c r="AG73" s="114"/>
      <c r="AH73" s="254"/>
    </row>
    <row r="74" spans="1:34" x14ac:dyDescent="0.25">
      <c r="A74" s="21">
        <v>24</v>
      </c>
      <c r="B74" s="133" t="str">
        <f>DATA!D33</f>
        <v>Nayla Oriza Shatifa</v>
      </c>
      <c r="C74" s="113" t="s">
        <v>63</v>
      </c>
      <c r="D74" s="114"/>
      <c r="E74" s="114"/>
      <c r="F74" s="114"/>
      <c r="G74" s="254"/>
      <c r="H74" s="113"/>
      <c r="I74" s="114"/>
      <c r="J74" s="114"/>
      <c r="K74" s="114"/>
      <c r="L74" s="254"/>
      <c r="M74" s="113"/>
      <c r="N74" s="114"/>
      <c r="O74" s="114"/>
      <c r="P74" s="114"/>
      <c r="Q74" s="254"/>
      <c r="R74" s="331">
        <f t="shared" si="2"/>
        <v>24</v>
      </c>
      <c r="S74" s="332" t="str">
        <f t="shared" si="3"/>
        <v>Nayla Oriza Shatifa</v>
      </c>
      <c r="T74" s="243" t="s">
        <v>63</v>
      </c>
      <c r="U74" s="114"/>
      <c r="V74" s="114"/>
      <c r="W74" s="114"/>
      <c r="X74" s="238"/>
      <c r="Y74" s="114"/>
      <c r="Z74" s="114"/>
      <c r="AA74" s="114"/>
      <c r="AB74" s="114"/>
      <c r="AC74" s="254"/>
      <c r="AD74" s="243"/>
      <c r="AE74" s="114"/>
      <c r="AF74" s="114"/>
      <c r="AG74" s="114"/>
      <c r="AH74" s="254"/>
    </row>
    <row r="75" spans="1:34" x14ac:dyDescent="0.25">
      <c r="A75" s="21">
        <v>25</v>
      </c>
      <c r="B75" s="133" t="str">
        <f>DATA!D34</f>
        <v>Raditya Eka Putra Yudha</v>
      </c>
      <c r="C75" s="113" t="s">
        <v>63</v>
      </c>
      <c r="D75" s="114"/>
      <c r="E75" s="114"/>
      <c r="F75" s="114"/>
      <c r="G75" s="254"/>
      <c r="H75" s="113"/>
      <c r="I75" s="114"/>
      <c r="J75" s="114"/>
      <c r="K75" s="114"/>
      <c r="L75" s="254"/>
      <c r="M75" s="113"/>
      <c r="N75" s="114"/>
      <c r="O75" s="114"/>
      <c r="P75" s="114"/>
      <c r="Q75" s="254"/>
      <c r="R75" s="331">
        <f t="shared" si="2"/>
        <v>25</v>
      </c>
      <c r="S75" s="332" t="str">
        <f t="shared" si="3"/>
        <v>Raditya Eka Putra Yudha</v>
      </c>
      <c r="T75" s="243" t="s">
        <v>63</v>
      </c>
      <c r="U75" s="114"/>
      <c r="V75" s="114"/>
      <c r="W75" s="114"/>
      <c r="X75" s="238"/>
      <c r="Y75" s="114"/>
      <c r="Z75" s="114"/>
      <c r="AA75" s="114"/>
      <c r="AB75" s="114"/>
      <c r="AC75" s="254"/>
      <c r="AD75" s="243"/>
      <c r="AE75" s="114"/>
      <c r="AF75" s="114"/>
      <c r="AG75" s="114"/>
      <c r="AH75" s="254"/>
    </row>
    <row r="76" spans="1:34" x14ac:dyDescent="0.25">
      <c r="A76" s="21">
        <v>26</v>
      </c>
      <c r="B76" s="133" t="str">
        <f>DATA!D35</f>
        <v>Ragil Harlangga</v>
      </c>
      <c r="C76" s="113" t="s">
        <v>63</v>
      </c>
      <c r="D76" s="114"/>
      <c r="E76" s="114"/>
      <c r="F76" s="114"/>
      <c r="G76" s="254"/>
      <c r="H76" s="113"/>
      <c r="I76" s="114"/>
      <c r="J76" s="114"/>
      <c r="K76" s="114"/>
      <c r="L76" s="254"/>
      <c r="M76" s="113"/>
      <c r="N76" s="114"/>
      <c r="O76" s="114"/>
      <c r="P76" s="114"/>
      <c r="Q76" s="254"/>
      <c r="R76" s="331">
        <f t="shared" si="2"/>
        <v>26</v>
      </c>
      <c r="S76" s="332" t="str">
        <f t="shared" si="3"/>
        <v>Ragil Harlangga</v>
      </c>
      <c r="T76" s="243" t="s">
        <v>63</v>
      </c>
      <c r="U76" s="114"/>
      <c r="V76" s="114"/>
      <c r="W76" s="114"/>
      <c r="X76" s="238"/>
      <c r="Y76" s="114"/>
      <c r="Z76" s="114"/>
      <c r="AA76" s="114"/>
      <c r="AB76" s="114"/>
      <c r="AC76" s="254"/>
      <c r="AD76" s="243"/>
      <c r="AE76" s="114"/>
      <c r="AF76" s="114"/>
      <c r="AG76" s="114"/>
      <c r="AH76" s="254"/>
    </row>
    <row r="77" spans="1:34" x14ac:dyDescent="0.25">
      <c r="A77" s="21">
        <v>27</v>
      </c>
      <c r="B77" s="133" t="str">
        <f>DATA!D36</f>
        <v>Rasya Hidayatullah Putra Zatmiko</v>
      </c>
      <c r="C77" s="113" t="s">
        <v>63</v>
      </c>
      <c r="D77" s="114"/>
      <c r="E77" s="114"/>
      <c r="F77" s="114"/>
      <c r="G77" s="254"/>
      <c r="H77" s="113"/>
      <c r="I77" s="114"/>
      <c r="J77" s="114"/>
      <c r="K77" s="114"/>
      <c r="L77" s="254"/>
      <c r="M77" s="113"/>
      <c r="N77" s="114"/>
      <c r="O77" s="114"/>
      <c r="P77" s="114"/>
      <c r="Q77" s="254"/>
      <c r="R77" s="331">
        <f t="shared" si="2"/>
        <v>27</v>
      </c>
      <c r="S77" s="332" t="str">
        <f t="shared" si="3"/>
        <v>Rasya Hidayatullah Putra Zatmiko</v>
      </c>
      <c r="T77" s="243" t="s">
        <v>63</v>
      </c>
      <c r="U77" s="114"/>
      <c r="V77" s="114"/>
      <c r="W77" s="114"/>
      <c r="X77" s="238"/>
      <c r="Y77" s="114"/>
      <c r="Z77" s="114"/>
      <c r="AA77" s="114"/>
      <c r="AB77" s="114"/>
      <c r="AC77" s="254"/>
      <c r="AD77" s="243"/>
      <c r="AE77" s="114"/>
      <c r="AF77" s="114"/>
      <c r="AG77" s="114"/>
      <c r="AH77" s="254"/>
    </row>
    <row r="78" spans="1:34" x14ac:dyDescent="0.25">
      <c r="A78" s="21">
        <v>28</v>
      </c>
      <c r="B78" s="133" t="str">
        <f>DATA!D37</f>
        <v>Septiyana Trihapsari</v>
      </c>
      <c r="C78" s="113" t="s">
        <v>63</v>
      </c>
      <c r="D78" s="114"/>
      <c r="E78" s="114"/>
      <c r="F78" s="114"/>
      <c r="G78" s="254"/>
      <c r="H78" s="113"/>
      <c r="I78" s="114"/>
      <c r="J78" s="114"/>
      <c r="K78" s="114"/>
      <c r="L78" s="254"/>
      <c r="M78" s="113"/>
      <c r="N78" s="114"/>
      <c r="O78" s="114"/>
      <c r="P78" s="114"/>
      <c r="Q78" s="254"/>
      <c r="R78" s="331">
        <f t="shared" si="2"/>
        <v>28</v>
      </c>
      <c r="S78" s="332" t="str">
        <f t="shared" si="3"/>
        <v>Septiyana Trihapsari</v>
      </c>
      <c r="T78" s="243" t="s">
        <v>63</v>
      </c>
      <c r="U78" s="114"/>
      <c r="V78" s="114"/>
      <c r="W78" s="114"/>
      <c r="X78" s="238"/>
      <c r="Y78" s="114"/>
      <c r="Z78" s="114"/>
      <c r="AA78" s="114"/>
      <c r="AB78" s="114"/>
      <c r="AC78" s="254"/>
      <c r="AD78" s="243"/>
      <c r="AE78" s="114"/>
      <c r="AF78" s="114"/>
      <c r="AG78" s="114"/>
      <c r="AH78" s="254"/>
    </row>
    <row r="79" spans="1:34" x14ac:dyDescent="0.25">
      <c r="A79" s="21">
        <v>29</v>
      </c>
      <c r="B79" s="133" t="str">
        <f>DATA!D38</f>
        <v>Syarifa Fatma</v>
      </c>
      <c r="C79" s="113" t="s">
        <v>63</v>
      </c>
      <c r="D79" s="114"/>
      <c r="E79" s="114"/>
      <c r="F79" s="114"/>
      <c r="G79" s="254"/>
      <c r="H79" s="113"/>
      <c r="I79" s="114"/>
      <c r="J79" s="114"/>
      <c r="K79" s="114"/>
      <c r="L79" s="254"/>
      <c r="M79" s="113"/>
      <c r="N79" s="114"/>
      <c r="O79" s="114"/>
      <c r="P79" s="114"/>
      <c r="Q79" s="254"/>
      <c r="R79" s="331">
        <f t="shared" si="2"/>
        <v>29</v>
      </c>
      <c r="S79" s="332" t="str">
        <f t="shared" si="3"/>
        <v>Syarifa Fatma</v>
      </c>
      <c r="T79" s="243" t="s">
        <v>63</v>
      </c>
      <c r="U79" s="114"/>
      <c r="V79" s="114"/>
      <c r="W79" s="114"/>
      <c r="X79" s="238"/>
      <c r="Y79" s="114"/>
      <c r="Z79" s="114"/>
      <c r="AA79" s="114"/>
      <c r="AB79" s="114"/>
      <c r="AC79" s="254"/>
      <c r="AD79" s="243"/>
      <c r="AE79" s="114"/>
      <c r="AF79" s="114"/>
      <c r="AG79" s="114"/>
      <c r="AH79" s="254"/>
    </row>
    <row r="80" spans="1:34" x14ac:dyDescent="0.25">
      <c r="A80" s="21">
        <v>30</v>
      </c>
      <c r="B80" s="133" t="str">
        <f>DATA!D39</f>
        <v>Syauqi Lazuardi</v>
      </c>
      <c r="C80" s="113" t="s">
        <v>63</v>
      </c>
      <c r="D80" s="114"/>
      <c r="E80" s="114"/>
      <c r="F80" s="114"/>
      <c r="G80" s="254"/>
      <c r="H80" s="113"/>
      <c r="I80" s="114"/>
      <c r="J80" s="114"/>
      <c r="K80" s="114"/>
      <c r="L80" s="254"/>
      <c r="M80" s="113"/>
      <c r="N80" s="114"/>
      <c r="O80" s="114"/>
      <c r="P80" s="114"/>
      <c r="Q80" s="254"/>
      <c r="R80" s="331">
        <f t="shared" si="2"/>
        <v>30</v>
      </c>
      <c r="S80" s="332" t="str">
        <f t="shared" si="3"/>
        <v>Syauqi Lazuardi</v>
      </c>
      <c r="T80" s="243" t="s">
        <v>63</v>
      </c>
      <c r="U80" s="114"/>
      <c r="V80" s="114"/>
      <c r="W80" s="114"/>
      <c r="X80" s="238"/>
      <c r="Y80" s="114"/>
      <c r="Z80" s="114"/>
      <c r="AA80" s="114"/>
      <c r="AB80" s="114"/>
      <c r="AC80" s="254"/>
      <c r="AD80" s="243"/>
      <c r="AE80" s="114"/>
      <c r="AF80" s="114"/>
      <c r="AG80" s="114"/>
      <c r="AH80" s="254"/>
    </row>
    <row r="81" spans="1:34" x14ac:dyDescent="0.25">
      <c r="A81" s="21">
        <v>31</v>
      </c>
      <c r="B81" s="133" t="str">
        <f>DATA!D40</f>
        <v>Zakya Ninu Azzahra</v>
      </c>
      <c r="C81" s="113" t="s">
        <v>63</v>
      </c>
      <c r="D81" s="114"/>
      <c r="E81" s="114"/>
      <c r="F81" s="114"/>
      <c r="G81" s="254"/>
      <c r="H81" s="113"/>
      <c r="I81" s="114"/>
      <c r="J81" s="114"/>
      <c r="K81" s="114"/>
      <c r="L81" s="254"/>
      <c r="M81" s="113"/>
      <c r="N81" s="114"/>
      <c r="O81" s="114"/>
      <c r="P81" s="114"/>
      <c r="Q81" s="254"/>
      <c r="R81" s="331">
        <f t="shared" si="2"/>
        <v>31</v>
      </c>
      <c r="S81" s="332" t="str">
        <f t="shared" si="3"/>
        <v>Zakya Ninu Azzahra</v>
      </c>
      <c r="T81" s="243" t="s">
        <v>63</v>
      </c>
      <c r="U81" s="114"/>
      <c r="V81" s="114"/>
      <c r="W81" s="114"/>
      <c r="X81" s="238"/>
      <c r="Y81" s="114"/>
      <c r="Z81" s="114"/>
      <c r="AA81" s="114"/>
      <c r="AB81" s="114"/>
      <c r="AC81" s="254"/>
      <c r="AD81" s="243"/>
      <c r="AE81" s="114"/>
      <c r="AF81" s="114"/>
      <c r="AG81" s="114"/>
      <c r="AH81" s="254"/>
    </row>
    <row r="82" spans="1:34" x14ac:dyDescent="0.25">
      <c r="A82" s="21">
        <v>32</v>
      </c>
      <c r="B82" s="133" t="str">
        <f>DATA!D41</f>
        <v>Zivara Layly Amaratungga</v>
      </c>
      <c r="C82" s="113" t="s">
        <v>63</v>
      </c>
      <c r="D82" s="114"/>
      <c r="E82" s="114"/>
      <c r="F82" s="114"/>
      <c r="G82" s="254"/>
      <c r="H82" s="113"/>
      <c r="I82" s="114"/>
      <c r="J82" s="114"/>
      <c r="K82" s="114"/>
      <c r="L82" s="254"/>
      <c r="M82" s="113"/>
      <c r="N82" s="114"/>
      <c r="O82" s="114"/>
      <c r="P82" s="114"/>
      <c r="Q82" s="254"/>
      <c r="R82" s="331">
        <f t="shared" si="2"/>
        <v>32</v>
      </c>
      <c r="S82" s="332" t="str">
        <f t="shared" si="3"/>
        <v>Zivara Layly Amaratungga</v>
      </c>
      <c r="T82" s="243" t="s">
        <v>63</v>
      </c>
      <c r="U82" s="114"/>
      <c r="V82" s="114"/>
      <c r="W82" s="114"/>
      <c r="X82" s="238"/>
      <c r="Y82" s="114"/>
      <c r="Z82" s="114"/>
      <c r="AA82" s="114"/>
      <c r="AB82" s="114"/>
      <c r="AC82" s="254"/>
      <c r="AD82" s="243"/>
      <c r="AE82" s="114"/>
      <c r="AF82" s="114"/>
      <c r="AG82" s="114"/>
      <c r="AH82" s="254"/>
    </row>
    <row r="83" spans="1:34" x14ac:dyDescent="0.25">
      <c r="A83" s="21">
        <v>33</v>
      </c>
      <c r="B83" s="133">
        <f>DATA!D42</f>
        <v>0</v>
      </c>
      <c r="C83" s="113"/>
      <c r="D83" s="114"/>
      <c r="E83" s="114"/>
      <c r="F83" s="114"/>
      <c r="G83" s="254"/>
      <c r="H83" s="113"/>
      <c r="I83" s="114"/>
      <c r="J83" s="114"/>
      <c r="K83" s="114"/>
      <c r="L83" s="254"/>
      <c r="M83" s="113"/>
      <c r="N83" s="114"/>
      <c r="O83" s="114"/>
      <c r="P83" s="114"/>
      <c r="Q83" s="254"/>
      <c r="R83" s="331"/>
      <c r="S83" s="332"/>
      <c r="T83" s="243" t="s">
        <v>63</v>
      </c>
      <c r="U83" s="114"/>
      <c r="V83" s="114"/>
      <c r="W83" s="114"/>
      <c r="X83" s="238"/>
      <c r="Y83" s="114"/>
      <c r="Z83" s="114"/>
      <c r="AA83" s="114"/>
      <c r="AB83" s="114"/>
      <c r="AC83" s="254"/>
      <c r="AD83" s="243"/>
      <c r="AE83" s="114"/>
      <c r="AF83" s="114"/>
      <c r="AG83" s="114"/>
      <c r="AH83" s="254"/>
    </row>
    <row r="84" spans="1:34" x14ac:dyDescent="0.25">
      <c r="A84" s="21">
        <v>34</v>
      </c>
      <c r="B84" s="133"/>
      <c r="C84" s="113"/>
      <c r="D84" s="114"/>
      <c r="E84" s="114"/>
      <c r="F84" s="114"/>
      <c r="G84" s="254"/>
      <c r="H84" s="113"/>
      <c r="I84" s="114"/>
      <c r="J84" s="114"/>
      <c r="K84" s="114"/>
      <c r="L84" s="254"/>
      <c r="M84" s="113"/>
      <c r="N84" s="114"/>
      <c r="O84" s="114"/>
      <c r="P84" s="114"/>
      <c r="Q84" s="254"/>
      <c r="R84" s="331"/>
      <c r="S84" s="332"/>
      <c r="T84" s="243" t="s">
        <v>63</v>
      </c>
      <c r="U84" s="114"/>
      <c r="V84" s="114"/>
      <c r="W84" s="114"/>
      <c r="X84" s="238"/>
      <c r="Y84" s="114"/>
      <c r="Z84" s="114"/>
      <c r="AA84" s="114"/>
      <c r="AB84" s="114"/>
      <c r="AC84" s="254"/>
      <c r="AD84" s="243"/>
      <c r="AE84" s="114"/>
      <c r="AF84" s="114"/>
      <c r="AG84" s="114"/>
      <c r="AH84" s="254"/>
    </row>
    <row r="85" spans="1:34" x14ac:dyDescent="0.25">
      <c r="A85" s="21">
        <v>35</v>
      </c>
      <c r="B85" s="161"/>
      <c r="C85" s="113"/>
      <c r="D85" s="115"/>
      <c r="E85" s="115"/>
      <c r="F85" s="114"/>
      <c r="G85" s="254"/>
      <c r="H85" s="255"/>
      <c r="I85" s="115"/>
      <c r="J85" s="114"/>
      <c r="K85" s="114"/>
      <c r="L85" s="254"/>
      <c r="M85" s="255"/>
      <c r="N85" s="115"/>
      <c r="O85" s="115"/>
      <c r="P85" s="115"/>
      <c r="Q85" s="256"/>
      <c r="R85" s="333"/>
      <c r="S85" s="334"/>
      <c r="T85" s="244" t="s">
        <v>63</v>
      </c>
      <c r="U85" s="115"/>
      <c r="V85" s="115"/>
      <c r="W85" s="115"/>
      <c r="X85" s="239"/>
      <c r="Y85" s="115"/>
      <c r="Z85" s="115"/>
      <c r="AA85" s="115"/>
      <c r="AB85" s="115"/>
      <c r="AC85" s="256"/>
      <c r="AD85" s="244"/>
      <c r="AE85" s="115"/>
      <c r="AF85" s="115"/>
      <c r="AG85" s="115"/>
      <c r="AH85" s="256"/>
    </row>
    <row r="86" spans="1:34" x14ac:dyDescent="0.25">
      <c r="A86" s="116"/>
      <c r="B86" s="116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04"/>
      <c r="Z86" s="504" t="str">
        <f>B47</f>
        <v>9B</v>
      </c>
      <c r="AA86" s="504"/>
      <c r="AB86" s="504"/>
      <c r="AC86" s="104"/>
    </row>
    <row r="87" spans="1:34" x14ac:dyDescent="0.25">
      <c r="A87" s="118"/>
      <c r="B87" s="118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504"/>
      <c r="AA87" s="504"/>
      <c r="AB87" s="504"/>
      <c r="AC87" s="104"/>
    </row>
    <row r="88" spans="1:34" x14ac:dyDescent="0.25">
      <c r="A88" s="118"/>
      <c r="B88" s="118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504"/>
      <c r="AA88" s="504"/>
      <c r="AB88" s="504"/>
      <c r="AC88" s="104"/>
    </row>
    <row r="89" spans="1:34" ht="13" x14ac:dyDescent="0.3">
      <c r="A89" s="478" t="s">
        <v>88</v>
      </c>
      <c r="B89" s="478"/>
      <c r="C89" s="478"/>
      <c r="D89" s="478"/>
      <c r="E89" s="478"/>
      <c r="F89" s="478"/>
      <c r="G89" s="478"/>
      <c r="H89" s="478"/>
      <c r="I89" s="478"/>
      <c r="J89" s="478"/>
      <c r="K89" s="478"/>
      <c r="L89" s="478"/>
      <c r="M89" s="478"/>
      <c r="N89" s="478"/>
      <c r="O89" s="478"/>
      <c r="P89" s="478"/>
      <c r="Q89" s="478"/>
      <c r="R89" s="478"/>
      <c r="S89" s="478"/>
      <c r="T89" s="478"/>
      <c r="U89" s="478"/>
      <c r="V89" s="478"/>
      <c r="W89" s="478"/>
      <c r="X89" s="478"/>
      <c r="Y89" s="478"/>
      <c r="Z89" s="478"/>
      <c r="AA89" s="478"/>
      <c r="AB89" s="478"/>
      <c r="AC89" s="478"/>
      <c r="AD89" s="478"/>
      <c r="AE89" s="478"/>
      <c r="AF89" s="478"/>
      <c r="AG89" s="478"/>
      <c r="AH89" s="478"/>
    </row>
    <row r="90" spans="1:34" ht="13" x14ac:dyDescent="0.3">
      <c r="A90" s="479" t="str">
        <f>A46</f>
        <v xml:space="preserve"> KL IX SMT GASAL TP 2025/2026</v>
      </c>
      <c r="B90" s="479"/>
      <c r="C90" s="479"/>
      <c r="D90" s="479"/>
      <c r="E90" s="479"/>
      <c r="F90" s="479"/>
      <c r="G90" s="479"/>
      <c r="H90" s="479"/>
      <c r="I90" s="479"/>
      <c r="J90" s="479"/>
      <c r="K90" s="479"/>
      <c r="L90" s="479"/>
      <c r="M90" s="479"/>
      <c r="N90" s="479"/>
      <c r="O90" s="479"/>
      <c r="P90" s="479"/>
      <c r="Q90" s="479"/>
      <c r="R90" s="479"/>
      <c r="S90" s="479"/>
      <c r="T90" s="479"/>
      <c r="U90" s="479"/>
      <c r="V90" s="479"/>
      <c r="W90" s="479"/>
      <c r="X90" s="479"/>
      <c r="Y90" s="479"/>
      <c r="Z90" s="479"/>
      <c r="AA90" s="479"/>
      <c r="AB90" s="479"/>
      <c r="AC90" s="479"/>
      <c r="AD90" s="479"/>
      <c r="AE90" s="479"/>
      <c r="AF90" s="479"/>
      <c r="AG90" s="479"/>
      <c r="AH90" s="479"/>
    </row>
    <row r="91" spans="1:34" ht="13" x14ac:dyDescent="0.3">
      <c r="A91" s="108" t="s">
        <v>65</v>
      </c>
      <c r="B91" s="109" t="s">
        <v>92</v>
      </c>
      <c r="C91" s="250" t="s">
        <v>21</v>
      </c>
      <c r="D91" s="106"/>
      <c r="E91" s="251">
        <v>1</v>
      </c>
      <c r="F91" s="106"/>
      <c r="G91" s="107"/>
      <c r="H91" s="250" t="s">
        <v>21</v>
      </c>
      <c r="I91" s="106"/>
      <c r="J91" s="251">
        <v>2</v>
      </c>
      <c r="K91" s="106"/>
      <c r="L91" s="107"/>
      <c r="M91" s="250" t="s">
        <v>21</v>
      </c>
      <c r="N91" s="106"/>
      <c r="O91" s="251">
        <v>3</v>
      </c>
      <c r="P91" s="106"/>
      <c r="Q91" s="107"/>
      <c r="R91" s="327"/>
      <c r="S91" s="328"/>
      <c r="T91" s="506" t="s">
        <v>96</v>
      </c>
      <c r="U91" s="506"/>
      <c r="V91" s="506"/>
      <c r="W91" s="506"/>
      <c r="X91" s="506"/>
      <c r="Y91" s="506"/>
      <c r="Z91" s="506"/>
      <c r="AA91" s="506"/>
      <c r="AB91" s="506"/>
      <c r="AC91" s="507"/>
      <c r="AD91" s="505" t="s">
        <v>89</v>
      </c>
      <c r="AE91" s="506"/>
      <c r="AF91" s="506"/>
      <c r="AG91" s="506"/>
      <c r="AH91" s="507"/>
    </row>
    <row r="92" spans="1:34" x14ac:dyDescent="0.25">
      <c r="A92" s="2"/>
      <c r="B92" s="3" t="s">
        <v>7</v>
      </c>
      <c r="C92" s="32">
        <v>1</v>
      </c>
      <c r="D92" s="33">
        <v>2</v>
      </c>
      <c r="E92" s="33">
        <v>3</v>
      </c>
      <c r="F92" s="33">
        <v>4</v>
      </c>
      <c r="G92" s="34">
        <v>5</v>
      </c>
      <c r="H92" s="32">
        <v>1</v>
      </c>
      <c r="I92" s="33">
        <v>2</v>
      </c>
      <c r="J92" s="33">
        <v>3</v>
      </c>
      <c r="K92" s="33">
        <v>4</v>
      </c>
      <c r="L92" s="34">
        <v>5</v>
      </c>
      <c r="M92" s="32">
        <v>1</v>
      </c>
      <c r="N92" s="33">
        <v>2</v>
      </c>
      <c r="O92" s="33">
        <v>3</v>
      </c>
      <c r="P92" s="33">
        <v>4</v>
      </c>
      <c r="Q92" s="34">
        <v>5</v>
      </c>
      <c r="R92" s="266"/>
      <c r="S92" s="268"/>
      <c r="T92" s="261">
        <v>1</v>
      </c>
      <c r="U92" s="33">
        <v>2</v>
      </c>
      <c r="V92" s="33">
        <v>3</v>
      </c>
      <c r="W92" s="33">
        <v>4</v>
      </c>
      <c r="X92" s="33">
        <v>5</v>
      </c>
      <c r="Y92" s="33">
        <v>6</v>
      </c>
      <c r="Z92" s="33">
        <v>7</v>
      </c>
      <c r="AA92" s="33">
        <v>8</v>
      </c>
      <c r="AB92" s="33">
        <v>9</v>
      </c>
      <c r="AC92" s="34">
        <v>10</v>
      </c>
      <c r="AD92" s="261">
        <v>1</v>
      </c>
      <c r="AE92" s="33">
        <v>2</v>
      </c>
      <c r="AF92" s="33">
        <v>3</v>
      </c>
      <c r="AG92" s="33">
        <v>4</v>
      </c>
      <c r="AH92" s="34">
        <v>5</v>
      </c>
    </row>
    <row r="93" spans="1:34" x14ac:dyDescent="0.25">
      <c r="A93" s="6" t="s">
        <v>0</v>
      </c>
      <c r="B93" s="5" t="s">
        <v>8</v>
      </c>
      <c r="C93" s="55"/>
      <c r="D93" s="56"/>
      <c r="E93" s="56"/>
      <c r="F93" s="56"/>
      <c r="G93" s="57"/>
      <c r="H93" s="55"/>
      <c r="I93" s="56"/>
      <c r="J93" s="56"/>
      <c r="K93" s="56"/>
      <c r="L93" s="57"/>
      <c r="M93" s="55"/>
      <c r="N93" s="56"/>
      <c r="O93" s="56"/>
      <c r="P93" s="56"/>
      <c r="Q93" s="57"/>
      <c r="R93" s="55"/>
      <c r="S93" s="105"/>
      <c r="T93" s="262"/>
      <c r="U93" s="56"/>
      <c r="V93" s="56"/>
      <c r="W93" s="56"/>
      <c r="X93" s="57"/>
      <c r="Y93" s="56"/>
      <c r="Z93" s="56"/>
      <c r="AA93" s="56"/>
      <c r="AB93" s="56"/>
      <c r="AC93" s="105"/>
      <c r="AD93" s="262"/>
      <c r="AE93" s="56"/>
      <c r="AF93" s="56"/>
      <c r="AG93" s="56"/>
      <c r="AH93" s="105"/>
    </row>
    <row r="94" spans="1:34" x14ac:dyDescent="0.25">
      <c r="A94" s="6"/>
      <c r="B94" s="257" t="s">
        <v>2</v>
      </c>
      <c r="C94" s="36"/>
      <c r="D94" s="37"/>
      <c r="E94" s="37"/>
      <c r="F94" s="37"/>
      <c r="G94" s="38"/>
      <c r="H94" s="36"/>
      <c r="I94" s="37"/>
      <c r="J94" s="37"/>
      <c r="K94" s="37"/>
      <c r="L94" s="38"/>
      <c r="M94" s="36"/>
      <c r="N94" s="37"/>
      <c r="O94" s="37"/>
      <c r="P94" s="37"/>
      <c r="Q94" s="38"/>
      <c r="R94" s="267"/>
      <c r="S94" s="269"/>
      <c r="T94" s="263"/>
      <c r="U94" s="37"/>
      <c r="V94" s="37"/>
      <c r="W94" s="37"/>
      <c r="X94" s="252"/>
      <c r="Y94" s="37"/>
      <c r="Z94" s="37"/>
      <c r="AA94" s="37"/>
      <c r="AB94" s="37"/>
      <c r="AC94" s="38"/>
      <c r="AD94" s="263"/>
      <c r="AE94" s="37"/>
      <c r="AF94" s="37"/>
      <c r="AG94" s="37"/>
      <c r="AH94" s="38"/>
    </row>
    <row r="95" spans="1:34" x14ac:dyDescent="0.25">
      <c r="A95" s="20">
        <v>1</v>
      </c>
      <c r="B95" s="130" t="str">
        <f>DATA!F10</f>
        <v>Ahmad Husain</v>
      </c>
      <c r="C95" s="111" t="s">
        <v>63</v>
      </c>
      <c r="D95" s="112"/>
      <c r="E95" s="112"/>
      <c r="F95" s="112"/>
      <c r="G95" s="253"/>
      <c r="H95" s="111"/>
      <c r="I95" s="112"/>
      <c r="J95" s="112"/>
      <c r="K95" s="112"/>
      <c r="L95" s="253"/>
      <c r="M95" s="111"/>
      <c r="N95" s="112"/>
      <c r="O95" s="112"/>
      <c r="P95" s="112"/>
      <c r="Q95" s="253"/>
      <c r="R95" s="329">
        <f>A95</f>
        <v>1</v>
      </c>
      <c r="S95" s="330" t="str">
        <f>B95</f>
        <v>Ahmad Husain</v>
      </c>
      <c r="T95" s="242" t="s">
        <v>63</v>
      </c>
      <c r="U95" s="112"/>
      <c r="V95" s="112"/>
      <c r="W95" s="112"/>
      <c r="X95" s="240"/>
      <c r="Y95" s="112"/>
      <c r="Z95" s="112"/>
      <c r="AA95" s="112"/>
      <c r="AB95" s="112"/>
      <c r="AC95" s="253"/>
      <c r="AD95" s="242"/>
      <c r="AE95" s="112"/>
      <c r="AF95" s="112"/>
      <c r="AG95" s="112"/>
      <c r="AH95" s="253"/>
    </row>
    <row r="96" spans="1:34" x14ac:dyDescent="0.25">
      <c r="A96" s="21">
        <v>2</v>
      </c>
      <c r="B96" s="133" t="str">
        <f>DATA!F12</f>
        <v>Alfino Kurniawan</v>
      </c>
      <c r="C96" s="113" t="s">
        <v>63</v>
      </c>
      <c r="D96" s="114"/>
      <c r="E96" s="114"/>
      <c r="F96" s="114"/>
      <c r="G96" s="254"/>
      <c r="H96" s="113"/>
      <c r="I96" s="114"/>
      <c r="J96" s="114"/>
      <c r="K96" s="114"/>
      <c r="L96" s="254"/>
      <c r="M96" s="113"/>
      <c r="N96" s="114"/>
      <c r="O96" s="114"/>
      <c r="P96" s="114"/>
      <c r="Q96" s="254"/>
      <c r="R96" s="331">
        <f t="shared" ref="R96:R126" si="4">A96</f>
        <v>2</v>
      </c>
      <c r="S96" s="332" t="str">
        <f t="shared" ref="S96:S126" si="5">B96</f>
        <v>Alfino Kurniawan</v>
      </c>
      <c r="T96" s="243" t="s">
        <v>63</v>
      </c>
      <c r="U96" s="114"/>
      <c r="V96" s="114"/>
      <c r="W96" s="114"/>
      <c r="X96" s="238"/>
      <c r="Y96" s="114"/>
      <c r="Z96" s="114"/>
      <c r="AA96" s="114"/>
      <c r="AB96" s="114"/>
      <c r="AC96" s="254"/>
      <c r="AD96" s="243"/>
      <c r="AE96" s="114"/>
      <c r="AF96" s="114"/>
      <c r="AG96" s="114"/>
      <c r="AH96" s="254"/>
    </row>
    <row r="97" spans="1:34" x14ac:dyDescent="0.25">
      <c r="A97" s="21">
        <v>3</v>
      </c>
      <c r="B97" s="133" t="str">
        <f>DATA!F13</f>
        <v>Alif Jalu Adil</v>
      </c>
      <c r="C97" s="113" t="s">
        <v>63</v>
      </c>
      <c r="D97" s="114"/>
      <c r="E97" s="114"/>
      <c r="F97" s="114"/>
      <c r="G97" s="254"/>
      <c r="H97" s="113"/>
      <c r="I97" s="114"/>
      <c r="J97" s="114"/>
      <c r="K97" s="114"/>
      <c r="L97" s="254"/>
      <c r="M97" s="113"/>
      <c r="N97" s="114"/>
      <c r="O97" s="114"/>
      <c r="P97" s="114"/>
      <c r="Q97" s="254"/>
      <c r="R97" s="331">
        <f t="shared" si="4"/>
        <v>3</v>
      </c>
      <c r="S97" s="332" t="str">
        <f t="shared" si="5"/>
        <v>Alif Jalu Adil</v>
      </c>
      <c r="T97" s="243" t="s">
        <v>63</v>
      </c>
      <c r="U97" s="114"/>
      <c r="V97" s="114"/>
      <c r="W97" s="114"/>
      <c r="X97" s="238"/>
      <c r="Y97" s="114"/>
      <c r="Z97" s="114"/>
      <c r="AA97" s="114"/>
      <c r="AB97" s="114"/>
      <c r="AC97" s="254"/>
      <c r="AD97" s="243"/>
      <c r="AE97" s="114"/>
      <c r="AF97" s="114"/>
      <c r="AG97" s="114"/>
      <c r="AH97" s="254"/>
    </row>
    <row r="98" spans="1:34" x14ac:dyDescent="0.25">
      <c r="A98" s="21">
        <v>4</v>
      </c>
      <c r="B98" s="133" t="str">
        <f>DATA!F14</f>
        <v>Almira Tian Az Zahra</v>
      </c>
      <c r="C98" s="113" t="s">
        <v>63</v>
      </c>
      <c r="D98" s="114"/>
      <c r="E98" s="114"/>
      <c r="F98" s="114"/>
      <c r="G98" s="254"/>
      <c r="H98" s="113"/>
      <c r="I98" s="114"/>
      <c r="J98" s="114"/>
      <c r="K98" s="114"/>
      <c r="L98" s="254"/>
      <c r="M98" s="113"/>
      <c r="N98" s="114"/>
      <c r="O98" s="114"/>
      <c r="P98" s="114"/>
      <c r="Q98" s="254"/>
      <c r="R98" s="331">
        <f t="shared" si="4"/>
        <v>4</v>
      </c>
      <c r="S98" s="332" t="str">
        <f t="shared" si="5"/>
        <v>Almira Tian Az Zahra</v>
      </c>
      <c r="T98" s="243" t="s">
        <v>63</v>
      </c>
      <c r="U98" s="114"/>
      <c r="V98" s="114"/>
      <c r="W98" s="114"/>
      <c r="X98" s="238"/>
      <c r="Y98" s="114"/>
      <c r="Z98" s="114"/>
      <c r="AA98" s="114"/>
      <c r="AB98" s="114"/>
      <c r="AC98" s="254"/>
      <c r="AD98" s="243"/>
      <c r="AE98" s="114"/>
      <c r="AF98" s="114"/>
      <c r="AG98" s="114"/>
      <c r="AH98" s="254"/>
    </row>
    <row r="99" spans="1:34" x14ac:dyDescent="0.25">
      <c r="A99" s="21">
        <v>5</v>
      </c>
      <c r="B99" s="133" t="str">
        <f>DATA!F15</f>
        <v>Alvino Dafa Radhwa Aqilah</v>
      </c>
      <c r="C99" s="113" t="s">
        <v>63</v>
      </c>
      <c r="D99" s="114"/>
      <c r="E99" s="114"/>
      <c r="F99" s="114"/>
      <c r="G99" s="254"/>
      <c r="H99" s="113"/>
      <c r="I99" s="114"/>
      <c r="J99" s="114"/>
      <c r="K99" s="114"/>
      <c r="L99" s="254"/>
      <c r="M99" s="113"/>
      <c r="N99" s="114"/>
      <c r="O99" s="114"/>
      <c r="P99" s="114"/>
      <c r="Q99" s="254"/>
      <c r="R99" s="331">
        <f t="shared" si="4"/>
        <v>5</v>
      </c>
      <c r="S99" s="332" t="str">
        <f t="shared" si="5"/>
        <v>Alvino Dafa Radhwa Aqilah</v>
      </c>
      <c r="T99" s="243" t="s">
        <v>63</v>
      </c>
      <c r="U99" s="114"/>
      <c r="V99" s="114"/>
      <c r="W99" s="114"/>
      <c r="X99" s="238"/>
      <c r="Y99" s="114"/>
      <c r="Z99" s="114"/>
      <c r="AA99" s="114"/>
      <c r="AB99" s="114"/>
      <c r="AC99" s="254"/>
      <c r="AD99" s="243"/>
      <c r="AE99" s="114"/>
      <c r="AF99" s="114"/>
      <c r="AG99" s="114"/>
      <c r="AH99" s="254"/>
    </row>
    <row r="100" spans="1:34" x14ac:dyDescent="0.25">
      <c r="A100" s="21">
        <v>6</v>
      </c>
      <c r="B100" s="133" t="str">
        <f>DATA!F16</f>
        <v>Ananda Dhanis Syarifudien</v>
      </c>
      <c r="C100" s="113" t="s">
        <v>63</v>
      </c>
      <c r="D100" s="114"/>
      <c r="E100" s="114"/>
      <c r="F100" s="114"/>
      <c r="G100" s="254"/>
      <c r="H100" s="113"/>
      <c r="I100" s="114"/>
      <c r="J100" s="114"/>
      <c r="K100" s="114"/>
      <c r="L100" s="254"/>
      <c r="M100" s="113"/>
      <c r="N100" s="114"/>
      <c r="O100" s="114"/>
      <c r="P100" s="114"/>
      <c r="Q100" s="254"/>
      <c r="R100" s="331">
        <f t="shared" si="4"/>
        <v>6</v>
      </c>
      <c r="S100" s="332" t="str">
        <f t="shared" si="5"/>
        <v>Ananda Dhanis Syarifudien</v>
      </c>
      <c r="T100" s="243" t="s">
        <v>63</v>
      </c>
      <c r="U100" s="114"/>
      <c r="V100" s="114"/>
      <c r="W100" s="114"/>
      <c r="X100" s="238"/>
      <c r="Y100" s="114"/>
      <c r="Z100" s="114"/>
      <c r="AA100" s="114"/>
      <c r="AB100" s="114"/>
      <c r="AC100" s="254"/>
      <c r="AD100" s="243"/>
      <c r="AE100" s="114"/>
      <c r="AF100" s="114"/>
      <c r="AG100" s="114"/>
      <c r="AH100" s="254"/>
    </row>
    <row r="101" spans="1:34" x14ac:dyDescent="0.25">
      <c r="A101" s="21">
        <v>7</v>
      </c>
      <c r="B101" s="133" t="str">
        <f>DATA!F17</f>
        <v>Andra Putra Wahyu Baskara</v>
      </c>
      <c r="C101" s="113" t="s">
        <v>63</v>
      </c>
      <c r="D101" s="114"/>
      <c r="E101" s="114"/>
      <c r="F101" s="114"/>
      <c r="G101" s="254"/>
      <c r="H101" s="113"/>
      <c r="I101" s="114"/>
      <c r="J101" s="114"/>
      <c r="K101" s="114"/>
      <c r="L101" s="254"/>
      <c r="M101" s="113"/>
      <c r="N101" s="114"/>
      <c r="O101" s="114"/>
      <c r="P101" s="114"/>
      <c r="Q101" s="254"/>
      <c r="R101" s="331">
        <f t="shared" si="4"/>
        <v>7</v>
      </c>
      <c r="S101" s="332" t="str">
        <f t="shared" si="5"/>
        <v>Andra Putra Wahyu Baskara</v>
      </c>
      <c r="T101" s="243" t="s">
        <v>63</v>
      </c>
      <c r="U101" s="114"/>
      <c r="V101" s="114"/>
      <c r="W101" s="114"/>
      <c r="X101" s="238"/>
      <c r="Y101" s="114"/>
      <c r="Z101" s="114"/>
      <c r="AA101" s="114"/>
      <c r="AB101" s="114"/>
      <c r="AC101" s="254"/>
      <c r="AD101" s="243"/>
      <c r="AE101" s="114"/>
      <c r="AF101" s="114"/>
      <c r="AG101" s="114"/>
      <c r="AH101" s="254"/>
    </row>
    <row r="102" spans="1:34" x14ac:dyDescent="0.25">
      <c r="A102" s="21">
        <v>8</v>
      </c>
      <c r="B102" s="133" t="str">
        <f>DATA!F18</f>
        <v>Ardhan Restu Pratama</v>
      </c>
      <c r="C102" s="113" t="s">
        <v>63</v>
      </c>
      <c r="D102" s="114"/>
      <c r="E102" s="114"/>
      <c r="F102" s="114"/>
      <c r="G102" s="254"/>
      <c r="H102" s="113"/>
      <c r="I102" s="114"/>
      <c r="J102" s="114"/>
      <c r="K102" s="114"/>
      <c r="L102" s="254"/>
      <c r="M102" s="113"/>
      <c r="N102" s="114"/>
      <c r="O102" s="114"/>
      <c r="P102" s="114"/>
      <c r="Q102" s="254"/>
      <c r="R102" s="331">
        <f t="shared" si="4"/>
        <v>8</v>
      </c>
      <c r="S102" s="332" t="str">
        <f t="shared" si="5"/>
        <v>Ardhan Restu Pratama</v>
      </c>
      <c r="T102" s="243" t="s">
        <v>63</v>
      </c>
      <c r="U102" s="114"/>
      <c r="V102" s="114"/>
      <c r="W102" s="114"/>
      <c r="X102" s="238"/>
      <c r="Y102" s="114"/>
      <c r="Z102" s="114"/>
      <c r="AA102" s="114"/>
      <c r="AB102" s="114"/>
      <c r="AC102" s="254"/>
      <c r="AD102" s="243"/>
      <c r="AE102" s="114"/>
      <c r="AF102" s="114"/>
      <c r="AG102" s="114"/>
      <c r="AH102" s="254"/>
    </row>
    <row r="103" spans="1:34" x14ac:dyDescent="0.25">
      <c r="A103" s="21">
        <v>9</v>
      </c>
      <c r="B103" s="133" t="str">
        <f>DATA!F19</f>
        <v>Ardi Setyo Nugroho</v>
      </c>
      <c r="C103" s="113" t="s">
        <v>63</v>
      </c>
      <c r="D103" s="114"/>
      <c r="E103" s="114"/>
      <c r="F103" s="114"/>
      <c r="G103" s="254"/>
      <c r="H103" s="113"/>
      <c r="I103" s="114"/>
      <c r="J103" s="114"/>
      <c r="K103" s="114"/>
      <c r="L103" s="254"/>
      <c r="M103" s="113"/>
      <c r="N103" s="114"/>
      <c r="O103" s="114"/>
      <c r="P103" s="114"/>
      <c r="Q103" s="254"/>
      <c r="R103" s="331">
        <f t="shared" si="4"/>
        <v>9</v>
      </c>
      <c r="S103" s="332" t="str">
        <f t="shared" si="5"/>
        <v>Ardi Setyo Nugroho</v>
      </c>
      <c r="T103" s="243" t="s">
        <v>63</v>
      </c>
      <c r="U103" s="114"/>
      <c r="V103" s="114"/>
      <c r="W103" s="114"/>
      <c r="X103" s="238"/>
      <c r="Y103" s="114"/>
      <c r="Z103" s="114"/>
      <c r="AA103" s="114"/>
      <c r="AB103" s="114"/>
      <c r="AC103" s="254"/>
      <c r="AD103" s="243"/>
      <c r="AE103" s="114"/>
      <c r="AF103" s="114"/>
      <c r="AG103" s="114"/>
      <c r="AH103" s="254"/>
    </row>
    <row r="104" spans="1:34" x14ac:dyDescent="0.25">
      <c r="A104" s="21">
        <v>10</v>
      </c>
      <c r="B104" s="133" t="str">
        <f>DATA!F20</f>
        <v>Az Zahra Aulia Rahma</v>
      </c>
      <c r="C104" s="113" t="s">
        <v>63</v>
      </c>
      <c r="D104" s="114"/>
      <c r="E104" s="114"/>
      <c r="F104" s="114"/>
      <c r="G104" s="254"/>
      <c r="H104" s="113"/>
      <c r="I104" s="114"/>
      <c r="J104" s="114"/>
      <c r="K104" s="114"/>
      <c r="L104" s="254"/>
      <c r="M104" s="113"/>
      <c r="N104" s="114"/>
      <c r="O104" s="114"/>
      <c r="P104" s="114"/>
      <c r="Q104" s="254"/>
      <c r="R104" s="331">
        <f t="shared" si="4"/>
        <v>10</v>
      </c>
      <c r="S104" s="332" t="str">
        <f t="shared" si="5"/>
        <v>Az Zahra Aulia Rahma</v>
      </c>
      <c r="T104" s="243" t="s">
        <v>63</v>
      </c>
      <c r="U104" s="114"/>
      <c r="V104" s="114"/>
      <c r="W104" s="114"/>
      <c r="X104" s="238"/>
      <c r="Y104" s="114"/>
      <c r="Z104" s="114"/>
      <c r="AA104" s="114"/>
      <c r="AB104" s="114"/>
      <c r="AC104" s="254"/>
      <c r="AD104" s="243"/>
      <c r="AE104" s="114"/>
      <c r="AF104" s="114"/>
      <c r="AG104" s="114"/>
      <c r="AH104" s="254"/>
    </row>
    <row r="105" spans="1:34" x14ac:dyDescent="0.25">
      <c r="A105" s="21">
        <v>11</v>
      </c>
      <c r="B105" s="133" t="str">
        <f>DATA!F11</f>
        <v>Albeth Christian F.</v>
      </c>
      <c r="C105" s="113" t="s">
        <v>63</v>
      </c>
      <c r="D105" s="114"/>
      <c r="E105" s="114"/>
      <c r="F105" s="114"/>
      <c r="G105" s="254"/>
      <c r="H105" s="113"/>
      <c r="I105" s="114"/>
      <c r="J105" s="114"/>
      <c r="K105" s="114"/>
      <c r="L105" s="254"/>
      <c r="M105" s="113"/>
      <c r="N105" s="114"/>
      <c r="O105" s="114"/>
      <c r="P105" s="114"/>
      <c r="Q105" s="254"/>
      <c r="R105" s="331">
        <f t="shared" si="4"/>
        <v>11</v>
      </c>
      <c r="S105" s="332" t="str">
        <f t="shared" si="5"/>
        <v>Albeth Christian F.</v>
      </c>
      <c r="T105" s="243" t="s">
        <v>63</v>
      </c>
      <c r="U105" s="114"/>
      <c r="V105" s="114"/>
      <c r="W105" s="114"/>
      <c r="X105" s="238"/>
      <c r="Y105" s="114"/>
      <c r="Z105" s="114"/>
      <c r="AA105" s="114"/>
      <c r="AB105" s="114"/>
      <c r="AC105" s="254"/>
      <c r="AD105" s="243"/>
      <c r="AE105" s="114"/>
      <c r="AF105" s="114"/>
      <c r="AG105" s="114"/>
      <c r="AH105" s="254"/>
    </row>
    <row r="106" spans="1:34" x14ac:dyDescent="0.25">
      <c r="A106" s="21">
        <v>12</v>
      </c>
      <c r="B106" s="133" t="str">
        <f>DATA!F21</f>
        <v>Desti Dwi Wahyuni</v>
      </c>
      <c r="C106" s="113" t="s">
        <v>63</v>
      </c>
      <c r="D106" s="114"/>
      <c r="E106" s="114"/>
      <c r="F106" s="114"/>
      <c r="G106" s="254"/>
      <c r="H106" s="113"/>
      <c r="I106" s="114"/>
      <c r="J106" s="114"/>
      <c r="K106" s="114"/>
      <c r="L106" s="254"/>
      <c r="M106" s="113"/>
      <c r="N106" s="114"/>
      <c r="O106" s="114"/>
      <c r="P106" s="114"/>
      <c r="Q106" s="254"/>
      <c r="R106" s="331">
        <f t="shared" si="4"/>
        <v>12</v>
      </c>
      <c r="S106" s="332" t="str">
        <f t="shared" si="5"/>
        <v>Desti Dwi Wahyuni</v>
      </c>
      <c r="T106" s="243" t="s">
        <v>63</v>
      </c>
      <c r="U106" s="114"/>
      <c r="V106" s="114"/>
      <c r="W106" s="114"/>
      <c r="X106" s="238"/>
      <c r="Y106" s="114"/>
      <c r="Z106" s="114"/>
      <c r="AA106" s="114"/>
      <c r="AB106" s="114"/>
      <c r="AC106" s="254"/>
      <c r="AD106" s="243"/>
      <c r="AE106" s="114"/>
      <c r="AF106" s="114"/>
      <c r="AG106" s="114"/>
      <c r="AH106" s="254"/>
    </row>
    <row r="107" spans="1:34" x14ac:dyDescent="0.25">
      <c r="A107" s="21">
        <v>13</v>
      </c>
      <c r="B107" s="133" t="str">
        <f>DATA!F22</f>
        <v>Dominikus Febri Andrean</v>
      </c>
      <c r="C107" s="113" t="s">
        <v>63</v>
      </c>
      <c r="D107" s="114"/>
      <c r="E107" s="114"/>
      <c r="F107" s="114"/>
      <c r="G107" s="254"/>
      <c r="H107" s="113"/>
      <c r="I107" s="114"/>
      <c r="J107" s="114"/>
      <c r="K107" s="114"/>
      <c r="L107" s="254"/>
      <c r="M107" s="113"/>
      <c r="N107" s="114"/>
      <c r="O107" s="114"/>
      <c r="P107" s="114"/>
      <c r="Q107" s="254"/>
      <c r="R107" s="331">
        <f t="shared" si="4"/>
        <v>13</v>
      </c>
      <c r="S107" s="332" t="str">
        <f t="shared" si="5"/>
        <v>Dominikus Febri Andrean</v>
      </c>
      <c r="T107" s="243" t="s">
        <v>63</v>
      </c>
      <c r="U107" s="114"/>
      <c r="V107" s="114"/>
      <c r="W107" s="114"/>
      <c r="X107" s="238"/>
      <c r="Y107" s="114"/>
      <c r="Z107" s="114"/>
      <c r="AA107" s="114"/>
      <c r="AB107" s="114"/>
      <c r="AC107" s="254"/>
      <c r="AD107" s="243"/>
      <c r="AE107" s="114"/>
      <c r="AF107" s="114"/>
      <c r="AG107" s="114"/>
      <c r="AH107" s="254"/>
    </row>
    <row r="108" spans="1:34" x14ac:dyDescent="0.25">
      <c r="A108" s="21">
        <v>14</v>
      </c>
      <c r="B108" s="133" t="str">
        <f>DATA!F23</f>
        <v>Evan Lingga Kurnia Zaen</v>
      </c>
      <c r="C108" s="113" t="s">
        <v>63</v>
      </c>
      <c r="D108" s="114"/>
      <c r="E108" s="114"/>
      <c r="F108" s="114"/>
      <c r="G108" s="254"/>
      <c r="H108" s="113"/>
      <c r="I108" s="114"/>
      <c r="J108" s="114"/>
      <c r="K108" s="114"/>
      <c r="L108" s="254"/>
      <c r="M108" s="113"/>
      <c r="N108" s="114"/>
      <c r="O108" s="114"/>
      <c r="P108" s="114"/>
      <c r="Q108" s="254"/>
      <c r="R108" s="331">
        <f t="shared" si="4"/>
        <v>14</v>
      </c>
      <c r="S108" s="332" t="str">
        <f t="shared" si="5"/>
        <v>Evan Lingga Kurnia Zaen</v>
      </c>
      <c r="T108" s="243" t="s">
        <v>63</v>
      </c>
      <c r="U108" s="114"/>
      <c r="V108" s="114"/>
      <c r="W108" s="114"/>
      <c r="X108" s="238"/>
      <c r="Y108" s="114"/>
      <c r="Z108" s="114"/>
      <c r="AA108" s="114"/>
      <c r="AB108" s="114"/>
      <c r="AC108" s="254"/>
      <c r="AD108" s="243"/>
      <c r="AE108" s="114"/>
      <c r="AF108" s="114"/>
      <c r="AG108" s="114"/>
      <c r="AH108" s="254"/>
    </row>
    <row r="109" spans="1:34" x14ac:dyDescent="0.25">
      <c r="A109" s="21">
        <v>15</v>
      </c>
      <c r="B109" s="133" t="str">
        <f>DATA!F24</f>
        <v>Fathan Syahrul Anan</v>
      </c>
      <c r="C109" s="113" t="s">
        <v>63</v>
      </c>
      <c r="D109" s="114"/>
      <c r="E109" s="114"/>
      <c r="F109" s="114"/>
      <c r="G109" s="254"/>
      <c r="H109" s="113"/>
      <c r="I109" s="114"/>
      <c r="J109" s="114"/>
      <c r="K109" s="114"/>
      <c r="L109" s="254"/>
      <c r="M109" s="113"/>
      <c r="N109" s="114"/>
      <c r="O109" s="114"/>
      <c r="P109" s="114"/>
      <c r="Q109" s="254"/>
      <c r="R109" s="331">
        <f t="shared" si="4"/>
        <v>15</v>
      </c>
      <c r="S109" s="332" t="str">
        <f t="shared" si="5"/>
        <v>Fathan Syahrul Anan</v>
      </c>
      <c r="T109" s="243" t="s">
        <v>63</v>
      </c>
      <c r="U109" s="114"/>
      <c r="V109" s="114"/>
      <c r="W109" s="114"/>
      <c r="X109" s="238"/>
      <c r="Y109" s="114"/>
      <c r="Z109" s="114"/>
      <c r="AA109" s="114"/>
      <c r="AB109" s="114"/>
      <c r="AC109" s="254"/>
      <c r="AD109" s="243"/>
      <c r="AE109" s="114"/>
      <c r="AF109" s="114"/>
      <c r="AG109" s="114"/>
      <c r="AH109" s="254"/>
    </row>
    <row r="110" spans="1:34" x14ac:dyDescent="0.25">
      <c r="A110" s="21">
        <v>16</v>
      </c>
      <c r="B110" s="133" t="str">
        <f>DATA!F25</f>
        <v>Fina Uzlifatil Jannah</v>
      </c>
      <c r="C110" s="113" t="s">
        <v>63</v>
      </c>
      <c r="D110" s="114"/>
      <c r="E110" s="114"/>
      <c r="F110" s="114"/>
      <c r="G110" s="254"/>
      <c r="H110" s="113"/>
      <c r="I110" s="114"/>
      <c r="J110" s="114"/>
      <c r="K110" s="114"/>
      <c r="L110" s="254"/>
      <c r="M110" s="113"/>
      <c r="N110" s="114"/>
      <c r="O110" s="114"/>
      <c r="P110" s="114"/>
      <c r="Q110" s="254"/>
      <c r="R110" s="331">
        <f t="shared" si="4"/>
        <v>16</v>
      </c>
      <c r="S110" s="332" t="str">
        <f t="shared" si="5"/>
        <v>Fina Uzlifatil Jannah</v>
      </c>
      <c r="T110" s="243" t="s">
        <v>63</v>
      </c>
      <c r="U110" s="114"/>
      <c r="V110" s="114"/>
      <c r="W110" s="114"/>
      <c r="X110" s="238"/>
      <c r="Y110" s="114"/>
      <c r="Z110" s="114"/>
      <c r="AA110" s="114"/>
      <c r="AB110" s="114"/>
      <c r="AC110" s="254"/>
      <c r="AD110" s="243"/>
      <c r="AE110" s="114"/>
      <c r="AF110" s="114"/>
      <c r="AG110" s="114"/>
      <c r="AH110" s="254"/>
    </row>
    <row r="111" spans="1:34" x14ac:dyDescent="0.25">
      <c r="A111" s="21">
        <v>17</v>
      </c>
      <c r="B111" s="133" t="str">
        <f>DATA!F26</f>
        <v>Hafidz Nugeroho</v>
      </c>
      <c r="C111" s="113" t="s">
        <v>63</v>
      </c>
      <c r="D111" s="114"/>
      <c r="E111" s="114"/>
      <c r="F111" s="114"/>
      <c r="G111" s="254"/>
      <c r="H111" s="113"/>
      <c r="I111" s="114"/>
      <c r="J111" s="114"/>
      <c r="K111" s="114"/>
      <c r="L111" s="254"/>
      <c r="M111" s="113"/>
      <c r="N111" s="114"/>
      <c r="O111" s="114"/>
      <c r="P111" s="114"/>
      <c r="Q111" s="254"/>
      <c r="R111" s="331">
        <f t="shared" si="4"/>
        <v>17</v>
      </c>
      <c r="S111" s="332" t="str">
        <f t="shared" si="5"/>
        <v>Hafidz Nugeroho</v>
      </c>
      <c r="T111" s="243" t="s">
        <v>63</v>
      </c>
      <c r="U111" s="114"/>
      <c r="V111" s="114"/>
      <c r="W111" s="114"/>
      <c r="X111" s="238"/>
      <c r="Y111" s="114"/>
      <c r="Z111" s="114"/>
      <c r="AA111" s="114"/>
      <c r="AB111" s="114"/>
      <c r="AC111" s="254"/>
      <c r="AD111" s="243"/>
      <c r="AE111" s="114"/>
      <c r="AF111" s="114"/>
      <c r="AG111" s="114"/>
      <c r="AH111" s="254"/>
    </row>
    <row r="112" spans="1:34" x14ac:dyDescent="0.25">
      <c r="A112" s="21">
        <v>18</v>
      </c>
      <c r="B112" s="133" t="str">
        <f>DATA!F27</f>
        <v>Kevin Sahasika Abyan Abiyyi</v>
      </c>
      <c r="C112" s="113" t="s">
        <v>63</v>
      </c>
      <c r="D112" s="114"/>
      <c r="E112" s="114"/>
      <c r="F112" s="114"/>
      <c r="G112" s="254"/>
      <c r="H112" s="113"/>
      <c r="I112" s="114"/>
      <c r="J112" s="114"/>
      <c r="K112" s="114"/>
      <c r="L112" s="254"/>
      <c r="M112" s="113"/>
      <c r="N112" s="114"/>
      <c r="O112" s="114"/>
      <c r="P112" s="114"/>
      <c r="Q112" s="254"/>
      <c r="R112" s="331">
        <f t="shared" si="4"/>
        <v>18</v>
      </c>
      <c r="S112" s="332" t="str">
        <f t="shared" si="5"/>
        <v>Kevin Sahasika Abyan Abiyyi</v>
      </c>
      <c r="T112" s="243" t="s">
        <v>63</v>
      </c>
      <c r="U112" s="114"/>
      <c r="V112" s="114"/>
      <c r="W112" s="114"/>
      <c r="X112" s="238"/>
      <c r="Y112" s="114"/>
      <c r="Z112" s="114"/>
      <c r="AA112" s="114"/>
      <c r="AB112" s="114"/>
      <c r="AC112" s="254"/>
      <c r="AD112" s="243"/>
      <c r="AE112" s="114"/>
      <c r="AF112" s="114"/>
      <c r="AG112" s="114"/>
      <c r="AH112" s="254"/>
    </row>
    <row r="113" spans="1:34" x14ac:dyDescent="0.25">
      <c r="A113" s="21">
        <v>19</v>
      </c>
      <c r="B113" s="133" t="str">
        <f>DATA!F28</f>
        <v>Laeni Shohibatul Maghfiroh</v>
      </c>
      <c r="C113" s="113" t="s">
        <v>63</v>
      </c>
      <c r="D113" s="114"/>
      <c r="E113" s="114"/>
      <c r="F113" s="114"/>
      <c r="G113" s="254"/>
      <c r="H113" s="113"/>
      <c r="I113" s="114"/>
      <c r="J113" s="114"/>
      <c r="K113" s="114"/>
      <c r="L113" s="254"/>
      <c r="M113" s="113"/>
      <c r="N113" s="114"/>
      <c r="O113" s="114"/>
      <c r="P113" s="114"/>
      <c r="Q113" s="254"/>
      <c r="R113" s="331">
        <f t="shared" si="4"/>
        <v>19</v>
      </c>
      <c r="S113" s="332" t="str">
        <f t="shared" si="5"/>
        <v>Laeni Shohibatul Maghfiroh</v>
      </c>
      <c r="T113" s="243" t="s">
        <v>63</v>
      </c>
      <c r="U113" s="114"/>
      <c r="V113" s="114"/>
      <c r="W113" s="114"/>
      <c r="X113" s="238"/>
      <c r="Y113" s="114"/>
      <c r="Z113" s="114"/>
      <c r="AA113" s="114"/>
      <c r="AB113" s="114"/>
      <c r="AC113" s="254"/>
      <c r="AD113" s="243"/>
      <c r="AE113" s="114"/>
      <c r="AF113" s="114"/>
      <c r="AG113" s="114"/>
      <c r="AH113" s="254"/>
    </row>
    <row r="114" spans="1:34" x14ac:dyDescent="0.25">
      <c r="A114" s="21">
        <v>20</v>
      </c>
      <c r="B114" s="133" t="str">
        <f>DATA!F29</f>
        <v>Maelani Mulya Sari</v>
      </c>
      <c r="C114" s="113" t="s">
        <v>63</v>
      </c>
      <c r="D114" s="114"/>
      <c r="E114" s="114"/>
      <c r="F114" s="114"/>
      <c r="G114" s="254"/>
      <c r="H114" s="113"/>
      <c r="I114" s="114"/>
      <c r="J114" s="114"/>
      <c r="K114" s="114"/>
      <c r="L114" s="254"/>
      <c r="M114" s="113"/>
      <c r="N114" s="114"/>
      <c r="O114" s="114"/>
      <c r="P114" s="114"/>
      <c r="Q114" s="254"/>
      <c r="R114" s="331">
        <f t="shared" si="4"/>
        <v>20</v>
      </c>
      <c r="S114" s="332" t="str">
        <f t="shared" si="5"/>
        <v>Maelani Mulya Sari</v>
      </c>
      <c r="T114" s="243" t="s">
        <v>63</v>
      </c>
      <c r="U114" s="114"/>
      <c r="V114" s="114"/>
      <c r="W114" s="114"/>
      <c r="X114" s="238"/>
      <c r="Y114" s="114"/>
      <c r="Z114" s="114"/>
      <c r="AA114" s="114"/>
      <c r="AB114" s="114"/>
      <c r="AC114" s="254"/>
      <c r="AD114" s="243"/>
      <c r="AE114" s="114"/>
      <c r="AF114" s="114"/>
      <c r="AG114" s="114"/>
      <c r="AH114" s="254"/>
    </row>
    <row r="115" spans="1:34" x14ac:dyDescent="0.25">
      <c r="A115" s="21">
        <v>21</v>
      </c>
      <c r="B115" s="133" t="str">
        <f>DATA!F30</f>
        <v>Mafasa Agung Dwi Putranti</v>
      </c>
      <c r="C115" s="113" t="s">
        <v>63</v>
      </c>
      <c r="D115" s="114"/>
      <c r="E115" s="114"/>
      <c r="F115" s="114"/>
      <c r="G115" s="254"/>
      <c r="H115" s="113"/>
      <c r="I115" s="114"/>
      <c r="J115" s="114"/>
      <c r="K115" s="114"/>
      <c r="L115" s="254"/>
      <c r="M115" s="113"/>
      <c r="N115" s="114"/>
      <c r="O115" s="114"/>
      <c r="P115" s="114"/>
      <c r="Q115" s="254"/>
      <c r="R115" s="331">
        <f t="shared" si="4"/>
        <v>21</v>
      </c>
      <c r="S115" s="332" t="str">
        <f t="shared" si="5"/>
        <v>Mafasa Agung Dwi Putranti</v>
      </c>
      <c r="T115" s="243" t="s">
        <v>63</v>
      </c>
      <c r="U115" s="114"/>
      <c r="V115" s="114"/>
      <c r="W115" s="114"/>
      <c r="X115" s="238"/>
      <c r="Y115" s="114"/>
      <c r="Z115" s="114"/>
      <c r="AA115" s="114"/>
      <c r="AB115" s="114"/>
      <c r="AC115" s="254"/>
      <c r="AD115" s="243"/>
      <c r="AE115" s="114"/>
      <c r="AF115" s="114"/>
      <c r="AG115" s="114"/>
      <c r="AH115" s="254"/>
    </row>
    <row r="116" spans="1:34" x14ac:dyDescent="0.25">
      <c r="A116" s="21">
        <v>22</v>
      </c>
      <c r="B116" s="133" t="str">
        <f>DATA!F31</f>
        <v>Marwa Dwi Hafsari</v>
      </c>
      <c r="C116" s="113" t="s">
        <v>63</v>
      </c>
      <c r="D116" s="114"/>
      <c r="E116" s="114"/>
      <c r="F116" s="114"/>
      <c r="G116" s="254"/>
      <c r="H116" s="113"/>
      <c r="I116" s="114"/>
      <c r="J116" s="114"/>
      <c r="K116" s="114"/>
      <c r="L116" s="254"/>
      <c r="M116" s="113"/>
      <c r="N116" s="114"/>
      <c r="O116" s="114"/>
      <c r="P116" s="114"/>
      <c r="Q116" s="254"/>
      <c r="R116" s="331">
        <f t="shared" si="4"/>
        <v>22</v>
      </c>
      <c r="S116" s="332" t="str">
        <f t="shared" si="5"/>
        <v>Marwa Dwi Hafsari</v>
      </c>
      <c r="T116" s="243" t="s">
        <v>63</v>
      </c>
      <c r="U116" s="114"/>
      <c r="V116" s="114"/>
      <c r="W116" s="114"/>
      <c r="X116" s="238"/>
      <c r="Y116" s="114"/>
      <c r="Z116" s="114"/>
      <c r="AA116" s="114"/>
      <c r="AB116" s="114"/>
      <c r="AC116" s="254"/>
      <c r="AD116" s="243"/>
      <c r="AE116" s="114"/>
      <c r="AF116" s="114"/>
      <c r="AG116" s="114"/>
      <c r="AH116" s="254"/>
    </row>
    <row r="117" spans="1:34" x14ac:dyDescent="0.25">
      <c r="A117" s="21">
        <v>23</v>
      </c>
      <c r="B117" s="133" t="str">
        <f>DATA!F32</f>
        <v>Natasya Berly Intania</v>
      </c>
      <c r="C117" s="113" t="s">
        <v>63</v>
      </c>
      <c r="D117" s="114"/>
      <c r="E117" s="114"/>
      <c r="F117" s="114"/>
      <c r="G117" s="254"/>
      <c r="H117" s="113"/>
      <c r="I117" s="114"/>
      <c r="J117" s="114"/>
      <c r="K117" s="114"/>
      <c r="L117" s="254"/>
      <c r="M117" s="113"/>
      <c r="N117" s="114"/>
      <c r="O117" s="114"/>
      <c r="P117" s="114"/>
      <c r="Q117" s="254"/>
      <c r="R117" s="331">
        <f t="shared" si="4"/>
        <v>23</v>
      </c>
      <c r="S117" s="332" t="str">
        <f t="shared" si="5"/>
        <v>Natasya Berly Intania</v>
      </c>
      <c r="T117" s="243" t="s">
        <v>63</v>
      </c>
      <c r="U117" s="114"/>
      <c r="V117" s="114"/>
      <c r="W117" s="114"/>
      <c r="X117" s="238"/>
      <c r="Y117" s="114"/>
      <c r="Z117" s="114"/>
      <c r="AA117" s="114"/>
      <c r="AB117" s="114"/>
      <c r="AC117" s="254"/>
      <c r="AD117" s="243"/>
      <c r="AE117" s="114"/>
      <c r="AF117" s="114"/>
      <c r="AG117" s="114"/>
      <c r="AH117" s="254"/>
    </row>
    <row r="118" spans="1:34" x14ac:dyDescent="0.25">
      <c r="A118" s="21">
        <v>24</v>
      </c>
      <c r="B118" s="133" t="str">
        <f>DATA!F33</f>
        <v>Natasya Gisella Anindya Putri</v>
      </c>
      <c r="C118" s="113" t="s">
        <v>63</v>
      </c>
      <c r="D118" s="114"/>
      <c r="E118" s="114"/>
      <c r="F118" s="114"/>
      <c r="G118" s="254"/>
      <c r="H118" s="113"/>
      <c r="I118" s="114"/>
      <c r="J118" s="114"/>
      <c r="K118" s="114"/>
      <c r="L118" s="254"/>
      <c r="M118" s="113"/>
      <c r="N118" s="114"/>
      <c r="O118" s="114"/>
      <c r="P118" s="114"/>
      <c r="Q118" s="254"/>
      <c r="R118" s="331">
        <f t="shared" si="4"/>
        <v>24</v>
      </c>
      <c r="S118" s="332" t="str">
        <f t="shared" si="5"/>
        <v>Natasya Gisella Anindya Putri</v>
      </c>
      <c r="T118" s="243" t="s">
        <v>63</v>
      </c>
      <c r="U118" s="114"/>
      <c r="V118" s="114"/>
      <c r="W118" s="114"/>
      <c r="X118" s="238"/>
      <c r="Y118" s="114"/>
      <c r="Z118" s="114"/>
      <c r="AA118" s="114"/>
      <c r="AB118" s="114"/>
      <c r="AC118" s="254"/>
      <c r="AD118" s="243"/>
      <c r="AE118" s="114"/>
      <c r="AF118" s="114"/>
      <c r="AG118" s="114"/>
      <c r="AH118" s="254"/>
    </row>
    <row r="119" spans="1:34" x14ac:dyDescent="0.25">
      <c r="A119" s="21">
        <v>25</v>
      </c>
      <c r="B119" s="133" t="str">
        <f>DATA!F34</f>
        <v>Prasetyo Nevan Al Fath</v>
      </c>
      <c r="C119" s="113" t="s">
        <v>63</v>
      </c>
      <c r="D119" s="114"/>
      <c r="E119" s="114"/>
      <c r="F119" s="114"/>
      <c r="G119" s="254"/>
      <c r="H119" s="113"/>
      <c r="I119" s="114"/>
      <c r="J119" s="114"/>
      <c r="K119" s="114"/>
      <c r="L119" s="254"/>
      <c r="M119" s="113"/>
      <c r="N119" s="114"/>
      <c r="O119" s="114"/>
      <c r="P119" s="114"/>
      <c r="Q119" s="254"/>
      <c r="R119" s="331">
        <f t="shared" si="4"/>
        <v>25</v>
      </c>
      <c r="S119" s="332" t="str">
        <f t="shared" si="5"/>
        <v>Prasetyo Nevan Al Fath</v>
      </c>
      <c r="T119" s="243" t="s">
        <v>63</v>
      </c>
      <c r="U119" s="114"/>
      <c r="V119" s="114"/>
      <c r="W119" s="114"/>
      <c r="X119" s="238"/>
      <c r="Y119" s="114"/>
      <c r="Z119" s="114"/>
      <c r="AA119" s="114"/>
      <c r="AB119" s="114"/>
      <c r="AC119" s="254"/>
      <c r="AD119" s="243"/>
      <c r="AE119" s="114"/>
      <c r="AF119" s="114"/>
      <c r="AG119" s="114"/>
      <c r="AH119" s="254"/>
    </row>
    <row r="120" spans="1:34" x14ac:dyDescent="0.25">
      <c r="A120" s="21">
        <v>26</v>
      </c>
      <c r="B120" s="133" t="str">
        <f>DATA!F35</f>
        <v>Putri Cikara Dewi</v>
      </c>
      <c r="C120" s="113" t="s">
        <v>63</v>
      </c>
      <c r="D120" s="114"/>
      <c r="E120" s="114"/>
      <c r="F120" s="114"/>
      <c r="G120" s="254"/>
      <c r="H120" s="113"/>
      <c r="I120" s="114"/>
      <c r="J120" s="114"/>
      <c r="K120" s="114"/>
      <c r="L120" s="254"/>
      <c r="M120" s="113"/>
      <c r="N120" s="114"/>
      <c r="O120" s="114"/>
      <c r="P120" s="114"/>
      <c r="Q120" s="254"/>
      <c r="R120" s="331">
        <f t="shared" si="4"/>
        <v>26</v>
      </c>
      <c r="S120" s="332" t="str">
        <f t="shared" si="5"/>
        <v>Putri Cikara Dewi</v>
      </c>
      <c r="T120" s="243" t="s">
        <v>63</v>
      </c>
      <c r="U120" s="114"/>
      <c r="V120" s="114"/>
      <c r="W120" s="114"/>
      <c r="X120" s="238"/>
      <c r="Y120" s="114"/>
      <c r="Z120" s="114"/>
      <c r="AA120" s="114"/>
      <c r="AB120" s="114"/>
      <c r="AC120" s="254"/>
      <c r="AD120" s="243"/>
      <c r="AE120" s="114"/>
      <c r="AF120" s="114"/>
      <c r="AG120" s="114"/>
      <c r="AH120" s="254"/>
    </row>
    <row r="121" spans="1:34" x14ac:dyDescent="0.25">
      <c r="A121" s="21">
        <v>27</v>
      </c>
      <c r="B121" s="133" t="str">
        <f>DATA!F36</f>
        <v>Radenta Ardina Putra</v>
      </c>
      <c r="C121" s="113" t="s">
        <v>63</v>
      </c>
      <c r="D121" s="114"/>
      <c r="E121" s="114"/>
      <c r="F121" s="114"/>
      <c r="G121" s="254"/>
      <c r="H121" s="113"/>
      <c r="I121" s="114"/>
      <c r="J121" s="114"/>
      <c r="K121" s="114"/>
      <c r="L121" s="254"/>
      <c r="M121" s="113"/>
      <c r="N121" s="114"/>
      <c r="O121" s="114"/>
      <c r="P121" s="114"/>
      <c r="Q121" s="254"/>
      <c r="R121" s="331">
        <f t="shared" si="4"/>
        <v>27</v>
      </c>
      <c r="S121" s="332" t="str">
        <f t="shared" si="5"/>
        <v>Radenta Ardina Putra</v>
      </c>
      <c r="T121" s="243" t="s">
        <v>63</v>
      </c>
      <c r="U121" s="114"/>
      <c r="V121" s="114"/>
      <c r="W121" s="114"/>
      <c r="X121" s="238"/>
      <c r="Y121" s="114"/>
      <c r="Z121" s="114"/>
      <c r="AA121" s="114"/>
      <c r="AB121" s="114"/>
      <c r="AC121" s="254"/>
      <c r="AD121" s="243"/>
      <c r="AE121" s="114"/>
      <c r="AF121" s="114"/>
      <c r="AG121" s="114"/>
      <c r="AH121" s="254"/>
    </row>
    <row r="122" spans="1:34" x14ac:dyDescent="0.25">
      <c r="A122" s="21">
        <v>28</v>
      </c>
      <c r="B122" s="133" t="str">
        <f>DATA!F37</f>
        <v>Raditya Eka Yudhistira</v>
      </c>
      <c r="C122" s="113" t="s">
        <v>63</v>
      </c>
      <c r="D122" s="114"/>
      <c r="E122" s="114"/>
      <c r="F122" s="114"/>
      <c r="G122" s="254"/>
      <c r="H122" s="113"/>
      <c r="I122" s="114"/>
      <c r="J122" s="114"/>
      <c r="K122" s="114"/>
      <c r="L122" s="254"/>
      <c r="M122" s="113"/>
      <c r="N122" s="114"/>
      <c r="O122" s="114"/>
      <c r="P122" s="114"/>
      <c r="Q122" s="254"/>
      <c r="R122" s="331">
        <f t="shared" si="4"/>
        <v>28</v>
      </c>
      <c r="S122" s="332" t="str">
        <f t="shared" si="5"/>
        <v>Raditya Eka Yudhistira</v>
      </c>
      <c r="T122" s="243" t="s">
        <v>63</v>
      </c>
      <c r="U122" s="114"/>
      <c r="V122" s="114"/>
      <c r="W122" s="114"/>
      <c r="X122" s="238"/>
      <c r="Y122" s="114"/>
      <c r="Z122" s="114"/>
      <c r="AA122" s="114"/>
      <c r="AB122" s="114"/>
      <c r="AC122" s="254"/>
      <c r="AD122" s="243"/>
      <c r="AE122" s="114"/>
      <c r="AF122" s="114"/>
      <c r="AG122" s="114"/>
      <c r="AH122" s="254"/>
    </row>
    <row r="123" spans="1:34" x14ac:dyDescent="0.25">
      <c r="A123" s="21">
        <v>29</v>
      </c>
      <c r="B123" s="133" t="str">
        <f>DATA!F38</f>
        <v>Rere Etrischa Zenobia</v>
      </c>
      <c r="C123" s="113" t="s">
        <v>63</v>
      </c>
      <c r="D123" s="114"/>
      <c r="E123" s="114"/>
      <c r="F123" s="114"/>
      <c r="G123" s="254"/>
      <c r="H123" s="113"/>
      <c r="I123" s="114"/>
      <c r="J123" s="114"/>
      <c r="K123" s="114"/>
      <c r="L123" s="254"/>
      <c r="M123" s="113"/>
      <c r="N123" s="114"/>
      <c r="O123" s="114"/>
      <c r="P123" s="114"/>
      <c r="Q123" s="254"/>
      <c r="R123" s="331">
        <f t="shared" si="4"/>
        <v>29</v>
      </c>
      <c r="S123" s="332" t="str">
        <f t="shared" si="5"/>
        <v>Rere Etrischa Zenobia</v>
      </c>
      <c r="T123" s="243" t="s">
        <v>63</v>
      </c>
      <c r="U123" s="114"/>
      <c r="V123" s="114"/>
      <c r="W123" s="114"/>
      <c r="X123" s="238"/>
      <c r="Y123" s="114"/>
      <c r="Z123" s="114"/>
      <c r="AA123" s="114"/>
      <c r="AB123" s="114"/>
      <c r="AC123" s="254"/>
      <c r="AD123" s="243"/>
      <c r="AE123" s="114"/>
      <c r="AF123" s="114"/>
      <c r="AG123" s="114"/>
      <c r="AH123" s="254"/>
    </row>
    <row r="124" spans="1:34" x14ac:dyDescent="0.25">
      <c r="A124" s="21">
        <v>30</v>
      </c>
      <c r="B124" s="133" t="str">
        <f>DATA!F39</f>
        <v>Roxy Lantip Afpriba</v>
      </c>
      <c r="C124" s="113" t="s">
        <v>63</v>
      </c>
      <c r="D124" s="114"/>
      <c r="E124" s="114"/>
      <c r="F124" s="114"/>
      <c r="G124" s="254"/>
      <c r="H124" s="113"/>
      <c r="I124" s="114"/>
      <c r="J124" s="114"/>
      <c r="K124" s="114"/>
      <c r="L124" s="254"/>
      <c r="M124" s="113"/>
      <c r="N124" s="114"/>
      <c r="O124" s="114"/>
      <c r="P124" s="114"/>
      <c r="Q124" s="254"/>
      <c r="R124" s="331">
        <f t="shared" si="4"/>
        <v>30</v>
      </c>
      <c r="S124" s="332" t="str">
        <f t="shared" si="5"/>
        <v>Roxy Lantip Afpriba</v>
      </c>
      <c r="T124" s="243" t="s">
        <v>63</v>
      </c>
      <c r="U124" s="114"/>
      <c r="V124" s="114"/>
      <c r="W124" s="114"/>
      <c r="X124" s="238"/>
      <c r="Y124" s="114"/>
      <c r="Z124" s="114"/>
      <c r="AA124" s="114"/>
      <c r="AB124" s="114"/>
      <c r="AC124" s="254"/>
      <c r="AD124" s="243"/>
      <c r="AE124" s="114"/>
      <c r="AF124" s="114"/>
      <c r="AG124" s="114"/>
      <c r="AH124" s="254"/>
    </row>
    <row r="125" spans="1:34" x14ac:dyDescent="0.25">
      <c r="A125" s="21">
        <v>31</v>
      </c>
      <c r="B125" s="133" t="str">
        <f>DATA!F40</f>
        <v>Syifa Maulida Zahra</v>
      </c>
      <c r="C125" s="113" t="s">
        <v>63</v>
      </c>
      <c r="D125" s="114"/>
      <c r="E125" s="114"/>
      <c r="F125" s="114"/>
      <c r="G125" s="254"/>
      <c r="H125" s="113"/>
      <c r="I125" s="114"/>
      <c r="J125" s="114"/>
      <c r="K125" s="114"/>
      <c r="L125" s="254"/>
      <c r="M125" s="113"/>
      <c r="N125" s="114"/>
      <c r="O125" s="114"/>
      <c r="P125" s="114"/>
      <c r="Q125" s="254"/>
      <c r="R125" s="331">
        <f t="shared" si="4"/>
        <v>31</v>
      </c>
      <c r="S125" s="332" t="str">
        <f t="shared" si="5"/>
        <v>Syifa Maulida Zahra</v>
      </c>
      <c r="T125" s="243" t="s">
        <v>63</v>
      </c>
      <c r="U125" s="114"/>
      <c r="V125" s="114"/>
      <c r="W125" s="114"/>
      <c r="X125" s="238"/>
      <c r="Y125" s="114"/>
      <c r="Z125" s="114"/>
      <c r="AA125" s="114"/>
      <c r="AB125" s="114"/>
      <c r="AC125" s="254"/>
      <c r="AD125" s="243"/>
      <c r="AE125" s="114"/>
      <c r="AF125" s="114"/>
      <c r="AG125" s="114"/>
      <c r="AH125" s="254"/>
    </row>
    <row r="126" spans="1:34" x14ac:dyDescent="0.25">
      <c r="A126" s="21">
        <v>32</v>
      </c>
      <c r="B126" s="133" t="str">
        <f>DATA!F41</f>
        <v>Virna Meisya Amelia</v>
      </c>
      <c r="C126" s="113" t="s">
        <v>63</v>
      </c>
      <c r="D126" s="114"/>
      <c r="E126" s="114"/>
      <c r="F126" s="114"/>
      <c r="G126" s="254"/>
      <c r="H126" s="113"/>
      <c r="I126" s="114"/>
      <c r="J126" s="114"/>
      <c r="K126" s="114"/>
      <c r="L126" s="254"/>
      <c r="M126" s="113"/>
      <c r="N126" s="114"/>
      <c r="O126" s="114"/>
      <c r="P126" s="114"/>
      <c r="Q126" s="254"/>
      <c r="R126" s="331">
        <f t="shared" si="4"/>
        <v>32</v>
      </c>
      <c r="S126" s="332" t="str">
        <f t="shared" si="5"/>
        <v>Virna Meisya Amelia</v>
      </c>
      <c r="T126" s="243" t="s">
        <v>63</v>
      </c>
      <c r="U126" s="114"/>
      <c r="V126" s="114"/>
      <c r="W126" s="114"/>
      <c r="X126" s="238"/>
      <c r="Y126" s="114"/>
      <c r="Z126" s="114"/>
      <c r="AA126" s="114"/>
      <c r="AB126" s="114"/>
      <c r="AC126" s="254"/>
      <c r="AD126" s="243"/>
      <c r="AE126" s="114"/>
      <c r="AF126" s="114"/>
      <c r="AG126" s="114"/>
      <c r="AH126" s="254"/>
    </row>
    <row r="127" spans="1:34" x14ac:dyDescent="0.25">
      <c r="A127" s="21">
        <v>33</v>
      </c>
      <c r="B127" s="133" t="str">
        <f>DATA!F42</f>
        <v>-</v>
      </c>
      <c r="C127" s="113"/>
      <c r="D127" s="114"/>
      <c r="E127" s="114"/>
      <c r="F127" s="114"/>
      <c r="G127" s="254"/>
      <c r="H127" s="113"/>
      <c r="I127" s="114"/>
      <c r="J127" s="114"/>
      <c r="K127" s="114"/>
      <c r="L127" s="254"/>
      <c r="M127" s="113"/>
      <c r="N127" s="114"/>
      <c r="O127" s="114"/>
      <c r="P127" s="114"/>
      <c r="Q127" s="254"/>
      <c r="R127" s="331"/>
      <c r="S127" s="332"/>
      <c r="T127" s="243" t="s">
        <v>63</v>
      </c>
      <c r="U127" s="114"/>
      <c r="V127" s="114"/>
      <c r="W127" s="114"/>
      <c r="X127" s="238"/>
      <c r="Y127" s="114"/>
      <c r="Z127" s="114"/>
      <c r="AA127" s="114"/>
      <c r="AB127" s="114"/>
      <c r="AC127" s="254"/>
      <c r="AD127" s="243"/>
      <c r="AE127" s="114"/>
      <c r="AF127" s="114"/>
      <c r="AG127" s="114"/>
      <c r="AH127" s="254"/>
    </row>
    <row r="128" spans="1:34" x14ac:dyDescent="0.25">
      <c r="A128" s="21">
        <v>34</v>
      </c>
      <c r="B128" s="133"/>
      <c r="C128" s="113"/>
      <c r="D128" s="114"/>
      <c r="E128" s="114"/>
      <c r="F128" s="114"/>
      <c r="G128" s="254"/>
      <c r="H128" s="113"/>
      <c r="I128" s="114"/>
      <c r="J128" s="114"/>
      <c r="K128" s="114"/>
      <c r="L128" s="254"/>
      <c r="M128" s="113"/>
      <c r="N128" s="114"/>
      <c r="O128" s="114"/>
      <c r="P128" s="114"/>
      <c r="Q128" s="254"/>
      <c r="R128" s="331"/>
      <c r="S128" s="332"/>
      <c r="T128" s="243" t="s">
        <v>63</v>
      </c>
      <c r="U128" s="114"/>
      <c r="V128" s="114"/>
      <c r="W128" s="114"/>
      <c r="X128" s="238"/>
      <c r="Y128" s="114"/>
      <c r="Z128" s="114"/>
      <c r="AA128" s="114"/>
      <c r="AB128" s="114"/>
      <c r="AC128" s="254"/>
      <c r="AD128" s="243"/>
      <c r="AE128" s="114"/>
      <c r="AF128" s="114"/>
      <c r="AG128" s="114"/>
      <c r="AH128" s="254"/>
    </row>
    <row r="129" spans="1:34" x14ac:dyDescent="0.25">
      <c r="A129" s="21">
        <v>35</v>
      </c>
      <c r="B129" s="161"/>
      <c r="C129" s="113"/>
      <c r="D129" s="115"/>
      <c r="E129" s="115"/>
      <c r="F129" s="114"/>
      <c r="G129" s="254"/>
      <c r="H129" s="255"/>
      <c r="I129" s="115"/>
      <c r="J129" s="114"/>
      <c r="K129" s="114"/>
      <c r="L129" s="254"/>
      <c r="M129" s="255"/>
      <c r="N129" s="115"/>
      <c r="O129" s="115"/>
      <c r="P129" s="115"/>
      <c r="Q129" s="256"/>
      <c r="R129" s="333"/>
      <c r="S129" s="334"/>
      <c r="T129" s="244" t="s">
        <v>63</v>
      </c>
      <c r="U129" s="115"/>
      <c r="V129" s="115"/>
      <c r="W129" s="115"/>
      <c r="X129" s="239"/>
      <c r="Y129" s="115"/>
      <c r="Z129" s="115"/>
      <c r="AA129" s="115"/>
      <c r="AB129" s="115"/>
      <c r="AC129" s="256"/>
      <c r="AD129" s="244"/>
      <c r="AE129" s="115"/>
      <c r="AF129" s="115"/>
      <c r="AG129" s="115"/>
      <c r="AH129" s="256"/>
    </row>
    <row r="130" spans="1:34" x14ac:dyDescent="0.25">
      <c r="A130" s="116"/>
      <c r="B130" s="116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04"/>
      <c r="Z130" s="504" t="str">
        <f>B91</f>
        <v>9C</v>
      </c>
      <c r="AA130" s="504"/>
      <c r="AB130" s="504"/>
      <c r="AC130" s="104"/>
    </row>
    <row r="131" spans="1:34" x14ac:dyDescent="0.25">
      <c r="A131" s="118"/>
      <c r="B131" s="118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504"/>
      <c r="AA131" s="504"/>
      <c r="AB131" s="504"/>
      <c r="AC131" s="104"/>
    </row>
    <row r="132" spans="1:34" x14ac:dyDescent="0.25">
      <c r="A132" s="118"/>
      <c r="B132" s="118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504"/>
      <c r="AA132" s="504"/>
      <c r="AB132" s="504"/>
      <c r="AC132" s="104"/>
    </row>
    <row r="133" spans="1:34" ht="13" x14ac:dyDescent="0.3">
      <c r="A133" s="478" t="s">
        <v>88</v>
      </c>
      <c r="B133" s="478"/>
      <c r="C133" s="478"/>
      <c r="D133" s="478"/>
      <c r="E133" s="478"/>
      <c r="F133" s="478"/>
      <c r="G133" s="478"/>
      <c r="H133" s="478"/>
      <c r="I133" s="478"/>
      <c r="J133" s="478"/>
      <c r="K133" s="478"/>
      <c r="L133" s="478"/>
      <c r="M133" s="478"/>
      <c r="N133" s="478"/>
      <c r="O133" s="478"/>
      <c r="P133" s="478"/>
      <c r="Q133" s="478"/>
      <c r="R133" s="478"/>
      <c r="S133" s="478"/>
      <c r="T133" s="478"/>
      <c r="U133" s="478"/>
      <c r="V133" s="478"/>
      <c r="W133" s="478"/>
      <c r="X133" s="478"/>
      <c r="Y133" s="478"/>
      <c r="Z133" s="478"/>
      <c r="AA133" s="478"/>
      <c r="AB133" s="478"/>
      <c r="AC133" s="478"/>
      <c r="AD133" s="478"/>
      <c r="AE133" s="478"/>
      <c r="AF133" s="478"/>
      <c r="AG133" s="478"/>
      <c r="AH133" s="478"/>
    </row>
    <row r="134" spans="1:34" ht="13" x14ac:dyDescent="0.3">
      <c r="A134" s="479" t="str">
        <f>A90</f>
        <v xml:space="preserve"> KL IX SMT GASAL TP 2025/2026</v>
      </c>
      <c r="B134" s="479"/>
      <c r="C134" s="479"/>
      <c r="D134" s="479"/>
      <c r="E134" s="479"/>
      <c r="F134" s="479"/>
      <c r="G134" s="479"/>
      <c r="H134" s="479"/>
      <c r="I134" s="479"/>
      <c r="J134" s="479"/>
      <c r="K134" s="479"/>
      <c r="L134" s="479"/>
      <c r="M134" s="479"/>
      <c r="N134" s="479"/>
      <c r="O134" s="479"/>
      <c r="P134" s="479"/>
      <c r="Q134" s="479"/>
      <c r="R134" s="479"/>
      <c r="S134" s="479"/>
      <c r="T134" s="479"/>
      <c r="U134" s="479"/>
      <c r="V134" s="479"/>
      <c r="W134" s="479"/>
      <c r="X134" s="479"/>
      <c r="Y134" s="479"/>
      <c r="Z134" s="479"/>
      <c r="AA134" s="479"/>
      <c r="AB134" s="479"/>
      <c r="AC134" s="479"/>
      <c r="AD134" s="479"/>
      <c r="AE134" s="479"/>
      <c r="AF134" s="479"/>
      <c r="AG134" s="479"/>
      <c r="AH134" s="479"/>
    </row>
    <row r="135" spans="1:34" ht="13" x14ac:dyDescent="0.3">
      <c r="A135" s="108" t="s">
        <v>65</v>
      </c>
      <c r="B135" s="109" t="s">
        <v>93</v>
      </c>
      <c r="C135" s="250" t="s">
        <v>21</v>
      </c>
      <c r="D135" s="106"/>
      <c r="E135" s="251">
        <v>1</v>
      </c>
      <c r="F135" s="106"/>
      <c r="G135" s="107"/>
      <c r="H135" s="250" t="s">
        <v>21</v>
      </c>
      <c r="I135" s="106"/>
      <c r="J135" s="251">
        <v>2</v>
      </c>
      <c r="K135" s="106"/>
      <c r="L135" s="107"/>
      <c r="M135" s="250" t="s">
        <v>21</v>
      </c>
      <c r="N135" s="106"/>
      <c r="O135" s="251">
        <v>3</v>
      </c>
      <c r="P135" s="106"/>
      <c r="Q135" s="107"/>
      <c r="R135" s="327"/>
      <c r="S135" s="328"/>
      <c r="T135" s="506" t="s">
        <v>96</v>
      </c>
      <c r="U135" s="506"/>
      <c r="V135" s="506"/>
      <c r="W135" s="506"/>
      <c r="X135" s="506"/>
      <c r="Y135" s="506"/>
      <c r="Z135" s="506"/>
      <c r="AA135" s="506"/>
      <c r="AB135" s="506"/>
      <c r="AC135" s="507"/>
      <c r="AD135" s="505" t="s">
        <v>89</v>
      </c>
      <c r="AE135" s="506"/>
      <c r="AF135" s="506"/>
      <c r="AG135" s="506"/>
      <c r="AH135" s="507"/>
    </row>
    <row r="136" spans="1:34" x14ac:dyDescent="0.25">
      <c r="A136" s="2"/>
      <c r="B136" s="3" t="s">
        <v>7</v>
      </c>
      <c r="C136" s="32">
        <v>1</v>
      </c>
      <c r="D136" s="33">
        <v>2</v>
      </c>
      <c r="E136" s="33">
        <v>3</v>
      </c>
      <c r="F136" s="33">
        <v>4</v>
      </c>
      <c r="G136" s="34">
        <v>5</v>
      </c>
      <c r="H136" s="32">
        <v>1</v>
      </c>
      <c r="I136" s="33">
        <v>2</v>
      </c>
      <c r="J136" s="33">
        <v>3</v>
      </c>
      <c r="K136" s="33">
        <v>4</v>
      </c>
      <c r="L136" s="34">
        <v>5</v>
      </c>
      <c r="M136" s="32">
        <v>1</v>
      </c>
      <c r="N136" s="33">
        <v>2</v>
      </c>
      <c r="O136" s="33">
        <v>3</v>
      </c>
      <c r="P136" s="33">
        <v>4</v>
      </c>
      <c r="Q136" s="34">
        <v>5</v>
      </c>
      <c r="R136" s="266"/>
      <c r="S136" s="268"/>
      <c r="T136" s="261">
        <v>1</v>
      </c>
      <c r="U136" s="33">
        <v>2</v>
      </c>
      <c r="V136" s="33">
        <v>3</v>
      </c>
      <c r="W136" s="33">
        <v>4</v>
      </c>
      <c r="X136" s="33">
        <v>5</v>
      </c>
      <c r="Y136" s="33">
        <v>6</v>
      </c>
      <c r="Z136" s="33">
        <v>7</v>
      </c>
      <c r="AA136" s="33">
        <v>8</v>
      </c>
      <c r="AB136" s="33">
        <v>9</v>
      </c>
      <c r="AC136" s="34">
        <v>10</v>
      </c>
      <c r="AD136" s="261">
        <v>1</v>
      </c>
      <c r="AE136" s="33">
        <v>2</v>
      </c>
      <c r="AF136" s="33">
        <v>3</v>
      </c>
      <c r="AG136" s="33">
        <v>4</v>
      </c>
      <c r="AH136" s="34">
        <v>5</v>
      </c>
    </row>
    <row r="137" spans="1:34" x14ac:dyDescent="0.25">
      <c r="A137" s="6" t="s">
        <v>0</v>
      </c>
      <c r="B137" s="5" t="s">
        <v>8</v>
      </c>
      <c r="C137" s="55"/>
      <c r="D137" s="56"/>
      <c r="E137" s="56"/>
      <c r="F137" s="56"/>
      <c r="G137" s="57"/>
      <c r="H137" s="55"/>
      <c r="I137" s="56"/>
      <c r="J137" s="56"/>
      <c r="K137" s="56"/>
      <c r="L137" s="57"/>
      <c r="M137" s="55"/>
      <c r="N137" s="56"/>
      <c r="O137" s="56"/>
      <c r="P137" s="56"/>
      <c r="Q137" s="57"/>
      <c r="R137" s="55"/>
      <c r="S137" s="105"/>
      <c r="T137" s="262"/>
      <c r="U137" s="56"/>
      <c r="V137" s="56"/>
      <c r="W137" s="56"/>
      <c r="X137" s="57"/>
      <c r="Y137" s="56"/>
      <c r="Z137" s="56"/>
      <c r="AA137" s="56"/>
      <c r="AB137" s="56"/>
      <c r="AC137" s="105"/>
      <c r="AD137" s="262"/>
      <c r="AE137" s="56"/>
      <c r="AF137" s="56"/>
      <c r="AG137" s="56"/>
      <c r="AH137" s="105"/>
    </row>
    <row r="138" spans="1:34" x14ac:dyDescent="0.25">
      <c r="A138" s="6"/>
      <c r="B138" s="257" t="s">
        <v>2</v>
      </c>
      <c r="C138" s="36"/>
      <c r="D138" s="37"/>
      <c r="E138" s="37"/>
      <c r="F138" s="37"/>
      <c r="G138" s="38"/>
      <c r="H138" s="36"/>
      <c r="I138" s="37"/>
      <c r="J138" s="37"/>
      <c r="K138" s="37"/>
      <c r="L138" s="38"/>
      <c r="M138" s="36"/>
      <c r="N138" s="37"/>
      <c r="O138" s="37"/>
      <c r="P138" s="37"/>
      <c r="Q138" s="38"/>
      <c r="R138" s="267"/>
      <c r="S138" s="269"/>
      <c r="T138" s="263"/>
      <c r="U138" s="37"/>
      <c r="V138" s="37"/>
      <c r="W138" s="37"/>
      <c r="X138" s="252"/>
      <c r="Y138" s="37"/>
      <c r="Z138" s="37"/>
      <c r="AA138" s="37"/>
      <c r="AB138" s="37"/>
      <c r="AC138" s="38"/>
      <c r="AD138" s="263"/>
      <c r="AE138" s="37"/>
      <c r="AF138" s="37"/>
      <c r="AG138" s="37"/>
      <c r="AH138" s="38"/>
    </row>
    <row r="139" spans="1:34" x14ac:dyDescent="0.25">
      <c r="A139" s="20">
        <v>1</v>
      </c>
      <c r="B139" s="130" t="str">
        <f>DATA!H10</f>
        <v>Aditya Wahyu Putra Septiadi</v>
      </c>
      <c r="C139" s="111" t="s">
        <v>63</v>
      </c>
      <c r="D139" s="112"/>
      <c r="E139" s="112"/>
      <c r="F139" s="112"/>
      <c r="G139" s="253"/>
      <c r="H139" s="111"/>
      <c r="I139" s="112"/>
      <c r="J139" s="112"/>
      <c r="K139" s="112"/>
      <c r="L139" s="253"/>
      <c r="M139" s="111"/>
      <c r="N139" s="112"/>
      <c r="O139" s="112"/>
      <c r="P139" s="112"/>
      <c r="Q139" s="253"/>
      <c r="R139" s="329">
        <f>A139</f>
        <v>1</v>
      </c>
      <c r="S139" s="330" t="str">
        <f>B139</f>
        <v>Aditya Wahyu Putra Septiadi</v>
      </c>
      <c r="T139" s="242" t="s">
        <v>63</v>
      </c>
      <c r="U139" s="112"/>
      <c r="V139" s="112"/>
      <c r="W139" s="112"/>
      <c r="X139" s="240"/>
      <c r="Y139" s="112"/>
      <c r="Z139" s="112"/>
      <c r="AA139" s="112"/>
      <c r="AB139" s="112"/>
      <c r="AC139" s="253"/>
      <c r="AD139" s="242"/>
      <c r="AE139" s="112"/>
      <c r="AF139" s="112"/>
      <c r="AG139" s="112"/>
      <c r="AH139" s="253"/>
    </row>
    <row r="140" spans="1:34" x14ac:dyDescent="0.25">
      <c r="A140" s="21">
        <v>2</v>
      </c>
      <c r="B140" s="133" t="str">
        <f>DATA!H11</f>
        <v>Al Fuzu Daya Satria</v>
      </c>
      <c r="C140" s="113" t="s">
        <v>63</v>
      </c>
      <c r="D140" s="114"/>
      <c r="E140" s="114"/>
      <c r="F140" s="114"/>
      <c r="G140" s="254"/>
      <c r="H140" s="113"/>
      <c r="I140" s="114"/>
      <c r="J140" s="114"/>
      <c r="K140" s="114"/>
      <c r="L140" s="254"/>
      <c r="M140" s="113"/>
      <c r="N140" s="114"/>
      <c r="O140" s="114"/>
      <c r="P140" s="114"/>
      <c r="Q140" s="254"/>
      <c r="R140" s="331">
        <f t="shared" ref="R140:R170" si="6">A140</f>
        <v>2</v>
      </c>
      <c r="S140" s="332" t="str">
        <f t="shared" ref="S140:S170" si="7">B140</f>
        <v>Al Fuzu Daya Satria</v>
      </c>
      <c r="T140" s="243" t="s">
        <v>63</v>
      </c>
      <c r="U140" s="114"/>
      <c r="V140" s="114"/>
      <c r="W140" s="114"/>
      <c r="X140" s="238"/>
      <c r="Y140" s="114"/>
      <c r="Z140" s="114"/>
      <c r="AA140" s="114"/>
      <c r="AB140" s="114"/>
      <c r="AC140" s="254"/>
      <c r="AD140" s="243"/>
      <c r="AE140" s="114"/>
      <c r="AF140" s="114"/>
      <c r="AG140" s="114"/>
      <c r="AH140" s="254"/>
    </row>
    <row r="141" spans="1:34" x14ac:dyDescent="0.25">
      <c r="A141" s="21">
        <v>3</v>
      </c>
      <c r="B141" s="193" t="str">
        <f>DATA!H12</f>
        <v>Amanda Kirana Maharani</v>
      </c>
      <c r="C141" s="324" t="s">
        <v>63</v>
      </c>
      <c r="D141" s="241"/>
      <c r="E141" s="241"/>
      <c r="F141" s="241"/>
      <c r="G141" s="325"/>
      <c r="H141" s="324"/>
      <c r="I141" s="241"/>
      <c r="J141" s="241"/>
      <c r="K141" s="241"/>
      <c r="L141" s="325"/>
      <c r="M141" s="324"/>
      <c r="N141" s="241"/>
      <c r="O141" s="241"/>
      <c r="P141" s="241"/>
      <c r="Q141" s="325"/>
      <c r="R141" s="331">
        <f t="shared" si="6"/>
        <v>3</v>
      </c>
      <c r="S141" s="332" t="str">
        <f t="shared" si="7"/>
        <v>Amanda Kirana Maharani</v>
      </c>
      <c r="T141" s="243" t="s">
        <v>63</v>
      </c>
      <c r="U141" s="114"/>
      <c r="V141" s="114"/>
      <c r="W141" s="114"/>
      <c r="X141" s="238"/>
      <c r="Y141" s="114"/>
      <c r="Z141" s="114"/>
      <c r="AA141" s="114"/>
      <c r="AB141" s="114"/>
      <c r="AC141" s="254"/>
      <c r="AD141" s="249"/>
      <c r="AE141" s="241"/>
      <c r="AF141" s="241"/>
      <c r="AG141" s="241"/>
      <c r="AH141" s="325"/>
    </row>
    <row r="142" spans="1:34" x14ac:dyDescent="0.25">
      <c r="A142" s="21">
        <v>4</v>
      </c>
      <c r="B142" s="133" t="str">
        <f>DATA!H13</f>
        <v>Andra Prima Reza</v>
      </c>
      <c r="C142" s="113" t="s">
        <v>63</v>
      </c>
      <c r="D142" s="114"/>
      <c r="E142" s="114"/>
      <c r="F142" s="114"/>
      <c r="G142" s="254"/>
      <c r="H142" s="113"/>
      <c r="I142" s="114"/>
      <c r="J142" s="114"/>
      <c r="K142" s="114"/>
      <c r="L142" s="254"/>
      <c r="M142" s="113"/>
      <c r="N142" s="114"/>
      <c r="O142" s="114"/>
      <c r="P142" s="114"/>
      <c r="Q142" s="254"/>
      <c r="R142" s="331">
        <f t="shared" si="6"/>
        <v>4</v>
      </c>
      <c r="S142" s="332" t="str">
        <f t="shared" si="7"/>
        <v>Andra Prima Reza</v>
      </c>
      <c r="T142" s="243" t="s">
        <v>63</v>
      </c>
      <c r="U142" s="114"/>
      <c r="V142" s="114"/>
      <c r="W142" s="114"/>
      <c r="X142" s="238"/>
      <c r="Y142" s="114"/>
      <c r="Z142" s="114"/>
      <c r="AA142" s="114"/>
      <c r="AB142" s="114"/>
      <c r="AC142" s="254"/>
      <c r="AD142" s="243"/>
      <c r="AE142" s="114"/>
      <c r="AF142" s="114"/>
      <c r="AG142" s="114"/>
      <c r="AH142" s="254"/>
    </row>
    <row r="143" spans="1:34" x14ac:dyDescent="0.25">
      <c r="A143" s="21">
        <v>5</v>
      </c>
      <c r="B143" s="133" t="str">
        <f>DATA!H14</f>
        <v>Ayu Safitri Intan Zahwa</v>
      </c>
      <c r="C143" s="113" t="s">
        <v>63</v>
      </c>
      <c r="D143" s="114"/>
      <c r="E143" s="114"/>
      <c r="F143" s="114"/>
      <c r="G143" s="254"/>
      <c r="H143" s="113"/>
      <c r="I143" s="114"/>
      <c r="J143" s="114"/>
      <c r="K143" s="114"/>
      <c r="L143" s="254"/>
      <c r="M143" s="113"/>
      <c r="N143" s="114"/>
      <c r="O143" s="114"/>
      <c r="P143" s="114"/>
      <c r="Q143" s="254"/>
      <c r="R143" s="331">
        <f t="shared" si="6"/>
        <v>5</v>
      </c>
      <c r="S143" s="332" t="str">
        <f t="shared" si="7"/>
        <v>Ayu Safitri Intan Zahwa</v>
      </c>
      <c r="T143" s="243" t="s">
        <v>63</v>
      </c>
      <c r="U143" s="114"/>
      <c r="V143" s="114"/>
      <c r="W143" s="114"/>
      <c r="X143" s="238"/>
      <c r="Y143" s="114"/>
      <c r="Z143" s="114"/>
      <c r="AA143" s="114"/>
      <c r="AB143" s="114"/>
      <c r="AC143" s="254"/>
      <c r="AD143" s="243"/>
      <c r="AE143" s="114"/>
      <c r="AF143" s="114"/>
      <c r="AG143" s="114"/>
      <c r="AH143" s="254"/>
    </row>
    <row r="144" spans="1:34" x14ac:dyDescent="0.25">
      <c r="A144" s="21">
        <v>6</v>
      </c>
      <c r="B144" s="133" t="str">
        <f>DATA!H15</f>
        <v>Azzahra Quinnsha Setyana</v>
      </c>
      <c r="C144" s="113" t="s">
        <v>63</v>
      </c>
      <c r="D144" s="114"/>
      <c r="E144" s="114"/>
      <c r="F144" s="114"/>
      <c r="G144" s="254"/>
      <c r="H144" s="113"/>
      <c r="I144" s="114"/>
      <c r="J144" s="114"/>
      <c r="K144" s="114"/>
      <c r="L144" s="254"/>
      <c r="M144" s="113"/>
      <c r="N144" s="114"/>
      <c r="O144" s="114"/>
      <c r="P144" s="114"/>
      <c r="Q144" s="254"/>
      <c r="R144" s="331">
        <f t="shared" si="6"/>
        <v>6</v>
      </c>
      <c r="S144" s="332" t="str">
        <f t="shared" si="7"/>
        <v>Azzahra Quinnsha Setyana</v>
      </c>
      <c r="T144" s="243" t="s">
        <v>63</v>
      </c>
      <c r="U144" s="114"/>
      <c r="V144" s="114"/>
      <c r="W144" s="114"/>
      <c r="X144" s="238"/>
      <c r="Y144" s="114"/>
      <c r="Z144" s="114"/>
      <c r="AA144" s="114"/>
      <c r="AB144" s="114"/>
      <c r="AC144" s="254"/>
      <c r="AD144" s="243"/>
      <c r="AE144" s="114"/>
      <c r="AF144" s="114"/>
      <c r="AG144" s="114"/>
      <c r="AH144" s="254"/>
    </row>
    <row r="145" spans="1:34" x14ac:dyDescent="0.25">
      <c r="A145" s="21">
        <v>7</v>
      </c>
      <c r="B145" s="133" t="str">
        <f>DATA!H16</f>
        <v>Bryan Marcanda</v>
      </c>
      <c r="C145" s="113" t="s">
        <v>63</v>
      </c>
      <c r="D145" s="114"/>
      <c r="E145" s="114"/>
      <c r="F145" s="114"/>
      <c r="G145" s="254"/>
      <c r="H145" s="113"/>
      <c r="I145" s="114"/>
      <c r="J145" s="114"/>
      <c r="K145" s="114"/>
      <c r="L145" s="254"/>
      <c r="M145" s="113"/>
      <c r="N145" s="114"/>
      <c r="O145" s="114"/>
      <c r="P145" s="114"/>
      <c r="Q145" s="254"/>
      <c r="R145" s="331">
        <f t="shared" si="6"/>
        <v>7</v>
      </c>
      <c r="S145" s="332" t="str">
        <f t="shared" si="7"/>
        <v>Bryan Marcanda</v>
      </c>
      <c r="T145" s="243" t="s">
        <v>63</v>
      </c>
      <c r="U145" s="114"/>
      <c r="V145" s="114"/>
      <c r="W145" s="114"/>
      <c r="X145" s="238"/>
      <c r="Y145" s="114"/>
      <c r="Z145" s="114"/>
      <c r="AA145" s="114"/>
      <c r="AB145" s="114"/>
      <c r="AC145" s="254"/>
      <c r="AD145" s="243"/>
      <c r="AE145" s="114"/>
      <c r="AF145" s="114"/>
      <c r="AG145" s="114"/>
      <c r="AH145" s="254"/>
    </row>
    <row r="146" spans="1:34" x14ac:dyDescent="0.25">
      <c r="A146" s="21">
        <v>8</v>
      </c>
      <c r="B146" s="133" t="str">
        <f>DATA!H17</f>
        <v>Chelsea Felita Matiune</v>
      </c>
      <c r="C146" s="113" t="s">
        <v>63</v>
      </c>
      <c r="D146" s="114"/>
      <c r="E146" s="114"/>
      <c r="F146" s="114"/>
      <c r="G146" s="254"/>
      <c r="H146" s="113"/>
      <c r="I146" s="114"/>
      <c r="J146" s="114"/>
      <c r="K146" s="114"/>
      <c r="L146" s="254"/>
      <c r="M146" s="113"/>
      <c r="N146" s="114"/>
      <c r="O146" s="114"/>
      <c r="P146" s="114"/>
      <c r="Q146" s="254"/>
      <c r="R146" s="331">
        <f t="shared" si="6"/>
        <v>8</v>
      </c>
      <c r="S146" s="332" t="str">
        <f t="shared" si="7"/>
        <v>Chelsea Felita Matiune</v>
      </c>
      <c r="T146" s="243" t="s">
        <v>63</v>
      </c>
      <c r="U146" s="114"/>
      <c r="V146" s="114"/>
      <c r="W146" s="114"/>
      <c r="X146" s="238"/>
      <c r="Y146" s="114"/>
      <c r="Z146" s="114"/>
      <c r="AA146" s="114"/>
      <c r="AB146" s="114"/>
      <c r="AC146" s="254"/>
      <c r="AD146" s="243"/>
      <c r="AE146" s="114"/>
      <c r="AF146" s="114"/>
      <c r="AG146" s="114"/>
      <c r="AH146" s="254"/>
    </row>
    <row r="147" spans="1:34" x14ac:dyDescent="0.25">
      <c r="A147" s="21">
        <v>9</v>
      </c>
      <c r="B147" s="133" t="str">
        <f>DATA!H18</f>
        <v>Dharma Tegar Sathrya</v>
      </c>
      <c r="C147" s="113" t="s">
        <v>63</v>
      </c>
      <c r="D147" s="114"/>
      <c r="E147" s="114"/>
      <c r="F147" s="114"/>
      <c r="G147" s="254"/>
      <c r="H147" s="113"/>
      <c r="I147" s="114"/>
      <c r="J147" s="114"/>
      <c r="K147" s="114"/>
      <c r="L147" s="254"/>
      <c r="M147" s="113"/>
      <c r="N147" s="114"/>
      <c r="O147" s="114"/>
      <c r="P147" s="114"/>
      <c r="Q147" s="254"/>
      <c r="R147" s="331">
        <f t="shared" si="6"/>
        <v>9</v>
      </c>
      <c r="S147" s="332" t="str">
        <f t="shared" si="7"/>
        <v>Dharma Tegar Sathrya</v>
      </c>
      <c r="T147" s="243" t="s">
        <v>63</v>
      </c>
      <c r="U147" s="114"/>
      <c r="V147" s="114"/>
      <c r="W147" s="114"/>
      <c r="X147" s="238"/>
      <c r="Y147" s="114"/>
      <c r="Z147" s="114"/>
      <c r="AA147" s="114"/>
      <c r="AB147" s="114"/>
      <c r="AC147" s="254"/>
      <c r="AD147" s="243"/>
      <c r="AE147" s="114"/>
      <c r="AF147" s="114"/>
      <c r="AG147" s="114"/>
      <c r="AH147" s="254"/>
    </row>
    <row r="148" spans="1:34" x14ac:dyDescent="0.25">
      <c r="A148" s="21">
        <v>10</v>
      </c>
      <c r="B148" s="133" t="str">
        <f>DATA!H19</f>
        <v>Eza Septian Dinata</v>
      </c>
      <c r="C148" s="113" t="s">
        <v>63</v>
      </c>
      <c r="D148" s="114"/>
      <c r="E148" s="114"/>
      <c r="F148" s="114"/>
      <c r="G148" s="254"/>
      <c r="H148" s="113"/>
      <c r="I148" s="114"/>
      <c r="J148" s="114"/>
      <c r="K148" s="114"/>
      <c r="L148" s="254"/>
      <c r="M148" s="113"/>
      <c r="N148" s="114"/>
      <c r="O148" s="114"/>
      <c r="P148" s="114"/>
      <c r="Q148" s="254"/>
      <c r="R148" s="331">
        <f t="shared" si="6"/>
        <v>10</v>
      </c>
      <c r="S148" s="332" t="str">
        <f t="shared" si="7"/>
        <v>Eza Septian Dinata</v>
      </c>
      <c r="T148" s="243" t="s">
        <v>63</v>
      </c>
      <c r="U148" s="114"/>
      <c r="V148" s="114"/>
      <c r="W148" s="114"/>
      <c r="X148" s="238"/>
      <c r="Y148" s="114"/>
      <c r="Z148" s="114"/>
      <c r="AA148" s="114"/>
      <c r="AB148" s="114"/>
      <c r="AC148" s="254"/>
      <c r="AD148" s="243"/>
      <c r="AE148" s="114"/>
      <c r="AF148" s="114"/>
      <c r="AG148" s="114"/>
      <c r="AH148" s="254"/>
    </row>
    <row r="149" spans="1:34" x14ac:dyDescent="0.25">
      <c r="A149" s="21">
        <v>11</v>
      </c>
      <c r="B149" s="133" t="str">
        <f>DATA!H20</f>
        <v>Hadi Khoirul Anwar</v>
      </c>
      <c r="C149" s="113" t="s">
        <v>63</v>
      </c>
      <c r="D149" s="114"/>
      <c r="E149" s="114"/>
      <c r="F149" s="114"/>
      <c r="G149" s="254"/>
      <c r="H149" s="113"/>
      <c r="I149" s="114"/>
      <c r="J149" s="114"/>
      <c r="K149" s="114"/>
      <c r="L149" s="254"/>
      <c r="M149" s="113"/>
      <c r="N149" s="114"/>
      <c r="O149" s="114"/>
      <c r="P149" s="114"/>
      <c r="Q149" s="254"/>
      <c r="R149" s="331">
        <f t="shared" si="6"/>
        <v>11</v>
      </c>
      <c r="S149" s="332" t="str">
        <f t="shared" si="7"/>
        <v>Hadi Khoirul Anwar</v>
      </c>
      <c r="T149" s="243" t="s">
        <v>63</v>
      </c>
      <c r="U149" s="114"/>
      <c r="V149" s="114"/>
      <c r="W149" s="114"/>
      <c r="X149" s="238"/>
      <c r="Y149" s="114"/>
      <c r="Z149" s="114"/>
      <c r="AA149" s="114"/>
      <c r="AB149" s="114"/>
      <c r="AC149" s="254"/>
      <c r="AD149" s="243"/>
      <c r="AE149" s="114"/>
      <c r="AF149" s="114"/>
      <c r="AG149" s="114"/>
      <c r="AH149" s="254"/>
    </row>
    <row r="150" spans="1:34" x14ac:dyDescent="0.25">
      <c r="A150" s="21">
        <v>12</v>
      </c>
      <c r="B150" s="133" t="str">
        <f>DATA!H21</f>
        <v>Ica Nur Setyo Anugrah</v>
      </c>
      <c r="C150" s="113" t="s">
        <v>63</v>
      </c>
      <c r="D150" s="114"/>
      <c r="E150" s="114"/>
      <c r="F150" s="114"/>
      <c r="G150" s="254"/>
      <c r="H150" s="113"/>
      <c r="I150" s="114"/>
      <c r="J150" s="114"/>
      <c r="K150" s="114"/>
      <c r="L150" s="254"/>
      <c r="M150" s="113"/>
      <c r="N150" s="114"/>
      <c r="O150" s="114"/>
      <c r="P150" s="114"/>
      <c r="Q150" s="254"/>
      <c r="R150" s="331">
        <f t="shared" si="6"/>
        <v>12</v>
      </c>
      <c r="S150" s="332" t="str">
        <f t="shared" si="7"/>
        <v>Ica Nur Setyo Anugrah</v>
      </c>
      <c r="T150" s="243" t="s">
        <v>63</v>
      </c>
      <c r="U150" s="114"/>
      <c r="V150" s="114"/>
      <c r="W150" s="114"/>
      <c r="X150" s="238"/>
      <c r="Y150" s="114"/>
      <c r="Z150" s="114"/>
      <c r="AA150" s="114"/>
      <c r="AB150" s="114"/>
      <c r="AC150" s="254"/>
      <c r="AD150" s="243"/>
      <c r="AE150" s="114"/>
      <c r="AF150" s="114"/>
      <c r="AG150" s="114"/>
      <c r="AH150" s="254"/>
    </row>
    <row r="151" spans="1:34" x14ac:dyDescent="0.25">
      <c r="A151" s="21">
        <v>13</v>
      </c>
      <c r="B151" s="133" t="str">
        <f>DATA!H22</f>
        <v>Jihan Aliya Kamil Alfayari</v>
      </c>
      <c r="C151" s="113" t="s">
        <v>63</v>
      </c>
      <c r="D151" s="114"/>
      <c r="E151" s="114"/>
      <c r="F151" s="114"/>
      <c r="G151" s="254"/>
      <c r="H151" s="113"/>
      <c r="I151" s="114"/>
      <c r="J151" s="114"/>
      <c r="K151" s="114"/>
      <c r="L151" s="254"/>
      <c r="M151" s="113"/>
      <c r="N151" s="114"/>
      <c r="O151" s="114"/>
      <c r="P151" s="114"/>
      <c r="Q151" s="254"/>
      <c r="R151" s="331">
        <f t="shared" si="6"/>
        <v>13</v>
      </c>
      <c r="S151" s="332" t="str">
        <f t="shared" si="7"/>
        <v>Jihan Aliya Kamil Alfayari</v>
      </c>
      <c r="T151" s="243" t="s">
        <v>63</v>
      </c>
      <c r="U151" s="114"/>
      <c r="V151" s="114"/>
      <c r="W151" s="114"/>
      <c r="X151" s="238"/>
      <c r="Y151" s="114"/>
      <c r="Z151" s="114"/>
      <c r="AA151" s="114"/>
      <c r="AB151" s="114"/>
      <c r="AC151" s="254"/>
      <c r="AD151" s="243"/>
      <c r="AE151" s="114"/>
      <c r="AF151" s="114"/>
      <c r="AG151" s="114"/>
      <c r="AH151" s="254"/>
    </row>
    <row r="152" spans="1:34" x14ac:dyDescent="0.25">
      <c r="A152" s="21">
        <v>14</v>
      </c>
      <c r="B152" s="133" t="str">
        <f>DATA!H23</f>
        <v>Keisya Bily Ferlista</v>
      </c>
      <c r="C152" s="113" t="s">
        <v>63</v>
      </c>
      <c r="D152" s="114"/>
      <c r="E152" s="114"/>
      <c r="F152" s="114"/>
      <c r="G152" s="254"/>
      <c r="H152" s="113"/>
      <c r="I152" s="114"/>
      <c r="J152" s="114"/>
      <c r="K152" s="114"/>
      <c r="L152" s="254"/>
      <c r="M152" s="113"/>
      <c r="N152" s="114"/>
      <c r="O152" s="114"/>
      <c r="P152" s="114"/>
      <c r="Q152" s="254"/>
      <c r="R152" s="331">
        <f t="shared" si="6"/>
        <v>14</v>
      </c>
      <c r="S152" s="332" t="str">
        <f t="shared" si="7"/>
        <v>Keisya Bily Ferlista</v>
      </c>
      <c r="T152" s="243" t="s">
        <v>63</v>
      </c>
      <c r="U152" s="114"/>
      <c r="V152" s="114"/>
      <c r="W152" s="114"/>
      <c r="X152" s="238"/>
      <c r="Y152" s="114"/>
      <c r="Z152" s="114"/>
      <c r="AA152" s="114"/>
      <c r="AB152" s="114"/>
      <c r="AC152" s="254"/>
      <c r="AD152" s="243"/>
      <c r="AE152" s="114"/>
      <c r="AF152" s="114"/>
      <c r="AG152" s="114"/>
      <c r="AH152" s="254"/>
    </row>
    <row r="153" spans="1:34" x14ac:dyDescent="0.25">
      <c r="A153" s="21">
        <v>15</v>
      </c>
      <c r="B153" s="133" t="str">
        <f>DATA!H24</f>
        <v>Muhammad Rafi Ma'Arif</v>
      </c>
      <c r="C153" s="113" t="s">
        <v>63</v>
      </c>
      <c r="D153" s="114"/>
      <c r="E153" s="114"/>
      <c r="F153" s="114"/>
      <c r="G153" s="254"/>
      <c r="H153" s="113"/>
      <c r="I153" s="114"/>
      <c r="J153" s="114"/>
      <c r="K153" s="114"/>
      <c r="L153" s="254"/>
      <c r="M153" s="113"/>
      <c r="N153" s="114"/>
      <c r="O153" s="114"/>
      <c r="P153" s="114"/>
      <c r="Q153" s="254"/>
      <c r="R153" s="331">
        <f t="shared" si="6"/>
        <v>15</v>
      </c>
      <c r="S153" s="332" t="str">
        <f t="shared" si="7"/>
        <v>Muhammad Rafi Ma'Arif</v>
      </c>
      <c r="T153" s="243" t="s">
        <v>63</v>
      </c>
      <c r="U153" s="114"/>
      <c r="V153" s="114"/>
      <c r="W153" s="114"/>
      <c r="X153" s="238"/>
      <c r="Y153" s="114"/>
      <c r="Z153" s="114"/>
      <c r="AA153" s="114"/>
      <c r="AB153" s="114"/>
      <c r="AC153" s="254"/>
      <c r="AD153" s="243"/>
      <c r="AE153" s="114"/>
      <c r="AF153" s="114"/>
      <c r="AG153" s="114"/>
      <c r="AH153" s="254"/>
    </row>
    <row r="154" spans="1:34" x14ac:dyDescent="0.25">
      <c r="A154" s="21">
        <v>16</v>
      </c>
      <c r="B154" s="133" t="str">
        <f>DATA!H25</f>
        <v>Nafis Aufan Ahsanulkarim</v>
      </c>
      <c r="C154" s="113" t="s">
        <v>63</v>
      </c>
      <c r="D154" s="114"/>
      <c r="E154" s="114"/>
      <c r="F154" s="114"/>
      <c r="G154" s="254"/>
      <c r="H154" s="113"/>
      <c r="I154" s="114"/>
      <c r="J154" s="114"/>
      <c r="K154" s="114"/>
      <c r="L154" s="254"/>
      <c r="M154" s="113"/>
      <c r="N154" s="114"/>
      <c r="O154" s="114"/>
      <c r="P154" s="114"/>
      <c r="Q154" s="254"/>
      <c r="R154" s="331">
        <f t="shared" si="6"/>
        <v>16</v>
      </c>
      <c r="S154" s="332" t="str">
        <f t="shared" si="7"/>
        <v>Nafis Aufan Ahsanulkarim</v>
      </c>
      <c r="T154" s="243" t="s">
        <v>63</v>
      </c>
      <c r="U154" s="114"/>
      <c r="V154" s="114"/>
      <c r="W154" s="114"/>
      <c r="X154" s="238"/>
      <c r="Y154" s="114"/>
      <c r="Z154" s="114"/>
      <c r="AA154" s="114"/>
      <c r="AB154" s="114"/>
      <c r="AC154" s="254"/>
      <c r="AD154" s="243"/>
      <c r="AE154" s="114"/>
      <c r="AF154" s="114"/>
      <c r="AG154" s="114"/>
      <c r="AH154" s="254"/>
    </row>
    <row r="155" spans="1:34" x14ac:dyDescent="0.25">
      <c r="A155" s="21">
        <v>17</v>
      </c>
      <c r="B155" s="133" t="str">
        <f>DATA!H26</f>
        <v>Nayla Azalia Lathifah</v>
      </c>
      <c r="C155" s="113" t="s">
        <v>63</v>
      </c>
      <c r="D155" s="114"/>
      <c r="E155" s="114"/>
      <c r="F155" s="114"/>
      <c r="G155" s="254"/>
      <c r="H155" s="113"/>
      <c r="I155" s="114"/>
      <c r="J155" s="114"/>
      <c r="K155" s="114"/>
      <c r="L155" s="254"/>
      <c r="M155" s="113"/>
      <c r="N155" s="114"/>
      <c r="O155" s="114"/>
      <c r="P155" s="114"/>
      <c r="Q155" s="254"/>
      <c r="R155" s="331">
        <f t="shared" si="6"/>
        <v>17</v>
      </c>
      <c r="S155" s="332" t="str">
        <f t="shared" si="7"/>
        <v>Nayla Azalia Lathifah</v>
      </c>
      <c r="T155" s="243" t="s">
        <v>63</v>
      </c>
      <c r="U155" s="114"/>
      <c r="V155" s="114"/>
      <c r="W155" s="114"/>
      <c r="X155" s="238"/>
      <c r="Y155" s="114"/>
      <c r="Z155" s="114"/>
      <c r="AA155" s="114"/>
      <c r="AB155" s="114"/>
      <c r="AC155" s="254"/>
      <c r="AD155" s="243"/>
      <c r="AE155" s="114"/>
      <c r="AF155" s="114"/>
      <c r="AG155" s="114"/>
      <c r="AH155" s="254"/>
    </row>
    <row r="156" spans="1:34" x14ac:dyDescent="0.25">
      <c r="A156" s="21">
        <v>18</v>
      </c>
      <c r="B156" s="133" t="str">
        <f>DATA!H27</f>
        <v>Radita Raharjo</v>
      </c>
      <c r="C156" s="113" t="s">
        <v>63</v>
      </c>
      <c r="D156" s="114"/>
      <c r="E156" s="114"/>
      <c r="F156" s="114"/>
      <c r="G156" s="254"/>
      <c r="H156" s="113"/>
      <c r="I156" s="114"/>
      <c r="J156" s="114"/>
      <c r="K156" s="114"/>
      <c r="L156" s="254"/>
      <c r="M156" s="113"/>
      <c r="N156" s="114"/>
      <c r="O156" s="114"/>
      <c r="P156" s="114"/>
      <c r="Q156" s="254"/>
      <c r="R156" s="331">
        <f t="shared" si="6"/>
        <v>18</v>
      </c>
      <c r="S156" s="332" t="str">
        <f t="shared" si="7"/>
        <v>Radita Raharjo</v>
      </c>
      <c r="T156" s="243" t="s">
        <v>63</v>
      </c>
      <c r="U156" s="114"/>
      <c r="V156" s="114"/>
      <c r="W156" s="114"/>
      <c r="X156" s="238"/>
      <c r="Y156" s="114"/>
      <c r="Z156" s="114"/>
      <c r="AA156" s="114"/>
      <c r="AB156" s="114"/>
      <c r="AC156" s="254"/>
      <c r="AD156" s="243"/>
      <c r="AE156" s="114"/>
      <c r="AF156" s="114"/>
      <c r="AG156" s="114"/>
      <c r="AH156" s="254"/>
    </row>
    <row r="157" spans="1:34" x14ac:dyDescent="0.25">
      <c r="A157" s="21">
        <v>19</v>
      </c>
      <c r="B157" s="133" t="str">
        <f>DATA!H28</f>
        <v>Rava Aditya Pratama</v>
      </c>
      <c r="C157" s="113" t="s">
        <v>63</v>
      </c>
      <c r="D157" s="114"/>
      <c r="E157" s="114"/>
      <c r="F157" s="114"/>
      <c r="G157" s="254"/>
      <c r="H157" s="113"/>
      <c r="I157" s="114"/>
      <c r="J157" s="114"/>
      <c r="K157" s="114"/>
      <c r="L157" s="254"/>
      <c r="M157" s="113"/>
      <c r="N157" s="114"/>
      <c r="O157" s="114"/>
      <c r="P157" s="114"/>
      <c r="Q157" s="254"/>
      <c r="R157" s="331">
        <f t="shared" si="6"/>
        <v>19</v>
      </c>
      <c r="S157" s="332" t="str">
        <f t="shared" si="7"/>
        <v>Rava Aditya Pratama</v>
      </c>
      <c r="T157" s="243" t="s">
        <v>63</v>
      </c>
      <c r="U157" s="114"/>
      <c r="V157" s="114"/>
      <c r="W157" s="114"/>
      <c r="X157" s="238"/>
      <c r="Y157" s="114"/>
      <c r="Z157" s="114"/>
      <c r="AA157" s="114"/>
      <c r="AB157" s="114"/>
      <c r="AC157" s="254"/>
      <c r="AD157" s="243"/>
      <c r="AE157" s="114"/>
      <c r="AF157" s="114"/>
      <c r="AG157" s="114"/>
      <c r="AH157" s="254"/>
    </row>
    <row r="158" spans="1:34" x14ac:dyDescent="0.25">
      <c r="A158" s="21">
        <v>20</v>
      </c>
      <c r="B158" s="133" t="str">
        <f>DATA!H29</f>
        <v>Saffa Ayu Anastasya</v>
      </c>
      <c r="C158" s="113" t="s">
        <v>63</v>
      </c>
      <c r="D158" s="114"/>
      <c r="E158" s="114"/>
      <c r="F158" s="114"/>
      <c r="G158" s="254"/>
      <c r="H158" s="113"/>
      <c r="I158" s="114"/>
      <c r="J158" s="114"/>
      <c r="K158" s="114"/>
      <c r="L158" s="254"/>
      <c r="M158" s="113"/>
      <c r="N158" s="114"/>
      <c r="O158" s="114"/>
      <c r="P158" s="114"/>
      <c r="Q158" s="254"/>
      <c r="R158" s="331">
        <f t="shared" si="6"/>
        <v>20</v>
      </c>
      <c r="S158" s="332" t="str">
        <f t="shared" si="7"/>
        <v>Saffa Ayu Anastasya</v>
      </c>
      <c r="T158" s="243" t="s">
        <v>63</v>
      </c>
      <c r="U158" s="114"/>
      <c r="V158" s="114"/>
      <c r="W158" s="114"/>
      <c r="X158" s="238"/>
      <c r="Y158" s="114"/>
      <c r="Z158" s="114"/>
      <c r="AA158" s="114"/>
      <c r="AB158" s="114"/>
      <c r="AC158" s="254"/>
      <c r="AD158" s="243"/>
      <c r="AE158" s="114"/>
      <c r="AF158" s="114"/>
      <c r="AG158" s="114"/>
      <c r="AH158" s="254"/>
    </row>
    <row r="159" spans="1:34" x14ac:dyDescent="0.25">
      <c r="A159" s="21">
        <v>21</v>
      </c>
      <c r="B159" s="133" t="str">
        <f>DATA!H30</f>
        <v>Saromadika</v>
      </c>
      <c r="C159" s="113" t="s">
        <v>63</v>
      </c>
      <c r="D159" s="114"/>
      <c r="E159" s="114"/>
      <c r="F159" s="114"/>
      <c r="G159" s="254"/>
      <c r="H159" s="113"/>
      <c r="I159" s="114"/>
      <c r="J159" s="114"/>
      <c r="K159" s="114"/>
      <c r="L159" s="254"/>
      <c r="M159" s="113"/>
      <c r="N159" s="114"/>
      <c r="O159" s="114"/>
      <c r="P159" s="114"/>
      <c r="Q159" s="254"/>
      <c r="R159" s="331">
        <f t="shared" si="6"/>
        <v>21</v>
      </c>
      <c r="S159" s="332" t="str">
        <f t="shared" si="7"/>
        <v>Saromadika</v>
      </c>
      <c r="T159" s="243" t="s">
        <v>63</v>
      </c>
      <c r="U159" s="114"/>
      <c r="V159" s="114"/>
      <c r="W159" s="114"/>
      <c r="X159" s="238"/>
      <c r="Y159" s="114"/>
      <c r="Z159" s="114"/>
      <c r="AA159" s="114"/>
      <c r="AB159" s="114"/>
      <c r="AC159" s="254"/>
      <c r="AD159" s="243"/>
      <c r="AE159" s="114"/>
      <c r="AF159" s="114"/>
      <c r="AG159" s="114"/>
      <c r="AH159" s="254"/>
    </row>
    <row r="160" spans="1:34" x14ac:dyDescent="0.25">
      <c r="A160" s="21">
        <v>22</v>
      </c>
      <c r="B160" s="133" t="str">
        <f>DATA!H31</f>
        <v>Siti Fadilah Purmareta</v>
      </c>
      <c r="C160" s="113" t="s">
        <v>63</v>
      </c>
      <c r="D160" s="114"/>
      <c r="E160" s="114"/>
      <c r="F160" s="114"/>
      <c r="G160" s="254"/>
      <c r="H160" s="113"/>
      <c r="I160" s="114"/>
      <c r="J160" s="114"/>
      <c r="K160" s="114"/>
      <c r="L160" s="254"/>
      <c r="M160" s="113"/>
      <c r="N160" s="114"/>
      <c r="O160" s="114"/>
      <c r="P160" s="114"/>
      <c r="Q160" s="254"/>
      <c r="R160" s="331">
        <f t="shared" si="6"/>
        <v>22</v>
      </c>
      <c r="S160" s="332" t="str">
        <f t="shared" si="7"/>
        <v>Siti Fadilah Purmareta</v>
      </c>
      <c r="T160" s="243" t="s">
        <v>63</v>
      </c>
      <c r="U160" s="114"/>
      <c r="V160" s="114"/>
      <c r="W160" s="114"/>
      <c r="X160" s="238"/>
      <c r="Y160" s="114"/>
      <c r="Z160" s="114"/>
      <c r="AA160" s="114"/>
      <c r="AB160" s="114"/>
      <c r="AC160" s="254"/>
      <c r="AD160" s="243"/>
      <c r="AE160" s="114"/>
      <c r="AF160" s="114"/>
      <c r="AG160" s="114"/>
      <c r="AH160" s="254"/>
    </row>
    <row r="161" spans="1:34" x14ac:dyDescent="0.25">
      <c r="A161" s="21">
        <v>23</v>
      </c>
      <c r="B161" s="133" t="str">
        <f>DATA!H32</f>
        <v>Surya Ardika Pratama</v>
      </c>
      <c r="C161" s="113" t="s">
        <v>63</v>
      </c>
      <c r="D161" s="114"/>
      <c r="E161" s="114"/>
      <c r="F161" s="114"/>
      <c r="G161" s="254"/>
      <c r="H161" s="113"/>
      <c r="I161" s="114"/>
      <c r="J161" s="114"/>
      <c r="K161" s="114"/>
      <c r="L161" s="254"/>
      <c r="M161" s="113"/>
      <c r="N161" s="114"/>
      <c r="O161" s="114"/>
      <c r="P161" s="114"/>
      <c r="Q161" s="254"/>
      <c r="R161" s="331">
        <f t="shared" si="6"/>
        <v>23</v>
      </c>
      <c r="S161" s="332" t="str">
        <f t="shared" si="7"/>
        <v>Surya Ardika Pratama</v>
      </c>
      <c r="T161" s="243" t="s">
        <v>63</v>
      </c>
      <c r="U161" s="114"/>
      <c r="V161" s="114"/>
      <c r="W161" s="114"/>
      <c r="X161" s="238"/>
      <c r="Y161" s="114"/>
      <c r="Z161" s="114"/>
      <c r="AA161" s="114"/>
      <c r="AB161" s="114"/>
      <c r="AC161" s="254"/>
      <c r="AD161" s="243"/>
      <c r="AE161" s="114"/>
      <c r="AF161" s="114"/>
      <c r="AG161" s="114"/>
      <c r="AH161" s="254"/>
    </row>
    <row r="162" spans="1:34" x14ac:dyDescent="0.25">
      <c r="A162" s="21">
        <v>24</v>
      </c>
      <c r="B162" s="133" t="str">
        <f>DATA!H33</f>
        <v>Syafa Nutrima Andini</v>
      </c>
      <c r="C162" s="113" t="s">
        <v>63</v>
      </c>
      <c r="D162" s="114"/>
      <c r="E162" s="114"/>
      <c r="F162" s="114"/>
      <c r="G162" s="254"/>
      <c r="H162" s="113"/>
      <c r="I162" s="114"/>
      <c r="J162" s="114"/>
      <c r="K162" s="114"/>
      <c r="L162" s="254"/>
      <c r="M162" s="113"/>
      <c r="N162" s="114"/>
      <c r="O162" s="114"/>
      <c r="P162" s="114"/>
      <c r="Q162" s="254"/>
      <c r="R162" s="331">
        <f t="shared" si="6"/>
        <v>24</v>
      </c>
      <c r="S162" s="332" t="str">
        <f t="shared" si="7"/>
        <v>Syafa Nutrima Andini</v>
      </c>
      <c r="T162" s="243" t="s">
        <v>63</v>
      </c>
      <c r="U162" s="114"/>
      <c r="V162" s="114"/>
      <c r="W162" s="114"/>
      <c r="X162" s="238"/>
      <c r="Y162" s="114"/>
      <c r="Z162" s="114"/>
      <c r="AA162" s="114"/>
      <c r="AB162" s="114"/>
      <c r="AC162" s="254"/>
      <c r="AD162" s="243"/>
      <c r="AE162" s="114"/>
      <c r="AF162" s="114"/>
      <c r="AG162" s="114"/>
      <c r="AH162" s="254"/>
    </row>
    <row r="163" spans="1:34" x14ac:dyDescent="0.25">
      <c r="A163" s="21">
        <v>25</v>
      </c>
      <c r="B163" s="133" t="str">
        <f>DATA!H34</f>
        <v>Syifa Dwi Rahayu</v>
      </c>
      <c r="C163" s="113" t="s">
        <v>63</v>
      </c>
      <c r="D163" s="114"/>
      <c r="E163" s="114"/>
      <c r="F163" s="114"/>
      <c r="G163" s="254"/>
      <c r="H163" s="113"/>
      <c r="I163" s="114"/>
      <c r="J163" s="114"/>
      <c r="K163" s="114"/>
      <c r="L163" s="254"/>
      <c r="M163" s="113"/>
      <c r="N163" s="114"/>
      <c r="O163" s="114"/>
      <c r="P163" s="114"/>
      <c r="Q163" s="254"/>
      <c r="R163" s="331">
        <f t="shared" si="6"/>
        <v>25</v>
      </c>
      <c r="S163" s="332" t="str">
        <f t="shared" si="7"/>
        <v>Syifa Dwi Rahayu</v>
      </c>
      <c r="T163" s="243" t="s">
        <v>63</v>
      </c>
      <c r="U163" s="114"/>
      <c r="V163" s="114"/>
      <c r="W163" s="114"/>
      <c r="X163" s="238"/>
      <c r="Y163" s="114"/>
      <c r="Z163" s="114"/>
      <c r="AA163" s="114"/>
      <c r="AB163" s="114"/>
      <c r="AC163" s="254"/>
      <c r="AD163" s="243"/>
      <c r="AE163" s="114"/>
      <c r="AF163" s="114"/>
      <c r="AG163" s="114"/>
      <c r="AH163" s="254"/>
    </row>
    <row r="164" spans="1:34" x14ac:dyDescent="0.25">
      <c r="A164" s="21">
        <v>26</v>
      </c>
      <c r="B164" s="133" t="str">
        <f>DATA!H35</f>
        <v>Trendy Pambayun</v>
      </c>
      <c r="C164" s="113" t="s">
        <v>63</v>
      </c>
      <c r="D164" s="114"/>
      <c r="E164" s="114"/>
      <c r="F164" s="114"/>
      <c r="G164" s="254"/>
      <c r="H164" s="113"/>
      <c r="I164" s="114"/>
      <c r="J164" s="114"/>
      <c r="K164" s="114"/>
      <c r="L164" s="254"/>
      <c r="M164" s="113"/>
      <c r="N164" s="114"/>
      <c r="O164" s="114"/>
      <c r="P164" s="114"/>
      <c r="Q164" s="254"/>
      <c r="R164" s="331">
        <f t="shared" si="6"/>
        <v>26</v>
      </c>
      <c r="S164" s="332" t="str">
        <f t="shared" si="7"/>
        <v>Trendy Pambayun</v>
      </c>
      <c r="T164" s="243" t="s">
        <v>63</v>
      </c>
      <c r="U164" s="114"/>
      <c r="V164" s="114"/>
      <c r="W164" s="114"/>
      <c r="X164" s="238"/>
      <c r="Y164" s="114"/>
      <c r="Z164" s="114"/>
      <c r="AA164" s="114"/>
      <c r="AB164" s="114"/>
      <c r="AC164" s="254"/>
      <c r="AD164" s="243"/>
      <c r="AE164" s="114"/>
      <c r="AF164" s="114"/>
      <c r="AG164" s="114"/>
      <c r="AH164" s="254"/>
    </row>
    <row r="165" spans="1:34" x14ac:dyDescent="0.25">
      <c r="A165" s="21">
        <v>27</v>
      </c>
      <c r="B165" s="133" t="str">
        <f>DATA!H36</f>
        <v>Victar Alfiano</v>
      </c>
      <c r="C165" s="113" t="s">
        <v>63</v>
      </c>
      <c r="D165" s="114"/>
      <c r="E165" s="114"/>
      <c r="F165" s="114"/>
      <c r="G165" s="254"/>
      <c r="H165" s="113"/>
      <c r="I165" s="114"/>
      <c r="J165" s="114"/>
      <c r="K165" s="114"/>
      <c r="L165" s="254"/>
      <c r="M165" s="113"/>
      <c r="N165" s="114"/>
      <c r="O165" s="114"/>
      <c r="P165" s="114"/>
      <c r="Q165" s="254"/>
      <c r="R165" s="331">
        <f t="shared" si="6"/>
        <v>27</v>
      </c>
      <c r="S165" s="332" t="str">
        <f t="shared" si="7"/>
        <v>Victar Alfiano</v>
      </c>
      <c r="T165" s="243" t="s">
        <v>63</v>
      </c>
      <c r="U165" s="114"/>
      <c r="V165" s="114"/>
      <c r="W165" s="114"/>
      <c r="X165" s="238"/>
      <c r="Y165" s="114"/>
      <c r="Z165" s="114"/>
      <c r="AA165" s="114"/>
      <c r="AB165" s="114"/>
      <c r="AC165" s="254"/>
      <c r="AD165" s="243"/>
      <c r="AE165" s="114"/>
      <c r="AF165" s="114"/>
      <c r="AG165" s="114"/>
      <c r="AH165" s="254"/>
    </row>
    <row r="166" spans="1:34" x14ac:dyDescent="0.25">
      <c r="A166" s="21">
        <v>28</v>
      </c>
      <c r="B166" s="133" t="str">
        <f>DATA!H37</f>
        <v>Vika Adhania</v>
      </c>
      <c r="C166" s="113" t="s">
        <v>63</v>
      </c>
      <c r="D166" s="114"/>
      <c r="E166" s="114"/>
      <c r="F166" s="114"/>
      <c r="G166" s="254"/>
      <c r="H166" s="113"/>
      <c r="I166" s="114"/>
      <c r="J166" s="114"/>
      <c r="K166" s="114"/>
      <c r="L166" s="254"/>
      <c r="M166" s="113"/>
      <c r="N166" s="114"/>
      <c r="O166" s="114"/>
      <c r="P166" s="114"/>
      <c r="Q166" s="254"/>
      <c r="R166" s="331">
        <f t="shared" si="6"/>
        <v>28</v>
      </c>
      <c r="S166" s="332" t="str">
        <f t="shared" si="7"/>
        <v>Vika Adhania</v>
      </c>
      <c r="T166" s="243" t="s">
        <v>63</v>
      </c>
      <c r="U166" s="114"/>
      <c r="V166" s="114"/>
      <c r="W166" s="114"/>
      <c r="X166" s="238"/>
      <c r="Y166" s="114"/>
      <c r="Z166" s="114"/>
      <c r="AA166" s="114"/>
      <c r="AB166" s="114"/>
      <c r="AC166" s="254"/>
      <c r="AD166" s="243"/>
      <c r="AE166" s="114"/>
      <c r="AF166" s="114"/>
      <c r="AG166" s="114"/>
      <c r="AH166" s="254"/>
    </row>
    <row r="167" spans="1:34" x14ac:dyDescent="0.25">
      <c r="A167" s="21">
        <v>29</v>
      </c>
      <c r="B167" s="133" t="str">
        <f>DATA!H38</f>
        <v>Yogi Restu Bintang Pamungkas</v>
      </c>
      <c r="C167" s="113" t="s">
        <v>63</v>
      </c>
      <c r="D167" s="114"/>
      <c r="E167" s="114"/>
      <c r="F167" s="114"/>
      <c r="G167" s="254"/>
      <c r="H167" s="113"/>
      <c r="I167" s="114"/>
      <c r="J167" s="114"/>
      <c r="K167" s="114"/>
      <c r="L167" s="254"/>
      <c r="M167" s="113"/>
      <c r="N167" s="114"/>
      <c r="O167" s="114"/>
      <c r="P167" s="114"/>
      <c r="Q167" s="254"/>
      <c r="R167" s="331">
        <f t="shared" si="6"/>
        <v>29</v>
      </c>
      <c r="S167" s="332" t="str">
        <f t="shared" si="7"/>
        <v>Yogi Restu Bintang Pamungkas</v>
      </c>
      <c r="T167" s="243" t="s">
        <v>63</v>
      </c>
      <c r="U167" s="114"/>
      <c r="V167" s="114"/>
      <c r="W167" s="114"/>
      <c r="X167" s="238"/>
      <c r="Y167" s="114"/>
      <c r="Z167" s="114"/>
      <c r="AA167" s="114"/>
      <c r="AB167" s="114"/>
      <c r="AC167" s="254"/>
      <c r="AD167" s="243"/>
      <c r="AE167" s="114"/>
      <c r="AF167" s="114"/>
      <c r="AG167" s="114"/>
      <c r="AH167" s="254"/>
    </row>
    <row r="168" spans="1:34" x14ac:dyDescent="0.25">
      <c r="A168" s="21">
        <v>30</v>
      </c>
      <c r="B168" s="133" t="str">
        <f>DATA!H39</f>
        <v>Zahfa Zilvilya Putri</v>
      </c>
      <c r="C168" s="113" t="s">
        <v>63</v>
      </c>
      <c r="D168" s="114"/>
      <c r="E168" s="114"/>
      <c r="F168" s="114"/>
      <c r="G168" s="254"/>
      <c r="H168" s="113"/>
      <c r="I168" s="114"/>
      <c r="J168" s="114"/>
      <c r="K168" s="114"/>
      <c r="L168" s="254"/>
      <c r="M168" s="113"/>
      <c r="N168" s="114"/>
      <c r="O168" s="114"/>
      <c r="P168" s="114"/>
      <c r="Q168" s="254"/>
      <c r="R168" s="331">
        <f t="shared" si="6"/>
        <v>30</v>
      </c>
      <c r="S168" s="332" t="str">
        <f t="shared" si="7"/>
        <v>Zahfa Zilvilya Putri</v>
      </c>
      <c r="T168" s="243" t="s">
        <v>63</v>
      </c>
      <c r="U168" s="114"/>
      <c r="V168" s="114"/>
      <c r="W168" s="114"/>
      <c r="X168" s="238"/>
      <c r="Y168" s="114"/>
      <c r="Z168" s="114"/>
      <c r="AA168" s="114"/>
      <c r="AB168" s="114"/>
      <c r="AC168" s="254"/>
      <c r="AD168" s="243"/>
      <c r="AE168" s="114"/>
      <c r="AF168" s="114"/>
      <c r="AG168" s="114"/>
      <c r="AH168" s="254"/>
    </row>
    <row r="169" spans="1:34" x14ac:dyDescent="0.25">
      <c r="A169" s="21">
        <v>31</v>
      </c>
      <c r="B169" s="133" t="str">
        <f>DATA!H40</f>
        <v>Zaidan Rafa Prawidi</v>
      </c>
      <c r="C169" s="113" t="s">
        <v>63</v>
      </c>
      <c r="D169" s="114"/>
      <c r="E169" s="114"/>
      <c r="F169" s="114"/>
      <c r="G169" s="254"/>
      <c r="H169" s="113"/>
      <c r="I169" s="114"/>
      <c r="J169" s="114"/>
      <c r="K169" s="114"/>
      <c r="L169" s="254"/>
      <c r="M169" s="113"/>
      <c r="N169" s="114"/>
      <c r="O169" s="114"/>
      <c r="P169" s="114"/>
      <c r="Q169" s="254"/>
      <c r="R169" s="331">
        <f t="shared" si="6"/>
        <v>31</v>
      </c>
      <c r="S169" s="332" t="str">
        <f t="shared" si="7"/>
        <v>Zaidan Rafa Prawidi</v>
      </c>
      <c r="T169" s="243" t="s">
        <v>63</v>
      </c>
      <c r="U169" s="114"/>
      <c r="V169" s="114"/>
      <c r="W169" s="114"/>
      <c r="X169" s="238"/>
      <c r="Y169" s="114"/>
      <c r="Z169" s="114"/>
      <c r="AA169" s="114"/>
      <c r="AB169" s="114"/>
      <c r="AC169" s="254"/>
      <c r="AD169" s="243"/>
      <c r="AE169" s="114"/>
      <c r="AF169" s="114"/>
      <c r="AG169" s="114"/>
      <c r="AH169" s="254"/>
    </row>
    <row r="170" spans="1:34" x14ac:dyDescent="0.25">
      <c r="A170" s="21">
        <v>32</v>
      </c>
      <c r="B170" s="133">
        <f>DATA!H41</f>
        <v>0</v>
      </c>
      <c r="C170" s="113" t="s">
        <v>63</v>
      </c>
      <c r="D170" s="114"/>
      <c r="E170" s="114"/>
      <c r="F170" s="114"/>
      <c r="G170" s="254"/>
      <c r="H170" s="113"/>
      <c r="I170" s="114"/>
      <c r="J170" s="114"/>
      <c r="K170" s="114"/>
      <c r="L170" s="254"/>
      <c r="M170" s="113"/>
      <c r="N170" s="114"/>
      <c r="O170" s="114"/>
      <c r="P170" s="114"/>
      <c r="Q170" s="254"/>
      <c r="R170" s="331">
        <f t="shared" si="6"/>
        <v>32</v>
      </c>
      <c r="S170" s="332">
        <f t="shared" si="7"/>
        <v>0</v>
      </c>
      <c r="T170" s="243" t="s">
        <v>63</v>
      </c>
      <c r="U170" s="114"/>
      <c r="V170" s="114"/>
      <c r="W170" s="114"/>
      <c r="X170" s="238"/>
      <c r="Y170" s="114"/>
      <c r="Z170" s="114"/>
      <c r="AA170" s="114"/>
      <c r="AB170" s="114"/>
      <c r="AC170" s="254"/>
      <c r="AD170" s="243"/>
      <c r="AE170" s="114"/>
      <c r="AF170" s="114"/>
      <c r="AG170" s="114"/>
      <c r="AH170" s="254"/>
    </row>
    <row r="171" spans="1:34" x14ac:dyDescent="0.25">
      <c r="A171" s="21">
        <v>33</v>
      </c>
      <c r="B171" s="133">
        <f>DATA!H42</f>
        <v>0</v>
      </c>
      <c r="C171" s="113"/>
      <c r="D171" s="114"/>
      <c r="E171" s="114"/>
      <c r="F171" s="114"/>
      <c r="G171" s="254"/>
      <c r="H171" s="113"/>
      <c r="I171" s="114"/>
      <c r="J171" s="114"/>
      <c r="K171" s="114"/>
      <c r="L171" s="254"/>
      <c r="M171" s="113"/>
      <c r="N171" s="114"/>
      <c r="O171" s="114"/>
      <c r="P171" s="114"/>
      <c r="Q171" s="254"/>
      <c r="R171" s="331"/>
      <c r="S171" s="332"/>
      <c r="T171" s="243" t="s">
        <v>63</v>
      </c>
      <c r="U171" s="114"/>
      <c r="V171" s="114"/>
      <c r="W171" s="114"/>
      <c r="X171" s="238"/>
      <c r="Y171" s="114"/>
      <c r="Z171" s="114"/>
      <c r="AA171" s="114"/>
      <c r="AB171" s="114"/>
      <c r="AC171" s="254"/>
      <c r="AD171" s="243"/>
      <c r="AE171" s="114"/>
      <c r="AF171" s="114"/>
      <c r="AG171" s="114"/>
      <c r="AH171" s="254"/>
    </row>
    <row r="172" spans="1:34" x14ac:dyDescent="0.25">
      <c r="A172" s="21">
        <v>34</v>
      </c>
      <c r="B172" s="133"/>
      <c r="C172" s="113"/>
      <c r="D172" s="114"/>
      <c r="E172" s="114"/>
      <c r="F172" s="114"/>
      <c r="G172" s="254"/>
      <c r="H172" s="113"/>
      <c r="I172" s="114"/>
      <c r="J172" s="114"/>
      <c r="K172" s="114"/>
      <c r="L172" s="254"/>
      <c r="M172" s="113"/>
      <c r="N172" s="114"/>
      <c r="O172" s="114"/>
      <c r="P172" s="114"/>
      <c r="Q172" s="254"/>
      <c r="R172" s="331"/>
      <c r="S172" s="332"/>
      <c r="T172" s="243" t="s">
        <v>63</v>
      </c>
      <c r="U172" s="114"/>
      <c r="V172" s="114"/>
      <c r="W172" s="114"/>
      <c r="X172" s="238"/>
      <c r="Y172" s="114"/>
      <c r="Z172" s="114"/>
      <c r="AA172" s="114"/>
      <c r="AB172" s="114"/>
      <c r="AC172" s="254"/>
      <c r="AD172" s="243"/>
      <c r="AE172" s="114"/>
      <c r="AF172" s="114"/>
      <c r="AG172" s="114"/>
      <c r="AH172" s="254"/>
    </row>
    <row r="173" spans="1:34" x14ac:dyDescent="0.25">
      <c r="A173" s="21">
        <v>35</v>
      </c>
      <c r="B173" s="161"/>
      <c r="C173" s="113"/>
      <c r="D173" s="115"/>
      <c r="E173" s="115"/>
      <c r="F173" s="114"/>
      <c r="G173" s="254"/>
      <c r="H173" s="255"/>
      <c r="I173" s="115"/>
      <c r="J173" s="114"/>
      <c r="K173" s="114"/>
      <c r="L173" s="254"/>
      <c r="M173" s="255"/>
      <c r="N173" s="115"/>
      <c r="O173" s="115"/>
      <c r="P173" s="115"/>
      <c r="Q173" s="256"/>
      <c r="R173" s="333"/>
      <c r="S173" s="334"/>
      <c r="T173" s="244" t="s">
        <v>63</v>
      </c>
      <c r="U173" s="115"/>
      <c r="V173" s="115"/>
      <c r="W173" s="115"/>
      <c r="X173" s="239"/>
      <c r="Y173" s="115"/>
      <c r="Z173" s="115"/>
      <c r="AA173" s="115"/>
      <c r="AB173" s="115"/>
      <c r="AC173" s="256"/>
      <c r="AD173" s="244"/>
      <c r="AE173" s="115"/>
      <c r="AF173" s="115"/>
      <c r="AG173" s="115"/>
      <c r="AH173" s="256"/>
    </row>
    <row r="174" spans="1:34" x14ac:dyDescent="0.25">
      <c r="A174" s="116"/>
      <c r="B174" s="116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04"/>
      <c r="Z174" s="504" t="str">
        <f>B135</f>
        <v>9D</v>
      </c>
      <c r="AA174" s="504"/>
      <c r="AB174" s="504"/>
      <c r="AC174" s="104"/>
    </row>
    <row r="175" spans="1:34" x14ac:dyDescent="0.25">
      <c r="A175" s="118"/>
      <c r="B175" s="118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504"/>
      <c r="AA175" s="504"/>
      <c r="AB175" s="504"/>
      <c r="AC175" s="104"/>
    </row>
    <row r="176" spans="1:34" x14ac:dyDescent="0.25">
      <c r="A176" s="118"/>
      <c r="B176" s="118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504"/>
      <c r="AA176" s="504"/>
      <c r="AB176" s="504"/>
      <c r="AC176" s="104"/>
    </row>
    <row r="177" spans="1:34" ht="13" x14ac:dyDescent="0.3">
      <c r="A177" s="478" t="s">
        <v>88</v>
      </c>
      <c r="B177" s="478"/>
      <c r="C177" s="478"/>
      <c r="D177" s="478"/>
      <c r="E177" s="478"/>
      <c r="F177" s="478"/>
      <c r="G177" s="478"/>
      <c r="H177" s="478"/>
      <c r="I177" s="478"/>
      <c r="J177" s="478"/>
      <c r="K177" s="478"/>
      <c r="L177" s="478"/>
      <c r="M177" s="478"/>
      <c r="N177" s="478"/>
      <c r="O177" s="478"/>
      <c r="P177" s="478"/>
      <c r="Q177" s="478"/>
      <c r="R177" s="478"/>
      <c r="S177" s="478"/>
      <c r="T177" s="478"/>
      <c r="U177" s="478"/>
      <c r="V177" s="478"/>
      <c r="W177" s="478"/>
      <c r="X177" s="478"/>
      <c r="Y177" s="478"/>
      <c r="Z177" s="478"/>
      <c r="AA177" s="478"/>
      <c r="AB177" s="478"/>
      <c r="AC177" s="478"/>
      <c r="AD177" s="478"/>
      <c r="AE177" s="478"/>
      <c r="AF177" s="478"/>
      <c r="AG177" s="478"/>
      <c r="AH177" s="478"/>
    </row>
    <row r="178" spans="1:34" ht="13" x14ac:dyDescent="0.3">
      <c r="A178" s="479" t="str">
        <f>A134</f>
        <v xml:space="preserve"> KL IX SMT GASAL TP 2025/2026</v>
      </c>
      <c r="B178" s="479"/>
      <c r="C178" s="479"/>
      <c r="D178" s="479"/>
      <c r="E178" s="479"/>
      <c r="F178" s="479"/>
      <c r="G178" s="479"/>
      <c r="H178" s="479"/>
      <c r="I178" s="479"/>
      <c r="J178" s="479"/>
      <c r="K178" s="479"/>
      <c r="L178" s="479"/>
      <c r="M178" s="479"/>
      <c r="N178" s="479"/>
      <c r="O178" s="479"/>
      <c r="P178" s="479"/>
      <c r="Q178" s="479"/>
      <c r="R178" s="479"/>
      <c r="S178" s="479"/>
      <c r="T178" s="479"/>
      <c r="U178" s="479"/>
      <c r="V178" s="479"/>
      <c r="W178" s="479"/>
      <c r="X178" s="479"/>
      <c r="Y178" s="479"/>
      <c r="Z178" s="479"/>
      <c r="AA178" s="479"/>
      <c r="AB178" s="479"/>
      <c r="AC178" s="479"/>
      <c r="AD178" s="479"/>
      <c r="AE178" s="479"/>
      <c r="AF178" s="479"/>
      <c r="AG178" s="479"/>
      <c r="AH178" s="479"/>
    </row>
    <row r="179" spans="1:34" ht="13" x14ac:dyDescent="0.3">
      <c r="A179" s="108" t="s">
        <v>65</v>
      </c>
      <c r="B179" s="109" t="s">
        <v>94</v>
      </c>
      <c r="C179" s="250" t="s">
        <v>21</v>
      </c>
      <c r="D179" s="106"/>
      <c r="E179" s="251">
        <v>1</v>
      </c>
      <c r="F179" s="106"/>
      <c r="G179" s="107"/>
      <c r="H179" s="250" t="s">
        <v>21</v>
      </c>
      <c r="I179" s="106"/>
      <c r="J179" s="251">
        <v>2</v>
      </c>
      <c r="K179" s="106"/>
      <c r="L179" s="107"/>
      <c r="M179" s="250" t="s">
        <v>21</v>
      </c>
      <c r="N179" s="106"/>
      <c r="O179" s="251">
        <v>3</v>
      </c>
      <c r="P179" s="106"/>
      <c r="Q179" s="107"/>
      <c r="R179" s="327"/>
      <c r="S179" s="328"/>
      <c r="T179" s="506" t="s">
        <v>96</v>
      </c>
      <c r="U179" s="506"/>
      <c r="V179" s="506"/>
      <c r="W179" s="506"/>
      <c r="X179" s="506"/>
      <c r="Y179" s="506"/>
      <c r="Z179" s="506"/>
      <c r="AA179" s="506"/>
      <c r="AB179" s="506"/>
      <c r="AC179" s="507"/>
      <c r="AD179" s="505" t="s">
        <v>89</v>
      </c>
      <c r="AE179" s="506"/>
      <c r="AF179" s="506"/>
      <c r="AG179" s="506"/>
      <c r="AH179" s="507"/>
    </row>
    <row r="180" spans="1:34" x14ac:dyDescent="0.25">
      <c r="A180" s="2"/>
      <c r="B180" s="3" t="s">
        <v>7</v>
      </c>
      <c r="C180" s="32">
        <v>1</v>
      </c>
      <c r="D180" s="33">
        <v>2</v>
      </c>
      <c r="E180" s="33">
        <v>3</v>
      </c>
      <c r="F180" s="33">
        <v>4</v>
      </c>
      <c r="G180" s="34">
        <v>5</v>
      </c>
      <c r="H180" s="32">
        <v>1</v>
      </c>
      <c r="I180" s="33">
        <v>2</v>
      </c>
      <c r="J180" s="33">
        <v>3</v>
      </c>
      <c r="K180" s="33">
        <v>4</v>
      </c>
      <c r="L180" s="34">
        <v>5</v>
      </c>
      <c r="M180" s="32">
        <v>1</v>
      </c>
      <c r="N180" s="33">
        <v>2</v>
      </c>
      <c r="O180" s="33">
        <v>3</v>
      </c>
      <c r="P180" s="33">
        <v>4</v>
      </c>
      <c r="Q180" s="34">
        <v>5</v>
      </c>
      <c r="R180" s="266"/>
      <c r="S180" s="268"/>
      <c r="T180" s="261">
        <v>1</v>
      </c>
      <c r="U180" s="33">
        <v>2</v>
      </c>
      <c r="V180" s="33">
        <v>3</v>
      </c>
      <c r="W180" s="33">
        <v>4</v>
      </c>
      <c r="X180" s="33">
        <v>5</v>
      </c>
      <c r="Y180" s="33">
        <v>6</v>
      </c>
      <c r="Z180" s="33">
        <v>7</v>
      </c>
      <c r="AA180" s="33">
        <v>8</v>
      </c>
      <c r="AB180" s="33">
        <v>9</v>
      </c>
      <c r="AC180" s="34">
        <v>10</v>
      </c>
      <c r="AD180" s="261">
        <v>1</v>
      </c>
      <c r="AE180" s="33">
        <v>2</v>
      </c>
      <c r="AF180" s="33">
        <v>3</v>
      </c>
      <c r="AG180" s="33">
        <v>4</v>
      </c>
      <c r="AH180" s="34">
        <v>5</v>
      </c>
    </row>
    <row r="181" spans="1:34" x14ac:dyDescent="0.25">
      <c r="A181" s="6" t="s">
        <v>0</v>
      </c>
      <c r="B181" s="5" t="s">
        <v>8</v>
      </c>
      <c r="C181" s="55"/>
      <c r="D181" s="56"/>
      <c r="E181" s="56"/>
      <c r="F181" s="56"/>
      <c r="G181" s="57"/>
      <c r="H181" s="55"/>
      <c r="I181" s="56"/>
      <c r="J181" s="56"/>
      <c r="K181" s="56"/>
      <c r="L181" s="57"/>
      <c r="M181" s="55"/>
      <c r="N181" s="56"/>
      <c r="O181" s="56"/>
      <c r="P181" s="56"/>
      <c r="Q181" s="57"/>
      <c r="R181" s="55"/>
      <c r="S181" s="105"/>
      <c r="T181" s="262"/>
      <c r="U181" s="56"/>
      <c r="V181" s="56"/>
      <c r="W181" s="56"/>
      <c r="X181" s="57"/>
      <c r="Y181" s="56"/>
      <c r="Z181" s="56"/>
      <c r="AA181" s="56"/>
      <c r="AB181" s="56"/>
      <c r="AC181" s="105"/>
      <c r="AD181" s="262"/>
      <c r="AE181" s="56"/>
      <c r="AF181" s="56"/>
      <c r="AG181" s="56"/>
      <c r="AH181" s="105"/>
    </row>
    <row r="182" spans="1:34" x14ac:dyDescent="0.25">
      <c r="A182" s="6"/>
      <c r="B182" s="257" t="s">
        <v>2</v>
      </c>
      <c r="C182" s="36"/>
      <c r="D182" s="37"/>
      <c r="E182" s="37"/>
      <c r="F182" s="37"/>
      <c r="G182" s="38"/>
      <c r="H182" s="36"/>
      <c r="I182" s="37"/>
      <c r="J182" s="37"/>
      <c r="K182" s="37"/>
      <c r="L182" s="38"/>
      <c r="M182" s="36"/>
      <c r="N182" s="37"/>
      <c r="O182" s="37"/>
      <c r="P182" s="37"/>
      <c r="Q182" s="38"/>
      <c r="R182" s="267"/>
      <c r="S182" s="269"/>
      <c r="T182" s="263"/>
      <c r="U182" s="37"/>
      <c r="V182" s="37"/>
      <c r="W182" s="37"/>
      <c r="X182" s="252"/>
      <c r="Y182" s="37"/>
      <c r="Z182" s="37"/>
      <c r="AA182" s="37"/>
      <c r="AB182" s="37"/>
      <c r="AC182" s="38"/>
      <c r="AD182" s="263"/>
      <c r="AE182" s="37"/>
      <c r="AF182" s="37"/>
      <c r="AG182" s="37"/>
      <c r="AH182" s="38"/>
    </row>
    <row r="183" spans="1:34" x14ac:dyDescent="0.25">
      <c r="A183" s="20">
        <v>1</v>
      </c>
      <c r="B183" s="130" t="str">
        <f>DATA!J10</f>
        <v>Adyatma Danendra Abimanyu</v>
      </c>
      <c r="C183" s="111" t="s">
        <v>63</v>
      </c>
      <c r="D183" s="112"/>
      <c r="E183" s="112"/>
      <c r="F183" s="112"/>
      <c r="G183" s="253"/>
      <c r="H183" s="111"/>
      <c r="I183" s="112"/>
      <c r="J183" s="112"/>
      <c r="K183" s="112"/>
      <c r="L183" s="253"/>
      <c r="M183" s="111"/>
      <c r="N183" s="112"/>
      <c r="O183" s="112"/>
      <c r="P183" s="112"/>
      <c r="Q183" s="253"/>
      <c r="R183" s="329">
        <f>A183</f>
        <v>1</v>
      </c>
      <c r="S183" s="330" t="str">
        <f>B183</f>
        <v>Adyatma Danendra Abimanyu</v>
      </c>
      <c r="T183" s="242" t="s">
        <v>63</v>
      </c>
      <c r="U183" s="112"/>
      <c r="V183" s="112"/>
      <c r="W183" s="112"/>
      <c r="X183" s="240"/>
      <c r="Y183" s="112"/>
      <c r="Z183" s="112"/>
      <c r="AA183" s="112"/>
      <c r="AB183" s="112"/>
      <c r="AC183" s="253"/>
      <c r="AD183" s="242"/>
      <c r="AE183" s="112"/>
      <c r="AF183" s="112"/>
      <c r="AG183" s="112"/>
      <c r="AH183" s="253"/>
    </row>
    <row r="184" spans="1:34" x14ac:dyDescent="0.25">
      <c r="A184" s="21">
        <v>2</v>
      </c>
      <c r="B184" s="133" t="str">
        <f>DATA!J11</f>
        <v>Ainaya Aprillia Azzahra</v>
      </c>
      <c r="C184" s="113" t="s">
        <v>63</v>
      </c>
      <c r="D184" s="114"/>
      <c r="E184" s="114"/>
      <c r="F184" s="114"/>
      <c r="G184" s="254"/>
      <c r="H184" s="113"/>
      <c r="I184" s="114"/>
      <c r="J184" s="114"/>
      <c r="K184" s="114"/>
      <c r="L184" s="254"/>
      <c r="M184" s="113"/>
      <c r="N184" s="114"/>
      <c r="O184" s="114"/>
      <c r="P184" s="114"/>
      <c r="Q184" s="254"/>
      <c r="R184" s="331">
        <f t="shared" ref="R184:R214" si="8">A184</f>
        <v>2</v>
      </c>
      <c r="S184" s="332" t="str">
        <f t="shared" ref="S184:S214" si="9">B184</f>
        <v>Ainaya Aprillia Azzahra</v>
      </c>
      <c r="T184" s="243" t="s">
        <v>63</v>
      </c>
      <c r="U184" s="114"/>
      <c r="V184" s="114"/>
      <c r="W184" s="114"/>
      <c r="X184" s="238"/>
      <c r="Y184" s="114"/>
      <c r="Z184" s="114"/>
      <c r="AA184" s="114"/>
      <c r="AB184" s="114"/>
      <c r="AC184" s="254"/>
      <c r="AD184" s="243"/>
      <c r="AE184" s="114"/>
      <c r="AF184" s="114"/>
      <c r="AG184" s="114"/>
      <c r="AH184" s="254"/>
    </row>
    <row r="185" spans="1:34" x14ac:dyDescent="0.25">
      <c r="A185" s="21">
        <v>3</v>
      </c>
      <c r="B185" s="133" t="str">
        <f>DATA!J12</f>
        <v>Alvicko Aprellio Jordan</v>
      </c>
      <c r="C185" s="113" t="s">
        <v>63</v>
      </c>
      <c r="D185" s="114"/>
      <c r="E185" s="114"/>
      <c r="F185" s="114"/>
      <c r="G185" s="254"/>
      <c r="H185" s="113"/>
      <c r="I185" s="114"/>
      <c r="J185" s="114"/>
      <c r="K185" s="114"/>
      <c r="L185" s="254"/>
      <c r="M185" s="113"/>
      <c r="N185" s="114"/>
      <c r="O185" s="114"/>
      <c r="P185" s="114"/>
      <c r="Q185" s="254"/>
      <c r="R185" s="331">
        <f t="shared" si="8"/>
        <v>3</v>
      </c>
      <c r="S185" s="332" t="str">
        <f t="shared" si="9"/>
        <v>Alvicko Aprellio Jordan</v>
      </c>
      <c r="T185" s="243" t="s">
        <v>63</v>
      </c>
      <c r="U185" s="114"/>
      <c r="V185" s="114"/>
      <c r="W185" s="114"/>
      <c r="X185" s="238"/>
      <c r="Y185" s="114"/>
      <c r="Z185" s="114"/>
      <c r="AA185" s="114"/>
      <c r="AB185" s="114"/>
      <c r="AC185" s="254"/>
      <c r="AD185" s="243"/>
      <c r="AE185" s="114"/>
      <c r="AF185" s="114"/>
      <c r="AG185" s="114"/>
      <c r="AH185" s="254"/>
    </row>
    <row r="186" spans="1:34" x14ac:dyDescent="0.25">
      <c r="A186" s="21">
        <v>4</v>
      </c>
      <c r="B186" s="133" t="str">
        <f>DATA!J13</f>
        <v>Anastain</v>
      </c>
      <c r="C186" s="113" t="s">
        <v>63</v>
      </c>
      <c r="D186" s="114"/>
      <c r="E186" s="114"/>
      <c r="F186" s="114"/>
      <c r="G186" s="254"/>
      <c r="H186" s="113"/>
      <c r="I186" s="114"/>
      <c r="J186" s="114"/>
      <c r="K186" s="114"/>
      <c r="L186" s="254"/>
      <c r="M186" s="113"/>
      <c r="N186" s="114"/>
      <c r="O186" s="114"/>
      <c r="P186" s="114"/>
      <c r="Q186" s="254"/>
      <c r="R186" s="331">
        <f t="shared" si="8"/>
        <v>4</v>
      </c>
      <c r="S186" s="332" t="str">
        <f t="shared" si="9"/>
        <v>Anastain</v>
      </c>
      <c r="T186" s="243" t="s">
        <v>63</v>
      </c>
      <c r="U186" s="114"/>
      <c r="V186" s="114"/>
      <c r="W186" s="114"/>
      <c r="X186" s="238"/>
      <c r="Y186" s="114"/>
      <c r="Z186" s="114"/>
      <c r="AA186" s="114"/>
      <c r="AB186" s="114"/>
      <c r="AC186" s="254"/>
      <c r="AD186" s="243"/>
      <c r="AE186" s="114"/>
      <c r="AF186" s="114"/>
      <c r="AG186" s="114"/>
      <c r="AH186" s="254"/>
    </row>
    <row r="187" spans="1:34" x14ac:dyDescent="0.25">
      <c r="A187" s="21">
        <v>5</v>
      </c>
      <c r="B187" s="133" t="str">
        <f>DATA!J14</f>
        <v>Angginia Regina Putri</v>
      </c>
      <c r="C187" s="113" t="s">
        <v>63</v>
      </c>
      <c r="D187" s="114"/>
      <c r="E187" s="114"/>
      <c r="F187" s="114"/>
      <c r="G187" s="254"/>
      <c r="H187" s="113"/>
      <c r="I187" s="114"/>
      <c r="J187" s="114"/>
      <c r="K187" s="114"/>
      <c r="L187" s="254"/>
      <c r="M187" s="113"/>
      <c r="N187" s="114"/>
      <c r="O187" s="114"/>
      <c r="P187" s="114"/>
      <c r="Q187" s="254"/>
      <c r="R187" s="331">
        <f t="shared" si="8"/>
        <v>5</v>
      </c>
      <c r="S187" s="332" t="str">
        <f t="shared" si="9"/>
        <v>Angginia Regina Putri</v>
      </c>
      <c r="T187" s="243" t="s">
        <v>63</v>
      </c>
      <c r="U187" s="114"/>
      <c r="V187" s="114"/>
      <c r="W187" s="114"/>
      <c r="X187" s="238"/>
      <c r="Y187" s="114"/>
      <c r="Z187" s="114"/>
      <c r="AA187" s="114"/>
      <c r="AB187" s="114"/>
      <c r="AC187" s="254"/>
      <c r="AD187" s="243"/>
      <c r="AE187" s="114"/>
      <c r="AF187" s="114"/>
      <c r="AG187" s="114"/>
      <c r="AH187" s="254"/>
    </row>
    <row r="188" spans="1:34" x14ac:dyDescent="0.25">
      <c r="A188" s="21">
        <v>6</v>
      </c>
      <c r="B188" s="133" t="str">
        <f>DATA!J15</f>
        <v>Arfan Faqih Al Hikam</v>
      </c>
      <c r="C188" s="113" t="s">
        <v>63</v>
      </c>
      <c r="D188" s="114"/>
      <c r="E188" s="114"/>
      <c r="F188" s="114"/>
      <c r="G188" s="254"/>
      <c r="H188" s="113"/>
      <c r="I188" s="114"/>
      <c r="J188" s="114"/>
      <c r="K188" s="114"/>
      <c r="L188" s="254"/>
      <c r="M188" s="113"/>
      <c r="N188" s="114"/>
      <c r="O188" s="114"/>
      <c r="P188" s="114"/>
      <c r="Q188" s="254"/>
      <c r="R188" s="331">
        <f t="shared" si="8"/>
        <v>6</v>
      </c>
      <c r="S188" s="332" t="str">
        <f t="shared" si="9"/>
        <v>Arfan Faqih Al Hikam</v>
      </c>
      <c r="T188" s="243" t="s">
        <v>63</v>
      </c>
      <c r="U188" s="114"/>
      <c r="V188" s="114"/>
      <c r="W188" s="114"/>
      <c r="X188" s="238"/>
      <c r="Y188" s="114"/>
      <c r="Z188" s="114"/>
      <c r="AA188" s="114"/>
      <c r="AB188" s="114"/>
      <c r="AC188" s="254"/>
      <c r="AD188" s="243"/>
      <c r="AE188" s="114"/>
      <c r="AF188" s="114"/>
      <c r="AG188" s="114"/>
      <c r="AH188" s="254"/>
    </row>
    <row r="189" spans="1:34" x14ac:dyDescent="0.25">
      <c r="A189" s="21">
        <v>7</v>
      </c>
      <c r="B189" s="133" t="str">
        <f>DATA!J16</f>
        <v>Bilqis Aura Dayinta</v>
      </c>
      <c r="C189" s="113" t="s">
        <v>63</v>
      </c>
      <c r="D189" s="114"/>
      <c r="E189" s="114"/>
      <c r="F189" s="114"/>
      <c r="G189" s="254"/>
      <c r="H189" s="113"/>
      <c r="I189" s="114"/>
      <c r="J189" s="114"/>
      <c r="K189" s="114"/>
      <c r="L189" s="254"/>
      <c r="M189" s="113"/>
      <c r="N189" s="114"/>
      <c r="O189" s="114"/>
      <c r="P189" s="114"/>
      <c r="Q189" s="254"/>
      <c r="R189" s="331">
        <f t="shared" si="8"/>
        <v>7</v>
      </c>
      <c r="S189" s="332" t="str">
        <f t="shared" si="9"/>
        <v>Bilqis Aura Dayinta</v>
      </c>
      <c r="T189" s="243" t="s">
        <v>63</v>
      </c>
      <c r="U189" s="114"/>
      <c r="V189" s="114"/>
      <c r="W189" s="114"/>
      <c r="X189" s="238"/>
      <c r="Y189" s="114"/>
      <c r="Z189" s="114"/>
      <c r="AA189" s="114"/>
      <c r="AB189" s="114"/>
      <c r="AC189" s="254"/>
      <c r="AD189" s="243"/>
      <c r="AE189" s="114"/>
      <c r="AF189" s="114"/>
      <c r="AG189" s="114"/>
      <c r="AH189" s="254"/>
    </row>
    <row r="190" spans="1:34" x14ac:dyDescent="0.25">
      <c r="A190" s="21">
        <v>8</v>
      </c>
      <c r="B190" s="133" t="str">
        <f>DATA!J17</f>
        <v>Chayril Arya Saputra</v>
      </c>
      <c r="C190" s="113" t="s">
        <v>63</v>
      </c>
      <c r="D190" s="114"/>
      <c r="E190" s="114"/>
      <c r="F190" s="114"/>
      <c r="G190" s="254"/>
      <c r="H190" s="113"/>
      <c r="I190" s="114"/>
      <c r="J190" s="114"/>
      <c r="K190" s="114"/>
      <c r="L190" s="254"/>
      <c r="M190" s="113"/>
      <c r="N190" s="114"/>
      <c r="O190" s="114"/>
      <c r="P190" s="114"/>
      <c r="Q190" s="254"/>
      <c r="R190" s="331">
        <f t="shared" si="8"/>
        <v>8</v>
      </c>
      <c r="S190" s="332" t="str">
        <f t="shared" si="9"/>
        <v>Chayril Arya Saputra</v>
      </c>
      <c r="T190" s="243" t="s">
        <v>63</v>
      </c>
      <c r="U190" s="114"/>
      <c r="V190" s="114"/>
      <c r="W190" s="114"/>
      <c r="X190" s="238"/>
      <c r="Y190" s="114"/>
      <c r="Z190" s="114"/>
      <c r="AA190" s="114"/>
      <c r="AB190" s="114"/>
      <c r="AC190" s="254"/>
      <c r="AD190" s="243"/>
      <c r="AE190" s="114"/>
      <c r="AF190" s="114"/>
      <c r="AG190" s="114"/>
      <c r="AH190" s="254"/>
    </row>
    <row r="191" spans="1:34" x14ac:dyDescent="0.25">
      <c r="A191" s="21">
        <v>9</v>
      </c>
      <c r="B191" s="133" t="str">
        <f>DATA!J18</f>
        <v>Dinda Cahya Kirana</v>
      </c>
      <c r="C191" s="113" t="s">
        <v>63</v>
      </c>
      <c r="D191" s="114"/>
      <c r="E191" s="114"/>
      <c r="F191" s="114"/>
      <c r="G191" s="254"/>
      <c r="H191" s="113"/>
      <c r="I191" s="114"/>
      <c r="J191" s="114"/>
      <c r="K191" s="114"/>
      <c r="L191" s="254"/>
      <c r="M191" s="113"/>
      <c r="N191" s="114"/>
      <c r="O191" s="114"/>
      <c r="P191" s="114"/>
      <c r="Q191" s="254"/>
      <c r="R191" s="331">
        <f t="shared" si="8"/>
        <v>9</v>
      </c>
      <c r="S191" s="332" t="str">
        <f t="shared" si="9"/>
        <v>Dinda Cahya Kirana</v>
      </c>
      <c r="T191" s="243" t="s">
        <v>63</v>
      </c>
      <c r="U191" s="114"/>
      <c r="V191" s="114"/>
      <c r="W191" s="114"/>
      <c r="X191" s="238"/>
      <c r="Y191" s="114"/>
      <c r="Z191" s="114"/>
      <c r="AA191" s="114"/>
      <c r="AB191" s="114"/>
      <c r="AC191" s="254"/>
      <c r="AD191" s="243"/>
      <c r="AE191" s="114"/>
      <c r="AF191" s="114"/>
      <c r="AG191" s="114"/>
      <c r="AH191" s="254"/>
    </row>
    <row r="192" spans="1:34" x14ac:dyDescent="0.25">
      <c r="A192" s="21">
        <v>10</v>
      </c>
      <c r="B192" s="133" t="str">
        <f>DATA!J19</f>
        <v>Farhan Safiy Devangga</v>
      </c>
      <c r="C192" s="113" t="s">
        <v>63</v>
      </c>
      <c r="D192" s="114"/>
      <c r="E192" s="114"/>
      <c r="F192" s="114"/>
      <c r="G192" s="254"/>
      <c r="H192" s="113"/>
      <c r="I192" s="114"/>
      <c r="J192" s="114"/>
      <c r="K192" s="114"/>
      <c r="L192" s="254"/>
      <c r="M192" s="113"/>
      <c r="N192" s="114"/>
      <c r="O192" s="114"/>
      <c r="P192" s="114"/>
      <c r="Q192" s="254"/>
      <c r="R192" s="331">
        <f t="shared" si="8"/>
        <v>10</v>
      </c>
      <c r="S192" s="332" t="str">
        <f t="shared" si="9"/>
        <v>Farhan Safiy Devangga</v>
      </c>
      <c r="T192" s="243" t="s">
        <v>63</v>
      </c>
      <c r="U192" s="114"/>
      <c r="V192" s="114"/>
      <c r="W192" s="114"/>
      <c r="X192" s="238"/>
      <c r="Y192" s="114"/>
      <c r="Z192" s="114"/>
      <c r="AA192" s="114"/>
      <c r="AB192" s="114"/>
      <c r="AC192" s="254"/>
      <c r="AD192" s="243"/>
      <c r="AE192" s="114"/>
      <c r="AF192" s="114"/>
      <c r="AG192" s="114"/>
      <c r="AH192" s="254"/>
    </row>
    <row r="193" spans="1:34" x14ac:dyDescent="0.25">
      <c r="A193" s="21">
        <v>11</v>
      </c>
      <c r="B193" s="133" t="str">
        <f>DATA!J20</f>
        <v>Herlin Eka Noviana</v>
      </c>
      <c r="C193" s="113" t="s">
        <v>63</v>
      </c>
      <c r="D193" s="114"/>
      <c r="E193" s="114"/>
      <c r="F193" s="114"/>
      <c r="G193" s="254"/>
      <c r="H193" s="113"/>
      <c r="I193" s="114"/>
      <c r="J193" s="114"/>
      <c r="K193" s="114"/>
      <c r="L193" s="254"/>
      <c r="M193" s="113"/>
      <c r="N193" s="114"/>
      <c r="O193" s="114"/>
      <c r="P193" s="114"/>
      <c r="Q193" s="254"/>
      <c r="R193" s="331">
        <f t="shared" si="8"/>
        <v>11</v>
      </c>
      <c r="S193" s="332" t="str">
        <f t="shared" si="9"/>
        <v>Herlin Eka Noviana</v>
      </c>
      <c r="T193" s="243" t="s">
        <v>63</v>
      </c>
      <c r="U193" s="114"/>
      <c r="V193" s="114"/>
      <c r="W193" s="114"/>
      <c r="X193" s="238"/>
      <c r="Y193" s="114"/>
      <c r="Z193" s="114"/>
      <c r="AA193" s="114"/>
      <c r="AB193" s="114"/>
      <c r="AC193" s="254"/>
      <c r="AD193" s="243"/>
      <c r="AE193" s="114"/>
      <c r="AF193" s="114"/>
      <c r="AG193" s="114"/>
      <c r="AH193" s="254"/>
    </row>
    <row r="194" spans="1:34" x14ac:dyDescent="0.25">
      <c r="A194" s="21">
        <v>12</v>
      </c>
      <c r="B194" s="133" t="str">
        <f>DATA!J21</f>
        <v>Irfan Al Khafidz</v>
      </c>
      <c r="C194" s="113" t="s">
        <v>63</v>
      </c>
      <c r="D194" s="114"/>
      <c r="E194" s="114"/>
      <c r="F194" s="114"/>
      <c r="G194" s="254"/>
      <c r="H194" s="113"/>
      <c r="I194" s="114"/>
      <c r="J194" s="114"/>
      <c r="K194" s="114"/>
      <c r="L194" s="254"/>
      <c r="M194" s="113"/>
      <c r="N194" s="114"/>
      <c r="O194" s="114"/>
      <c r="P194" s="114"/>
      <c r="Q194" s="254"/>
      <c r="R194" s="331">
        <f t="shared" si="8"/>
        <v>12</v>
      </c>
      <c r="S194" s="332" t="str">
        <f t="shared" si="9"/>
        <v>Irfan Al Khafidz</v>
      </c>
      <c r="T194" s="243" t="s">
        <v>63</v>
      </c>
      <c r="U194" s="114"/>
      <c r="V194" s="114"/>
      <c r="W194" s="114"/>
      <c r="X194" s="238"/>
      <c r="Y194" s="114"/>
      <c r="Z194" s="114"/>
      <c r="AA194" s="114"/>
      <c r="AB194" s="114"/>
      <c r="AC194" s="254"/>
      <c r="AD194" s="243"/>
      <c r="AE194" s="114"/>
      <c r="AF194" s="114"/>
      <c r="AG194" s="114"/>
      <c r="AH194" s="254"/>
    </row>
    <row r="195" spans="1:34" x14ac:dyDescent="0.25">
      <c r="A195" s="21">
        <v>13</v>
      </c>
      <c r="B195" s="133" t="str">
        <f>DATA!J22</f>
        <v>Mafaza Ayatussyifa</v>
      </c>
      <c r="C195" s="113" t="s">
        <v>63</v>
      </c>
      <c r="D195" s="114"/>
      <c r="E195" s="114"/>
      <c r="F195" s="114"/>
      <c r="G195" s="254"/>
      <c r="H195" s="113"/>
      <c r="I195" s="114"/>
      <c r="J195" s="114"/>
      <c r="K195" s="114"/>
      <c r="L195" s="254"/>
      <c r="M195" s="113"/>
      <c r="N195" s="114"/>
      <c r="O195" s="114"/>
      <c r="P195" s="114"/>
      <c r="Q195" s="254"/>
      <c r="R195" s="331">
        <f t="shared" si="8"/>
        <v>13</v>
      </c>
      <c r="S195" s="332" t="str">
        <f t="shared" si="9"/>
        <v>Mafaza Ayatussyifa</v>
      </c>
      <c r="T195" s="243" t="s">
        <v>63</v>
      </c>
      <c r="U195" s="114"/>
      <c r="V195" s="114"/>
      <c r="W195" s="114"/>
      <c r="X195" s="238"/>
      <c r="Y195" s="114"/>
      <c r="Z195" s="114"/>
      <c r="AA195" s="114"/>
      <c r="AB195" s="114"/>
      <c r="AC195" s="254"/>
      <c r="AD195" s="243"/>
      <c r="AE195" s="114"/>
      <c r="AF195" s="114"/>
      <c r="AG195" s="114"/>
      <c r="AH195" s="254"/>
    </row>
    <row r="196" spans="1:34" x14ac:dyDescent="0.25">
      <c r="A196" s="21">
        <v>14</v>
      </c>
      <c r="B196" s="133" t="str">
        <f>DATA!J23</f>
        <v>Mirzanatun Kuni Afifah</v>
      </c>
      <c r="C196" s="113" t="s">
        <v>63</v>
      </c>
      <c r="D196" s="114"/>
      <c r="E196" s="114"/>
      <c r="F196" s="114"/>
      <c r="G196" s="254"/>
      <c r="H196" s="113"/>
      <c r="I196" s="114"/>
      <c r="J196" s="114"/>
      <c r="K196" s="114"/>
      <c r="L196" s="254"/>
      <c r="M196" s="113"/>
      <c r="N196" s="114"/>
      <c r="O196" s="114"/>
      <c r="P196" s="114"/>
      <c r="Q196" s="254"/>
      <c r="R196" s="331">
        <f t="shared" si="8"/>
        <v>14</v>
      </c>
      <c r="S196" s="332" t="str">
        <f t="shared" si="9"/>
        <v>Mirzanatun Kuni Afifah</v>
      </c>
      <c r="T196" s="243" t="s">
        <v>63</v>
      </c>
      <c r="U196" s="114"/>
      <c r="V196" s="114"/>
      <c r="W196" s="114"/>
      <c r="X196" s="238"/>
      <c r="Y196" s="114"/>
      <c r="Z196" s="114"/>
      <c r="AA196" s="114"/>
      <c r="AB196" s="114"/>
      <c r="AC196" s="254"/>
      <c r="AD196" s="243"/>
      <c r="AE196" s="114"/>
      <c r="AF196" s="114"/>
      <c r="AG196" s="114"/>
      <c r="AH196" s="254"/>
    </row>
    <row r="197" spans="1:34" x14ac:dyDescent="0.25">
      <c r="A197" s="21">
        <v>15</v>
      </c>
      <c r="B197" s="133" t="str">
        <f>DATA!J24</f>
        <v>Muhammad Adil Chizqi Azwan</v>
      </c>
      <c r="C197" s="113" t="s">
        <v>63</v>
      </c>
      <c r="D197" s="114"/>
      <c r="E197" s="114"/>
      <c r="F197" s="114"/>
      <c r="G197" s="254"/>
      <c r="H197" s="113"/>
      <c r="I197" s="114"/>
      <c r="J197" s="114"/>
      <c r="K197" s="114"/>
      <c r="L197" s="254"/>
      <c r="M197" s="113"/>
      <c r="N197" s="114"/>
      <c r="O197" s="114"/>
      <c r="P197" s="114"/>
      <c r="Q197" s="254"/>
      <c r="R197" s="331">
        <f t="shared" si="8"/>
        <v>15</v>
      </c>
      <c r="S197" s="332" t="str">
        <f t="shared" si="9"/>
        <v>Muhammad Adil Chizqi Azwan</v>
      </c>
      <c r="T197" s="243" t="s">
        <v>63</v>
      </c>
      <c r="U197" s="114"/>
      <c r="V197" s="114"/>
      <c r="W197" s="114"/>
      <c r="X197" s="238"/>
      <c r="Y197" s="114"/>
      <c r="Z197" s="114"/>
      <c r="AA197" s="114"/>
      <c r="AB197" s="114"/>
      <c r="AC197" s="254"/>
      <c r="AD197" s="243"/>
      <c r="AE197" s="114"/>
      <c r="AF197" s="114"/>
      <c r="AG197" s="114"/>
      <c r="AH197" s="254"/>
    </row>
    <row r="198" spans="1:34" x14ac:dyDescent="0.25">
      <c r="A198" s="21">
        <v>16</v>
      </c>
      <c r="B198" s="133" t="str">
        <f>DATA!J25</f>
        <v>Muhammad Alif Aditya Hartafi</v>
      </c>
      <c r="C198" s="113" t="s">
        <v>63</v>
      </c>
      <c r="D198" s="114"/>
      <c r="E198" s="114"/>
      <c r="F198" s="114"/>
      <c r="G198" s="254"/>
      <c r="H198" s="113"/>
      <c r="I198" s="114"/>
      <c r="J198" s="114"/>
      <c r="K198" s="114"/>
      <c r="L198" s="254"/>
      <c r="M198" s="113"/>
      <c r="N198" s="114"/>
      <c r="O198" s="114"/>
      <c r="P198" s="114"/>
      <c r="Q198" s="254"/>
      <c r="R198" s="331">
        <f t="shared" si="8"/>
        <v>16</v>
      </c>
      <c r="S198" s="332" t="str">
        <f t="shared" si="9"/>
        <v>Muhammad Alif Aditya Hartafi</v>
      </c>
      <c r="T198" s="243" t="s">
        <v>63</v>
      </c>
      <c r="U198" s="114"/>
      <c r="V198" s="114"/>
      <c r="W198" s="114"/>
      <c r="X198" s="238"/>
      <c r="Y198" s="114"/>
      <c r="Z198" s="114"/>
      <c r="AA198" s="114"/>
      <c r="AB198" s="114"/>
      <c r="AC198" s="254"/>
      <c r="AD198" s="243"/>
      <c r="AE198" s="114"/>
      <c r="AF198" s="114"/>
      <c r="AG198" s="114"/>
      <c r="AH198" s="254"/>
    </row>
    <row r="199" spans="1:34" x14ac:dyDescent="0.25">
      <c r="A199" s="21">
        <v>17</v>
      </c>
      <c r="B199" s="133" t="str">
        <f>DATA!J26</f>
        <v>Muhammad Azid Syaifurridho</v>
      </c>
      <c r="C199" s="113" t="s">
        <v>63</v>
      </c>
      <c r="D199" s="114"/>
      <c r="E199" s="114"/>
      <c r="F199" s="114"/>
      <c r="G199" s="254"/>
      <c r="H199" s="113"/>
      <c r="I199" s="114"/>
      <c r="J199" s="114"/>
      <c r="K199" s="114"/>
      <c r="L199" s="254"/>
      <c r="M199" s="113"/>
      <c r="N199" s="114"/>
      <c r="O199" s="114"/>
      <c r="P199" s="114"/>
      <c r="Q199" s="254"/>
      <c r="R199" s="331">
        <f t="shared" si="8"/>
        <v>17</v>
      </c>
      <c r="S199" s="332" t="str">
        <f t="shared" si="9"/>
        <v>Muhammad Azid Syaifurridho</v>
      </c>
      <c r="T199" s="243" t="s">
        <v>63</v>
      </c>
      <c r="U199" s="114"/>
      <c r="V199" s="114"/>
      <c r="W199" s="114"/>
      <c r="X199" s="238"/>
      <c r="Y199" s="114"/>
      <c r="Z199" s="114"/>
      <c r="AA199" s="114"/>
      <c r="AB199" s="114"/>
      <c r="AC199" s="254"/>
      <c r="AD199" s="243"/>
      <c r="AE199" s="114"/>
      <c r="AF199" s="114"/>
      <c r="AG199" s="114"/>
      <c r="AH199" s="254"/>
    </row>
    <row r="200" spans="1:34" x14ac:dyDescent="0.25">
      <c r="A200" s="21">
        <v>18</v>
      </c>
      <c r="B200" s="133" t="str">
        <f>DATA!J27</f>
        <v>Muhammad Hayqal Al Farizzi</v>
      </c>
      <c r="C200" s="113" t="s">
        <v>63</v>
      </c>
      <c r="D200" s="114"/>
      <c r="E200" s="114"/>
      <c r="F200" s="114"/>
      <c r="G200" s="254"/>
      <c r="H200" s="113"/>
      <c r="I200" s="114"/>
      <c r="J200" s="114"/>
      <c r="K200" s="114"/>
      <c r="L200" s="254"/>
      <c r="M200" s="113"/>
      <c r="N200" s="114"/>
      <c r="O200" s="114"/>
      <c r="P200" s="114"/>
      <c r="Q200" s="254"/>
      <c r="R200" s="331">
        <f t="shared" si="8"/>
        <v>18</v>
      </c>
      <c r="S200" s="332" t="str">
        <f t="shared" si="9"/>
        <v>Muhammad Hayqal Al Farizzi</v>
      </c>
      <c r="T200" s="243" t="s">
        <v>63</v>
      </c>
      <c r="U200" s="114"/>
      <c r="V200" s="114"/>
      <c r="W200" s="114"/>
      <c r="X200" s="238"/>
      <c r="Y200" s="114"/>
      <c r="Z200" s="114"/>
      <c r="AA200" s="114"/>
      <c r="AB200" s="114"/>
      <c r="AC200" s="254"/>
      <c r="AD200" s="243"/>
      <c r="AE200" s="114"/>
      <c r="AF200" s="114"/>
      <c r="AG200" s="114"/>
      <c r="AH200" s="254"/>
    </row>
    <row r="201" spans="1:34" x14ac:dyDescent="0.25">
      <c r="A201" s="21">
        <v>19</v>
      </c>
      <c r="B201" s="133" t="str">
        <f>DATA!J28</f>
        <v>Muhammad Shobar Shodiq</v>
      </c>
      <c r="C201" s="113" t="s">
        <v>63</v>
      </c>
      <c r="D201" s="114"/>
      <c r="E201" s="114"/>
      <c r="F201" s="114"/>
      <c r="G201" s="254"/>
      <c r="H201" s="113"/>
      <c r="I201" s="114"/>
      <c r="J201" s="114"/>
      <c r="K201" s="114"/>
      <c r="L201" s="254"/>
      <c r="M201" s="113"/>
      <c r="N201" s="114"/>
      <c r="O201" s="114"/>
      <c r="P201" s="114"/>
      <c r="Q201" s="254"/>
      <c r="R201" s="331">
        <f t="shared" si="8"/>
        <v>19</v>
      </c>
      <c r="S201" s="332" t="str">
        <f t="shared" si="9"/>
        <v>Muhammad Shobar Shodiq</v>
      </c>
      <c r="T201" s="243" t="s">
        <v>63</v>
      </c>
      <c r="U201" s="114"/>
      <c r="V201" s="114"/>
      <c r="W201" s="114"/>
      <c r="X201" s="238"/>
      <c r="Y201" s="114"/>
      <c r="Z201" s="114"/>
      <c r="AA201" s="114"/>
      <c r="AB201" s="114"/>
      <c r="AC201" s="254"/>
      <c r="AD201" s="243"/>
      <c r="AE201" s="114"/>
      <c r="AF201" s="114"/>
      <c r="AG201" s="114"/>
      <c r="AH201" s="254"/>
    </row>
    <row r="202" spans="1:34" x14ac:dyDescent="0.25">
      <c r="A202" s="21">
        <v>20</v>
      </c>
      <c r="B202" s="133" t="str">
        <f>DATA!J29</f>
        <v>Nabila Putri Noor Maulidhanti</v>
      </c>
      <c r="C202" s="113" t="s">
        <v>63</v>
      </c>
      <c r="D202" s="114"/>
      <c r="E202" s="114"/>
      <c r="F202" s="114"/>
      <c r="G202" s="254"/>
      <c r="H202" s="113"/>
      <c r="I202" s="114"/>
      <c r="J202" s="114"/>
      <c r="K202" s="114"/>
      <c r="L202" s="254"/>
      <c r="M202" s="113"/>
      <c r="N202" s="114"/>
      <c r="O202" s="114"/>
      <c r="P202" s="114"/>
      <c r="Q202" s="254"/>
      <c r="R202" s="331">
        <f t="shared" si="8"/>
        <v>20</v>
      </c>
      <c r="S202" s="332" t="str">
        <f t="shared" si="9"/>
        <v>Nabila Putri Noor Maulidhanti</v>
      </c>
      <c r="T202" s="243" t="s">
        <v>63</v>
      </c>
      <c r="U202" s="114"/>
      <c r="V202" s="114"/>
      <c r="W202" s="114"/>
      <c r="X202" s="238"/>
      <c r="Y202" s="114"/>
      <c r="Z202" s="114"/>
      <c r="AA202" s="114"/>
      <c r="AB202" s="114"/>
      <c r="AC202" s="254"/>
      <c r="AD202" s="243"/>
      <c r="AE202" s="114"/>
      <c r="AF202" s="114"/>
      <c r="AG202" s="114"/>
      <c r="AH202" s="254"/>
    </row>
    <row r="203" spans="1:34" x14ac:dyDescent="0.25">
      <c r="A203" s="21">
        <v>21</v>
      </c>
      <c r="B203" s="133" t="str">
        <f>DATA!J30</f>
        <v>Naila Faizatis Syifa</v>
      </c>
      <c r="C203" s="113" t="s">
        <v>63</v>
      </c>
      <c r="D203" s="114"/>
      <c r="E203" s="114"/>
      <c r="F203" s="114"/>
      <c r="G203" s="254"/>
      <c r="H203" s="113"/>
      <c r="I203" s="114"/>
      <c r="J203" s="114"/>
      <c r="K203" s="114"/>
      <c r="L203" s="254"/>
      <c r="M203" s="113"/>
      <c r="N203" s="114"/>
      <c r="O203" s="114"/>
      <c r="P203" s="114"/>
      <c r="Q203" s="254"/>
      <c r="R203" s="331">
        <f t="shared" si="8"/>
        <v>21</v>
      </c>
      <c r="S203" s="332" t="str">
        <f t="shared" si="9"/>
        <v>Naila Faizatis Syifa</v>
      </c>
      <c r="T203" s="243" t="s">
        <v>63</v>
      </c>
      <c r="U203" s="114"/>
      <c r="V203" s="114"/>
      <c r="W203" s="114"/>
      <c r="X203" s="238"/>
      <c r="Y203" s="114"/>
      <c r="Z203" s="114"/>
      <c r="AA203" s="114"/>
      <c r="AB203" s="114"/>
      <c r="AC203" s="254"/>
      <c r="AD203" s="243"/>
      <c r="AE203" s="114"/>
      <c r="AF203" s="114"/>
      <c r="AG203" s="114"/>
      <c r="AH203" s="254"/>
    </row>
    <row r="204" spans="1:34" x14ac:dyDescent="0.25">
      <c r="A204" s="21">
        <v>22</v>
      </c>
      <c r="B204" s="133" t="str">
        <f>DATA!J31</f>
        <v>Nur Hijrah Maudhina</v>
      </c>
      <c r="C204" s="113" t="s">
        <v>63</v>
      </c>
      <c r="D204" s="114"/>
      <c r="E204" s="114"/>
      <c r="F204" s="114"/>
      <c r="G204" s="254"/>
      <c r="H204" s="113"/>
      <c r="I204" s="114"/>
      <c r="J204" s="114"/>
      <c r="K204" s="114"/>
      <c r="L204" s="254"/>
      <c r="M204" s="113"/>
      <c r="N204" s="114"/>
      <c r="O204" s="114"/>
      <c r="P204" s="114"/>
      <c r="Q204" s="254"/>
      <c r="R204" s="331">
        <f t="shared" si="8"/>
        <v>22</v>
      </c>
      <c r="S204" s="332" t="str">
        <f t="shared" si="9"/>
        <v>Nur Hijrah Maudhina</v>
      </c>
      <c r="T204" s="243" t="s">
        <v>63</v>
      </c>
      <c r="U204" s="114"/>
      <c r="V204" s="114"/>
      <c r="W204" s="114"/>
      <c r="X204" s="238"/>
      <c r="Y204" s="114"/>
      <c r="Z204" s="114"/>
      <c r="AA204" s="114"/>
      <c r="AB204" s="114"/>
      <c r="AC204" s="254"/>
      <c r="AD204" s="243"/>
      <c r="AE204" s="114"/>
      <c r="AF204" s="114"/>
      <c r="AG204" s="114"/>
      <c r="AH204" s="254"/>
    </row>
    <row r="205" spans="1:34" x14ac:dyDescent="0.25">
      <c r="A205" s="21">
        <v>23</v>
      </c>
      <c r="B205" s="133" t="str">
        <f>DATA!J32</f>
        <v>Ozil Azzariat</v>
      </c>
      <c r="C205" s="113" t="s">
        <v>63</v>
      </c>
      <c r="D205" s="114"/>
      <c r="E205" s="114"/>
      <c r="F205" s="114"/>
      <c r="G205" s="254"/>
      <c r="H205" s="113"/>
      <c r="I205" s="114"/>
      <c r="J205" s="114"/>
      <c r="K205" s="114"/>
      <c r="L205" s="254"/>
      <c r="M205" s="113"/>
      <c r="N205" s="114"/>
      <c r="O205" s="114"/>
      <c r="P205" s="114"/>
      <c r="Q205" s="254"/>
      <c r="R205" s="331">
        <f t="shared" si="8"/>
        <v>23</v>
      </c>
      <c r="S205" s="332" t="str">
        <f t="shared" si="9"/>
        <v>Ozil Azzariat</v>
      </c>
      <c r="T205" s="243" t="s">
        <v>63</v>
      </c>
      <c r="U205" s="114"/>
      <c r="V205" s="114"/>
      <c r="W205" s="114"/>
      <c r="X205" s="238"/>
      <c r="Y205" s="114"/>
      <c r="Z205" s="114"/>
      <c r="AA205" s="114"/>
      <c r="AB205" s="114"/>
      <c r="AC205" s="254"/>
      <c r="AD205" s="243"/>
      <c r="AE205" s="114"/>
      <c r="AF205" s="114"/>
      <c r="AG205" s="114"/>
      <c r="AH205" s="254"/>
    </row>
    <row r="206" spans="1:34" x14ac:dyDescent="0.25">
      <c r="A206" s="21">
        <v>24</v>
      </c>
      <c r="B206" s="133" t="str">
        <f>DATA!J33</f>
        <v>Pranata Diaz Saputra</v>
      </c>
      <c r="C206" s="113" t="s">
        <v>63</v>
      </c>
      <c r="D206" s="114"/>
      <c r="E206" s="114"/>
      <c r="F206" s="114"/>
      <c r="G206" s="254"/>
      <c r="H206" s="113"/>
      <c r="I206" s="114"/>
      <c r="J206" s="114"/>
      <c r="K206" s="114"/>
      <c r="L206" s="254"/>
      <c r="M206" s="113"/>
      <c r="N206" s="114"/>
      <c r="O206" s="114"/>
      <c r="P206" s="114"/>
      <c r="Q206" s="254"/>
      <c r="R206" s="331">
        <f t="shared" si="8"/>
        <v>24</v>
      </c>
      <c r="S206" s="332" t="str">
        <f t="shared" si="9"/>
        <v>Pranata Diaz Saputra</v>
      </c>
      <c r="T206" s="243" t="s">
        <v>63</v>
      </c>
      <c r="U206" s="114"/>
      <c r="V206" s="114"/>
      <c r="W206" s="114"/>
      <c r="X206" s="238"/>
      <c r="Y206" s="114"/>
      <c r="Z206" s="114"/>
      <c r="AA206" s="114"/>
      <c r="AB206" s="114"/>
      <c r="AC206" s="254"/>
      <c r="AD206" s="243"/>
      <c r="AE206" s="114"/>
      <c r="AF206" s="114"/>
      <c r="AG206" s="114"/>
      <c r="AH206" s="254"/>
    </row>
    <row r="207" spans="1:34" x14ac:dyDescent="0.25">
      <c r="A207" s="21">
        <v>25</v>
      </c>
      <c r="B207" s="133" t="str">
        <f>DATA!J34</f>
        <v>Rafki Bais Abimanyu</v>
      </c>
      <c r="C207" s="113" t="s">
        <v>63</v>
      </c>
      <c r="D207" s="114"/>
      <c r="E207" s="114"/>
      <c r="F207" s="114"/>
      <c r="G207" s="254"/>
      <c r="H207" s="113"/>
      <c r="I207" s="114"/>
      <c r="J207" s="114"/>
      <c r="K207" s="114"/>
      <c r="L207" s="254"/>
      <c r="M207" s="113"/>
      <c r="N207" s="114"/>
      <c r="O207" s="114"/>
      <c r="P207" s="114"/>
      <c r="Q207" s="254"/>
      <c r="R207" s="331">
        <f t="shared" si="8"/>
        <v>25</v>
      </c>
      <c r="S207" s="332" t="str">
        <f t="shared" si="9"/>
        <v>Rafki Bais Abimanyu</v>
      </c>
      <c r="T207" s="243" t="s">
        <v>63</v>
      </c>
      <c r="U207" s="114"/>
      <c r="V207" s="114"/>
      <c r="W207" s="114"/>
      <c r="X207" s="238"/>
      <c r="Y207" s="114"/>
      <c r="Z207" s="114"/>
      <c r="AA207" s="114"/>
      <c r="AB207" s="114"/>
      <c r="AC207" s="254"/>
      <c r="AD207" s="243"/>
      <c r="AE207" s="114"/>
      <c r="AF207" s="114"/>
      <c r="AG207" s="114"/>
      <c r="AH207" s="254"/>
    </row>
    <row r="208" spans="1:34" x14ac:dyDescent="0.25">
      <c r="A208" s="21">
        <v>26</v>
      </c>
      <c r="B208" s="133" t="str">
        <f>DATA!J35</f>
        <v>Risma Liana Gita Pratiwi</v>
      </c>
      <c r="C208" s="113" t="s">
        <v>63</v>
      </c>
      <c r="D208" s="114"/>
      <c r="E208" s="114"/>
      <c r="F208" s="114"/>
      <c r="G208" s="254"/>
      <c r="H208" s="113"/>
      <c r="I208" s="114"/>
      <c r="J208" s="114"/>
      <c r="K208" s="114"/>
      <c r="L208" s="254"/>
      <c r="M208" s="113"/>
      <c r="N208" s="114"/>
      <c r="O208" s="114"/>
      <c r="P208" s="114"/>
      <c r="Q208" s="254"/>
      <c r="R208" s="331">
        <f t="shared" si="8"/>
        <v>26</v>
      </c>
      <c r="S208" s="332" t="str">
        <f t="shared" si="9"/>
        <v>Risma Liana Gita Pratiwi</v>
      </c>
      <c r="T208" s="243" t="s">
        <v>63</v>
      </c>
      <c r="U208" s="114"/>
      <c r="V208" s="114"/>
      <c r="W208" s="114"/>
      <c r="X208" s="238"/>
      <c r="Y208" s="114"/>
      <c r="Z208" s="114"/>
      <c r="AA208" s="114"/>
      <c r="AB208" s="114"/>
      <c r="AC208" s="254"/>
      <c r="AD208" s="243"/>
      <c r="AE208" s="114"/>
      <c r="AF208" s="114"/>
      <c r="AG208" s="114"/>
      <c r="AH208" s="254"/>
    </row>
    <row r="209" spans="1:34" x14ac:dyDescent="0.25">
      <c r="A209" s="21">
        <v>27</v>
      </c>
      <c r="B209" s="133" t="str">
        <f>DATA!J36</f>
        <v>Rizky Bagoes Sasongko</v>
      </c>
      <c r="C209" s="113" t="s">
        <v>63</v>
      </c>
      <c r="D209" s="114"/>
      <c r="E209" s="114"/>
      <c r="F209" s="114"/>
      <c r="G209" s="254"/>
      <c r="H209" s="113"/>
      <c r="I209" s="114"/>
      <c r="J209" s="114"/>
      <c r="K209" s="114"/>
      <c r="L209" s="254"/>
      <c r="M209" s="113"/>
      <c r="N209" s="114"/>
      <c r="O209" s="114"/>
      <c r="P209" s="114"/>
      <c r="Q209" s="254"/>
      <c r="R209" s="331">
        <f t="shared" si="8"/>
        <v>27</v>
      </c>
      <c r="S209" s="332" t="str">
        <f t="shared" si="9"/>
        <v>Rizky Bagoes Sasongko</v>
      </c>
      <c r="T209" s="243" t="s">
        <v>63</v>
      </c>
      <c r="U209" s="114"/>
      <c r="V209" s="114"/>
      <c r="W209" s="114"/>
      <c r="X209" s="238"/>
      <c r="Y209" s="114"/>
      <c r="Z209" s="114"/>
      <c r="AA209" s="114"/>
      <c r="AB209" s="114"/>
      <c r="AC209" s="254"/>
      <c r="AD209" s="243"/>
      <c r="AE209" s="114"/>
      <c r="AF209" s="114"/>
      <c r="AG209" s="114"/>
      <c r="AH209" s="254"/>
    </row>
    <row r="210" spans="1:34" x14ac:dyDescent="0.25">
      <c r="A210" s="21">
        <v>28</v>
      </c>
      <c r="B210" s="133" t="str">
        <f>DATA!J37</f>
        <v>Thalita Nava Ailsanti</v>
      </c>
      <c r="C210" s="113" t="s">
        <v>63</v>
      </c>
      <c r="D210" s="114"/>
      <c r="E210" s="114"/>
      <c r="F210" s="114"/>
      <c r="G210" s="254"/>
      <c r="H210" s="113"/>
      <c r="I210" s="114"/>
      <c r="J210" s="114"/>
      <c r="K210" s="114"/>
      <c r="L210" s="254"/>
      <c r="M210" s="113"/>
      <c r="N210" s="114"/>
      <c r="O210" s="114"/>
      <c r="P210" s="114"/>
      <c r="Q210" s="254"/>
      <c r="R210" s="331">
        <f t="shared" si="8"/>
        <v>28</v>
      </c>
      <c r="S210" s="332" t="str">
        <f t="shared" si="9"/>
        <v>Thalita Nava Ailsanti</v>
      </c>
      <c r="T210" s="243" t="s">
        <v>63</v>
      </c>
      <c r="U210" s="114"/>
      <c r="V210" s="114"/>
      <c r="W210" s="114"/>
      <c r="X210" s="238"/>
      <c r="Y210" s="114"/>
      <c r="Z210" s="114"/>
      <c r="AA210" s="114"/>
      <c r="AB210" s="114"/>
      <c r="AC210" s="254"/>
      <c r="AD210" s="243"/>
      <c r="AE210" s="114"/>
      <c r="AF210" s="114"/>
      <c r="AG210" s="114"/>
      <c r="AH210" s="254"/>
    </row>
    <row r="211" spans="1:34" x14ac:dyDescent="0.25">
      <c r="A211" s="21">
        <v>29</v>
      </c>
      <c r="B211" s="133" t="str">
        <f>DATA!J38</f>
        <v>Wahid Sulistiyo</v>
      </c>
      <c r="C211" s="113" t="s">
        <v>63</v>
      </c>
      <c r="D211" s="114"/>
      <c r="E211" s="114"/>
      <c r="F211" s="114"/>
      <c r="G211" s="254"/>
      <c r="H211" s="113"/>
      <c r="I211" s="114"/>
      <c r="J211" s="114"/>
      <c r="K211" s="114"/>
      <c r="L211" s="254"/>
      <c r="M211" s="113"/>
      <c r="N211" s="114"/>
      <c r="O211" s="114"/>
      <c r="P211" s="114"/>
      <c r="Q211" s="254"/>
      <c r="R211" s="331">
        <f t="shared" si="8"/>
        <v>29</v>
      </c>
      <c r="S211" s="332" t="str">
        <f t="shared" si="9"/>
        <v>Wahid Sulistiyo</v>
      </c>
      <c r="T211" s="243" t="s">
        <v>63</v>
      </c>
      <c r="U211" s="114"/>
      <c r="V211" s="114"/>
      <c r="W211" s="114"/>
      <c r="X211" s="238"/>
      <c r="Y211" s="114"/>
      <c r="Z211" s="114"/>
      <c r="AA211" s="114"/>
      <c r="AB211" s="114"/>
      <c r="AC211" s="254"/>
      <c r="AD211" s="243"/>
      <c r="AE211" s="114"/>
      <c r="AF211" s="114"/>
      <c r="AG211" s="114"/>
      <c r="AH211" s="254"/>
    </row>
    <row r="212" spans="1:34" x14ac:dyDescent="0.25">
      <c r="A212" s="21">
        <v>30</v>
      </c>
      <c r="B212" s="133" t="str">
        <f>DATA!J39</f>
        <v>Yanuar Putra Akbar</v>
      </c>
      <c r="C212" s="113" t="s">
        <v>63</v>
      </c>
      <c r="D212" s="114"/>
      <c r="E212" s="114"/>
      <c r="F212" s="114"/>
      <c r="G212" s="254"/>
      <c r="H212" s="113"/>
      <c r="I212" s="114"/>
      <c r="J212" s="114"/>
      <c r="K212" s="114"/>
      <c r="L212" s="254"/>
      <c r="M212" s="113"/>
      <c r="N212" s="114"/>
      <c r="O212" s="114"/>
      <c r="P212" s="114"/>
      <c r="Q212" s="254"/>
      <c r="R212" s="331">
        <f t="shared" si="8"/>
        <v>30</v>
      </c>
      <c r="S212" s="332" t="str">
        <f t="shared" si="9"/>
        <v>Yanuar Putra Akbar</v>
      </c>
      <c r="T212" s="243" t="s">
        <v>63</v>
      </c>
      <c r="U212" s="114"/>
      <c r="V212" s="114"/>
      <c r="W212" s="114"/>
      <c r="X212" s="238"/>
      <c r="Y212" s="114"/>
      <c r="Z212" s="114"/>
      <c r="AA212" s="114"/>
      <c r="AB212" s="114"/>
      <c r="AC212" s="254"/>
      <c r="AD212" s="243"/>
      <c r="AE212" s="114"/>
      <c r="AF212" s="114"/>
      <c r="AG212" s="114"/>
      <c r="AH212" s="254"/>
    </row>
    <row r="213" spans="1:34" x14ac:dyDescent="0.25">
      <c r="A213" s="21">
        <v>31</v>
      </c>
      <c r="B213" s="133">
        <f>DATA!J40</f>
        <v>0</v>
      </c>
      <c r="C213" s="113" t="s">
        <v>63</v>
      </c>
      <c r="D213" s="114"/>
      <c r="E213" s="114"/>
      <c r="F213" s="114"/>
      <c r="G213" s="254"/>
      <c r="H213" s="113"/>
      <c r="I213" s="114"/>
      <c r="J213" s="114"/>
      <c r="K213" s="114"/>
      <c r="L213" s="254"/>
      <c r="M213" s="113"/>
      <c r="N213" s="114"/>
      <c r="O213" s="114"/>
      <c r="P213" s="114"/>
      <c r="Q213" s="254"/>
      <c r="R213" s="331">
        <f t="shared" si="8"/>
        <v>31</v>
      </c>
      <c r="S213" s="332">
        <f t="shared" si="9"/>
        <v>0</v>
      </c>
      <c r="T213" s="243" t="s">
        <v>63</v>
      </c>
      <c r="U213" s="114"/>
      <c r="V213" s="114"/>
      <c r="W213" s="114"/>
      <c r="X213" s="238"/>
      <c r="Y213" s="114"/>
      <c r="Z213" s="114"/>
      <c r="AA213" s="114"/>
      <c r="AB213" s="114"/>
      <c r="AC213" s="254"/>
      <c r="AD213" s="243"/>
      <c r="AE213" s="114"/>
      <c r="AF213" s="114"/>
      <c r="AG213" s="114"/>
      <c r="AH213" s="254"/>
    </row>
    <row r="214" spans="1:34" x14ac:dyDescent="0.25">
      <c r="A214" s="21">
        <v>32</v>
      </c>
      <c r="B214" s="133">
        <f>DATA!J41</f>
        <v>0</v>
      </c>
      <c r="C214" s="113" t="s">
        <v>63</v>
      </c>
      <c r="D214" s="114"/>
      <c r="E214" s="114"/>
      <c r="F214" s="114"/>
      <c r="G214" s="254"/>
      <c r="H214" s="113"/>
      <c r="I214" s="114"/>
      <c r="J214" s="114"/>
      <c r="K214" s="114"/>
      <c r="L214" s="254"/>
      <c r="M214" s="113"/>
      <c r="N214" s="114"/>
      <c r="O214" s="114"/>
      <c r="P214" s="114"/>
      <c r="Q214" s="254"/>
      <c r="R214" s="331">
        <f t="shared" si="8"/>
        <v>32</v>
      </c>
      <c r="S214" s="332">
        <f t="shared" si="9"/>
        <v>0</v>
      </c>
      <c r="T214" s="243" t="s">
        <v>63</v>
      </c>
      <c r="U214" s="114"/>
      <c r="V214" s="114"/>
      <c r="W214" s="114"/>
      <c r="X214" s="238"/>
      <c r="Y214" s="114"/>
      <c r="Z214" s="114"/>
      <c r="AA214" s="114"/>
      <c r="AB214" s="114"/>
      <c r="AC214" s="254"/>
      <c r="AD214" s="243"/>
      <c r="AE214" s="114"/>
      <c r="AF214" s="114"/>
      <c r="AG214" s="114"/>
      <c r="AH214" s="254"/>
    </row>
    <row r="215" spans="1:34" x14ac:dyDescent="0.25">
      <c r="A215" s="21">
        <v>33</v>
      </c>
      <c r="B215" s="133">
        <f>DATA!J42</f>
        <v>0</v>
      </c>
      <c r="C215" s="113"/>
      <c r="D215" s="114"/>
      <c r="E215" s="114"/>
      <c r="F215" s="114"/>
      <c r="G215" s="254"/>
      <c r="H215" s="113"/>
      <c r="I215" s="114"/>
      <c r="J215" s="114"/>
      <c r="K215" s="114"/>
      <c r="L215" s="254"/>
      <c r="M215" s="113"/>
      <c r="N215" s="114"/>
      <c r="O215" s="114"/>
      <c r="P215" s="114"/>
      <c r="Q215" s="254"/>
      <c r="R215" s="331"/>
      <c r="S215" s="332"/>
      <c r="T215" s="243" t="s">
        <v>63</v>
      </c>
      <c r="U215" s="114"/>
      <c r="V215" s="114"/>
      <c r="W215" s="114"/>
      <c r="X215" s="238"/>
      <c r="Y215" s="114"/>
      <c r="Z215" s="114"/>
      <c r="AA215" s="114"/>
      <c r="AB215" s="114"/>
      <c r="AC215" s="254"/>
      <c r="AD215" s="243"/>
      <c r="AE215" s="114"/>
      <c r="AF215" s="114"/>
      <c r="AG215" s="114"/>
      <c r="AH215" s="254"/>
    </row>
    <row r="216" spans="1:34" x14ac:dyDescent="0.25">
      <c r="A216" s="21">
        <v>34</v>
      </c>
      <c r="B216" s="133"/>
      <c r="C216" s="113"/>
      <c r="D216" s="114"/>
      <c r="E216" s="114"/>
      <c r="F216" s="114"/>
      <c r="G216" s="254"/>
      <c r="H216" s="113"/>
      <c r="I216" s="114"/>
      <c r="J216" s="114"/>
      <c r="K216" s="114"/>
      <c r="L216" s="254"/>
      <c r="M216" s="113"/>
      <c r="N216" s="114"/>
      <c r="O216" s="114"/>
      <c r="P216" s="114"/>
      <c r="Q216" s="254"/>
      <c r="R216" s="331"/>
      <c r="S216" s="332"/>
      <c r="T216" s="243" t="s">
        <v>63</v>
      </c>
      <c r="U216" s="114"/>
      <c r="V216" s="114"/>
      <c r="W216" s="114"/>
      <c r="X216" s="238"/>
      <c r="Y216" s="114"/>
      <c r="Z216" s="114"/>
      <c r="AA216" s="114"/>
      <c r="AB216" s="114"/>
      <c r="AC216" s="254"/>
      <c r="AD216" s="243"/>
      <c r="AE216" s="114"/>
      <c r="AF216" s="114"/>
      <c r="AG216" s="114"/>
      <c r="AH216" s="254"/>
    </row>
    <row r="217" spans="1:34" x14ac:dyDescent="0.25">
      <c r="A217" s="21">
        <v>35</v>
      </c>
      <c r="B217" s="161"/>
      <c r="C217" s="113"/>
      <c r="D217" s="115"/>
      <c r="E217" s="115"/>
      <c r="F217" s="114"/>
      <c r="G217" s="254"/>
      <c r="H217" s="255"/>
      <c r="I217" s="115"/>
      <c r="J217" s="114"/>
      <c r="K217" s="114"/>
      <c r="L217" s="254"/>
      <c r="M217" s="255"/>
      <c r="N217" s="115"/>
      <c r="O217" s="115"/>
      <c r="P217" s="115"/>
      <c r="Q217" s="256"/>
      <c r="R217" s="333"/>
      <c r="S217" s="334"/>
      <c r="T217" s="244" t="s">
        <v>63</v>
      </c>
      <c r="U217" s="115"/>
      <c r="V217" s="115"/>
      <c r="W217" s="115"/>
      <c r="X217" s="239"/>
      <c r="Y217" s="115"/>
      <c r="Z217" s="115"/>
      <c r="AA217" s="115"/>
      <c r="AB217" s="115"/>
      <c r="AC217" s="256"/>
      <c r="AD217" s="244"/>
      <c r="AE217" s="115"/>
      <c r="AF217" s="115"/>
      <c r="AG217" s="115"/>
      <c r="AH217" s="256"/>
    </row>
    <row r="218" spans="1:34" x14ac:dyDescent="0.25">
      <c r="A218" s="116"/>
      <c r="B218" s="116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04"/>
      <c r="Z218" s="504" t="str">
        <f>B179</f>
        <v>9E</v>
      </c>
      <c r="AA218" s="504"/>
      <c r="AB218" s="504"/>
      <c r="AC218" s="104"/>
    </row>
    <row r="219" spans="1:34" x14ac:dyDescent="0.25">
      <c r="A219" s="118"/>
      <c r="B219" s="118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504"/>
      <c r="AA219" s="504"/>
      <c r="AB219" s="504"/>
      <c r="AC219" s="104"/>
    </row>
    <row r="220" spans="1:34" x14ac:dyDescent="0.25">
      <c r="A220" s="118"/>
      <c r="B220" s="118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504"/>
      <c r="AA220" s="504"/>
      <c r="AB220" s="504"/>
      <c r="AC220" s="104"/>
    </row>
    <row r="221" spans="1:34" ht="13" x14ac:dyDescent="0.3">
      <c r="A221" s="478" t="s">
        <v>88</v>
      </c>
      <c r="B221" s="478"/>
      <c r="C221" s="478"/>
      <c r="D221" s="478"/>
      <c r="E221" s="478"/>
      <c r="F221" s="478"/>
      <c r="G221" s="478"/>
      <c r="H221" s="478"/>
      <c r="I221" s="478"/>
      <c r="J221" s="478"/>
      <c r="K221" s="478"/>
      <c r="L221" s="478"/>
      <c r="M221" s="478"/>
      <c r="N221" s="478"/>
      <c r="O221" s="478"/>
      <c r="P221" s="478"/>
      <c r="Q221" s="478"/>
      <c r="R221" s="478"/>
      <c r="S221" s="478"/>
      <c r="T221" s="478"/>
      <c r="U221" s="478"/>
      <c r="V221" s="478"/>
      <c r="W221" s="478"/>
      <c r="X221" s="478"/>
      <c r="Y221" s="478"/>
      <c r="Z221" s="478"/>
      <c r="AA221" s="478"/>
      <c r="AB221" s="478"/>
      <c r="AC221" s="478"/>
      <c r="AD221" s="478"/>
      <c r="AE221" s="478"/>
      <c r="AF221" s="478"/>
      <c r="AG221" s="478"/>
      <c r="AH221" s="478"/>
    </row>
    <row r="222" spans="1:34" ht="13" x14ac:dyDescent="0.3">
      <c r="A222" s="479" t="str">
        <f>A178</f>
        <v xml:space="preserve"> KL IX SMT GASAL TP 2025/2026</v>
      </c>
      <c r="B222" s="479"/>
      <c r="C222" s="479"/>
      <c r="D222" s="479"/>
      <c r="E222" s="479"/>
      <c r="F222" s="479"/>
      <c r="G222" s="479"/>
      <c r="H222" s="479"/>
      <c r="I222" s="479"/>
      <c r="J222" s="479"/>
      <c r="K222" s="479"/>
      <c r="L222" s="479"/>
      <c r="M222" s="479"/>
      <c r="N222" s="479"/>
      <c r="O222" s="479"/>
      <c r="P222" s="479"/>
      <c r="Q222" s="479"/>
      <c r="R222" s="479"/>
      <c r="S222" s="479"/>
      <c r="T222" s="479"/>
      <c r="U222" s="479"/>
      <c r="V222" s="479"/>
      <c r="W222" s="479"/>
      <c r="X222" s="479"/>
      <c r="Y222" s="479"/>
      <c r="Z222" s="479"/>
      <c r="AA222" s="479"/>
      <c r="AB222" s="479"/>
      <c r="AC222" s="479"/>
      <c r="AD222" s="479"/>
      <c r="AE222" s="479"/>
      <c r="AF222" s="479"/>
      <c r="AG222" s="479"/>
      <c r="AH222" s="479"/>
    </row>
    <row r="223" spans="1:34" ht="13" x14ac:dyDescent="0.3">
      <c r="A223" s="108" t="s">
        <v>65</v>
      </c>
      <c r="B223" s="109" t="s">
        <v>95</v>
      </c>
      <c r="C223" s="250" t="s">
        <v>21</v>
      </c>
      <c r="D223" s="106"/>
      <c r="E223" s="251">
        <v>1</v>
      </c>
      <c r="F223" s="106"/>
      <c r="G223" s="107"/>
      <c r="H223" s="250" t="s">
        <v>21</v>
      </c>
      <c r="I223" s="106"/>
      <c r="J223" s="251">
        <v>2</v>
      </c>
      <c r="K223" s="106"/>
      <c r="L223" s="107"/>
      <c r="M223" s="250" t="s">
        <v>21</v>
      </c>
      <c r="N223" s="106"/>
      <c r="O223" s="251">
        <v>3</v>
      </c>
      <c r="P223" s="106"/>
      <c r="Q223" s="107"/>
      <c r="R223" s="327"/>
      <c r="S223" s="328"/>
      <c r="T223" s="506" t="s">
        <v>96</v>
      </c>
      <c r="U223" s="506"/>
      <c r="V223" s="506"/>
      <c r="W223" s="506"/>
      <c r="X223" s="506"/>
      <c r="Y223" s="506"/>
      <c r="Z223" s="506"/>
      <c r="AA223" s="506"/>
      <c r="AB223" s="506"/>
      <c r="AC223" s="507"/>
      <c r="AD223" s="505" t="s">
        <v>89</v>
      </c>
      <c r="AE223" s="506"/>
      <c r="AF223" s="506"/>
      <c r="AG223" s="506"/>
      <c r="AH223" s="507"/>
    </row>
    <row r="224" spans="1:34" x14ac:dyDescent="0.25">
      <c r="A224" s="2"/>
      <c r="B224" s="3" t="s">
        <v>7</v>
      </c>
      <c r="C224" s="32">
        <v>1</v>
      </c>
      <c r="D224" s="33">
        <v>2</v>
      </c>
      <c r="E224" s="33">
        <v>3</v>
      </c>
      <c r="F224" s="33">
        <v>4</v>
      </c>
      <c r="G224" s="34">
        <v>5</v>
      </c>
      <c r="H224" s="32">
        <v>1</v>
      </c>
      <c r="I224" s="33">
        <v>2</v>
      </c>
      <c r="J224" s="33">
        <v>3</v>
      </c>
      <c r="K224" s="33">
        <v>4</v>
      </c>
      <c r="L224" s="34">
        <v>5</v>
      </c>
      <c r="M224" s="32">
        <v>1</v>
      </c>
      <c r="N224" s="33">
        <v>2</v>
      </c>
      <c r="O224" s="33">
        <v>3</v>
      </c>
      <c r="P224" s="33">
        <v>4</v>
      </c>
      <c r="Q224" s="34">
        <v>5</v>
      </c>
      <c r="R224" s="266"/>
      <c r="S224" s="268"/>
      <c r="T224" s="261">
        <v>1</v>
      </c>
      <c r="U224" s="33">
        <v>2</v>
      </c>
      <c r="V224" s="33">
        <v>3</v>
      </c>
      <c r="W224" s="33">
        <v>4</v>
      </c>
      <c r="X224" s="33">
        <v>5</v>
      </c>
      <c r="Y224" s="33">
        <v>6</v>
      </c>
      <c r="Z224" s="33">
        <v>7</v>
      </c>
      <c r="AA224" s="33">
        <v>8</v>
      </c>
      <c r="AB224" s="33">
        <v>9</v>
      </c>
      <c r="AC224" s="34">
        <v>10</v>
      </c>
      <c r="AD224" s="261">
        <v>1</v>
      </c>
      <c r="AE224" s="33">
        <v>2</v>
      </c>
      <c r="AF224" s="33">
        <v>3</v>
      </c>
      <c r="AG224" s="33">
        <v>4</v>
      </c>
      <c r="AH224" s="34">
        <v>5</v>
      </c>
    </row>
    <row r="225" spans="1:34" x14ac:dyDescent="0.25">
      <c r="A225" s="6" t="s">
        <v>0</v>
      </c>
      <c r="B225" s="5" t="s">
        <v>8</v>
      </c>
      <c r="C225" s="55"/>
      <c r="D225" s="56"/>
      <c r="E225" s="56"/>
      <c r="F225" s="56"/>
      <c r="G225" s="57"/>
      <c r="H225" s="55"/>
      <c r="I225" s="56"/>
      <c r="J225" s="56"/>
      <c r="K225" s="56"/>
      <c r="L225" s="57"/>
      <c r="M225" s="55"/>
      <c r="N225" s="56"/>
      <c r="O225" s="56"/>
      <c r="P225" s="56"/>
      <c r="Q225" s="57"/>
      <c r="R225" s="55"/>
      <c r="S225" s="105"/>
      <c r="T225" s="262"/>
      <c r="U225" s="56"/>
      <c r="V225" s="56"/>
      <c r="W225" s="56"/>
      <c r="X225" s="57"/>
      <c r="Y225" s="56"/>
      <c r="Z225" s="56"/>
      <c r="AA225" s="56"/>
      <c r="AB225" s="56"/>
      <c r="AC225" s="105"/>
      <c r="AD225" s="262"/>
      <c r="AE225" s="56"/>
      <c r="AF225" s="56"/>
      <c r="AG225" s="56"/>
      <c r="AH225" s="105"/>
    </row>
    <row r="226" spans="1:34" x14ac:dyDescent="0.25">
      <c r="A226" s="6"/>
      <c r="B226" s="257" t="s">
        <v>2</v>
      </c>
      <c r="C226" s="36"/>
      <c r="D226" s="37"/>
      <c r="E226" s="37"/>
      <c r="F226" s="37"/>
      <c r="G226" s="38"/>
      <c r="H226" s="36"/>
      <c r="I226" s="37"/>
      <c r="J226" s="37"/>
      <c r="K226" s="37"/>
      <c r="L226" s="38"/>
      <c r="M226" s="36"/>
      <c r="N226" s="37"/>
      <c r="O226" s="37"/>
      <c r="P226" s="37"/>
      <c r="Q226" s="38"/>
      <c r="R226" s="267"/>
      <c r="S226" s="269"/>
      <c r="T226" s="263"/>
      <c r="U226" s="37"/>
      <c r="V226" s="37"/>
      <c r="W226" s="37"/>
      <c r="X226" s="252"/>
      <c r="Y226" s="37"/>
      <c r="Z226" s="37"/>
      <c r="AA226" s="37"/>
      <c r="AB226" s="37"/>
      <c r="AC226" s="38"/>
      <c r="AD226" s="263"/>
      <c r="AE226" s="37"/>
      <c r="AF226" s="37"/>
      <c r="AG226" s="37"/>
      <c r="AH226" s="38"/>
    </row>
    <row r="227" spans="1:34" x14ac:dyDescent="0.25">
      <c r="A227" s="20">
        <v>1</v>
      </c>
      <c r="B227" s="130" t="str">
        <f>DATA!L10</f>
        <v>Ahmad Azam Muhanif</v>
      </c>
      <c r="C227" s="111" t="s">
        <v>63</v>
      </c>
      <c r="D227" s="112"/>
      <c r="E227" s="112"/>
      <c r="F227" s="112"/>
      <c r="G227" s="253"/>
      <c r="H227" s="111"/>
      <c r="I227" s="112"/>
      <c r="J227" s="112"/>
      <c r="K227" s="112"/>
      <c r="L227" s="253"/>
      <c r="M227" s="111"/>
      <c r="N227" s="112"/>
      <c r="O227" s="112"/>
      <c r="P227" s="112"/>
      <c r="Q227" s="253"/>
      <c r="R227" s="329">
        <f>A227</f>
        <v>1</v>
      </c>
      <c r="S227" s="330" t="str">
        <f>B227</f>
        <v>Ahmad Azam Muhanif</v>
      </c>
      <c r="T227" s="242" t="s">
        <v>63</v>
      </c>
      <c r="U227" s="112"/>
      <c r="V227" s="112"/>
      <c r="W227" s="112"/>
      <c r="X227" s="240"/>
      <c r="Y227" s="112"/>
      <c r="Z227" s="112"/>
      <c r="AA227" s="112"/>
      <c r="AB227" s="112"/>
      <c r="AC227" s="253"/>
      <c r="AD227" s="242"/>
      <c r="AE227" s="112"/>
      <c r="AF227" s="112"/>
      <c r="AG227" s="112"/>
      <c r="AH227" s="253"/>
    </row>
    <row r="228" spans="1:34" x14ac:dyDescent="0.25">
      <c r="A228" s="21">
        <v>2</v>
      </c>
      <c r="B228" s="133" t="str">
        <f>DATA!L11</f>
        <v>Ananda Rafa Mahesa Putra</v>
      </c>
      <c r="C228" s="113" t="s">
        <v>63</v>
      </c>
      <c r="D228" s="114"/>
      <c r="E228" s="114"/>
      <c r="F228" s="114"/>
      <c r="G228" s="254"/>
      <c r="H228" s="113"/>
      <c r="I228" s="114"/>
      <c r="J228" s="114"/>
      <c r="K228" s="114"/>
      <c r="L228" s="254"/>
      <c r="M228" s="113"/>
      <c r="N228" s="114"/>
      <c r="O228" s="114"/>
      <c r="P228" s="114"/>
      <c r="Q228" s="254"/>
      <c r="R228" s="331">
        <f t="shared" ref="R228:R258" si="10">A228</f>
        <v>2</v>
      </c>
      <c r="S228" s="332" t="str">
        <f t="shared" ref="S228:S258" si="11">B228</f>
        <v>Ananda Rafa Mahesa Putra</v>
      </c>
      <c r="T228" s="243" t="s">
        <v>63</v>
      </c>
      <c r="U228" s="114"/>
      <c r="V228" s="114"/>
      <c r="W228" s="114"/>
      <c r="X228" s="238"/>
      <c r="Y228" s="114"/>
      <c r="Z228" s="114"/>
      <c r="AA228" s="114"/>
      <c r="AB228" s="114"/>
      <c r="AC228" s="254"/>
      <c r="AD228" s="243"/>
      <c r="AE228" s="114"/>
      <c r="AF228" s="114"/>
      <c r="AG228" s="114"/>
      <c r="AH228" s="254"/>
    </row>
    <row r="229" spans="1:34" x14ac:dyDescent="0.25">
      <c r="A229" s="21">
        <v>3</v>
      </c>
      <c r="B229" s="133" t="str">
        <f>DATA!L12</f>
        <v>Aprian Caysa Raditiansyah</v>
      </c>
      <c r="C229" s="113" t="s">
        <v>63</v>
      </c>
      <c r="D229" s="114"/>
      <c r="E229" s="114"/>
      <c r="F229" s="114"/>
      <c r="G229" s="254"/>
      <c r="H229" s="113"/>
      <c r="I229" s="114"/>
      <c r="J229" s="114"/>
      <c r="K229" s="114"/>
      <c r="L229" s="254"/>
      <c r="M229" s="113"/>
      <c r="N229" s="114"/>
      <c r="O229" s="114"/>
      <c r="P229" s="114"/>
      <c r="Q229" s="254"/>
      <c r="R229" s="331">
        <f t="shared" si="10"/>
        <v>3</v>
      </c>
      <c r="S229" s="332" t="str">
        <f t="shared" si="11"/>
        <v>Aprian Caysa Raditiansyah</v>
      </c>
      <c r="T229" s="243" t="s">
        <v>63</v>
      </c>
      <c r="U229" s="114"/>
      <c r="V229" s="114"/>
      <c r="W229" s="114"/>
      <c r="X229" s="238"/>
      <c r="Y229" s="114"/>
      <c r="Z229" s="114"/>
      <c r="AA229" s="114"/>
      <c r="AB229" s="114"/>
      <c r="AC229" s="254"/>
      <c r="AD229" s="243"/>
      <c r="AE229" s="114"/>
      <c r="AF229" s="114"/>
      <c r="AG229" s="114"/>
      <c r="AH229" s="254"/>
    </row>
    <row r="230" spans="1:34" x14ac:dyDescent="0.25">
      <c r="A230" s="21">
        <v>4</v>
      </c>
      <c r="B230" s="133" t="str">
        <f>DATA!L13</f>
        <v>Attaya Nadine Vanessa</v>
      </c>
      <c r="C230" s="113" t="s">
        <v>63</v>
      </c>
      <c r="D230" s="114"/>
      <c r="E230" s="114"/>
      <c r="F230" s="114"/>
      <c r="G230" s="254"/>
      <c r="H230" s="113"/>
      <c r="I230" s="114"/>
      <c r="J230" s="114"/>
      <c r="K230" s="114"/>
      <c r="L230" s="254"/>
      <c r="M230" s="113"/>
      <c r="N230" s="114"/>
      <c r="O230" s="114"/>
      <c r="P230" s="114"/>
      <c r="Q230" s="254"/>
      <c r="R230" s="331">
        <f t="shared" si="10"/>
        <v>4</v>
      </c>
      <c r="S230" s="332" t="str">
        <f t="shared" si="11"/>
        <v>Attaya Nadine Vanessa</v>
      </c>
      <c r="T230" s="243" t="s">
        <v>63</v>
      </c>
      <c r="U230" s="114"/>
      <c r="V230" s="114"/>
      <c r="W230" s="114"/>
      <c r="X230" s="238"/>
      <c r="Y230" s="114"/>
      <c r="Z230" s="114"/>
      <c r="AA230" s="114"/>
      <c r="AB230" s="114"/>
      <c r="AC230" s="254"/>
      <c r="AD230" s="243"/>
      <c r="AE230" s="114"/>
      <c r="AF230" s="114"/>
      <c r="AG230" s="114"/>
      <c r="AH230" s="254"/>
    </row>
    <row r="231" spans="1:34" x14ac:dyDescent="0.25">
      <c r="A231" s="21">
        <v>5</v>
      </c>
      <c r="B231" s="133" t="str">
        <f>DATA!L14</f>
        <v>Dimas Suryo Admodjo</v>
      </c>
      <c r="C231" s="113" t="s">
        <v>63</v>
      </c>
      <c r="D231" s="114"/>
      <c r="E231" s="114"/>
      <c r="F231" s="114"/>
      <c r="G231" s="254"/>
      <c r="H231" s="113"/>
      <c r="I231" s="114"/>
      <c r="J231" s="114"/>
      <c r="K231" s="114"/>
      <c r="L231" s="254"/>
      <c r="M231" s="113"/>
      <c r="N231" s="114"/>
      <c r="O231" s="114"/>
      <c r="P231" s="114"/>
      <c r="Q231" s="254"/>
      <c r="R231" s="331">
        <f t="shared" si="10"/>
        <v>5</v>
      </c>
      <c r="S231" s="332" t="str">
        <f t="shared" si="11"/>
        <v>Dimas Suryo Admodjo</v>
      </c>
      <c r="T231" s="243" t="s">
        <v>63</v>
      </c>
      <c r="U231" s="114"/>
      <c r="V231" s="114"/>
      <c r="W231" s="114"/>
      <c r="X231" s="238"/>
      <c r="Y231" s="114"/>
      <c r="Z231" s="114"/>
      <c r="AA231" s="114"/>
      <c r="AB231" s="114"/>
      <c r="AC231" s="254"/>
      <c r="AD231" s="243"/>
      <c r="AE231" s="114"/>
      <c r="AF231" s="114"/>
      <c r="AG231" s="114"/>
      <c r="AH231" s="254"/>
    </row>
    <row r="232" spans="1:34" x14ac:dyDescent="0.25">
      <c r="A232" s="21">
        <v>6</v>
      </c>
      <c r="B232" s="133" t="str">
        <f>DATA!L15</f>
        <v>Dwi Erinadestari</v>
      </c>
      <c r="C232" s="113" t="s">
        <v>63</v>
      </c>
      <c r="D232" s="114"/>
      <c r="E232" s="114"/>
      <c r="F232" s="114"/>
      <c r="G232" s="254"/>
      <c r="H232" s="113"/>
      <c r="I232" s="114"/>
      <c r="J232" s="114"/>
      <c r="K232" s="114"/>
      <c r="L232" s="254"/>
      <c r="M232" s="113"/>
      <c r="N232" s="114"/>
      <c r="O232" s="114"/>
      <c r="P232" s="114"/>
      <c r="Q232" s="254"/>
      <c r="R232" s="331">
        <f t="shared" si="10"/>
        <v>6</v>
      </c>
      <c r="S232" s="332" t="str">
        <f t="shared" si="11"/>
        <v>Dwi Erinadestari</v>
      </c>
      <c r="T232" s="243" t="s">
        <v>63</v>
      </c>
      <c r="U232" s="114"/>
      <c r="V232" s="114"/>
      <c r="W232" s="114"/>
      <c r="X232" s="238"/>
      <c r="Y232" s="114"/>
      <c r="Z232" s="114"/>
      <c r="AA232" s="114"/>
      <c r="AB232" s="114"/>
      <c r="AC232" s="254"/>
      <c r="AD232" s="243"/>
      <c r="AE232" s="114"/>
      <c r="AF232" s="114"/>
      <c r="AG232" s="114"/>
      <c r="AH232" s="254"/>
    </row>
    <row r="233" spans="1:34" x14ac:dyDescent="0.25">
      <c r="A233" s="21">
        <v>7</v>
      </c>
      <c r="B233" s="133" t="str">
        <f>DATA!L16</f>
        <v>Eka Yuanita Safa</v>
      </c>
      <c r="C233" s="113" t="s">
        <v>63</v>
      </c>
      <c r="D233" s="114"/>
      <c r="E233" s="114"/>
      <c r="F233" s="114"/>
      <c r="G233" s="254"/>
      <c r="H233" s="113"/>
      <c r="I233" s="114"/>
      <c r="J233" s="114"/>
      <c r="K233" s="114"/>
      <c r="L233" s="254"/>
      <c r="M233" s="113"/>
      <c r="N233" s="114"/>
      <c r="O233" s="114"/>
      <c r="P233" s="114"/>
      <c r="Q233" s="254"/>
      <c r="R233" s="331">
        <f t="shared" si="10"/>
        <v>7</v>
      </c>
      <c r="S233" s="332" t="str">
        <f t="shared" si="11"/>
        <v>Eka Yuanita Safa</v>
      </c>
      <c r="T233" s="243" t="s">
        <v>63</v>
      </c>
      <c r="U233" s="114"/>
      <c r="V233" s="114"/>
      <c r="W233" s="114"/>
      <c r="X233" s="238"/>
      <c r="Y233" s="114"/>
      <c r="Z233" s="114"/>
      <c r="AA233" s="114"/>
      <c r="AB233" s="114"/>
      <c r="AC233" s="254"/>
      <c r="AD233" s="243"/>
      <c r="AE233" s="114"/>
      <c r="AF233" s="114"/>
      <c r="AG233" s="114"/>
      <c r="AH233" s="254"/>
    </row>
    <row r="234" spans="1:34" x14ac:dyDescent="0.25">
      <c r="A234" s="21">
        <v>8</v>
      </c>
      <c r="B234" s="133" t="str">
        <f>DATA!L17</f>
        <v>Ellisa Adelia Putri</v>
      </c>
      <c r="C234" s="113" t="s">
        <v>63</v>
      </c>
      <c r="D234" s="114"/>
      <c r="E234" s="114"/>
      <c r="F234" s="114"/>
      <c r="G234" s="254"/>
      <c r="H234" s="113"/>
      <c r="I234" s="114"/>
      <c r="J234" s="114"/>
      <c r="K234" s="114"/>
      <c r="L234" s="254"/>
      <c r="M234" s="113"/>
      <c r="N234" s="114"/>
      <c r="O234" s="114"/>
      <c r="P234" s="114"/>
      <c r="Q234" s="254"/>
      <c r="R234" s="331">
        <f t="shared" si="10"/>
        <v>8</v>
      </c>
      <c r="S234" s="332" t="str">
        <f t="shared" si="11"/>
        <v>Ellisa Adelia Putri</v>
      </c>
      <c r="T234" s="243" t="s">
        <v>63</v>
      </c>
      <c r="U234" s="114"/>
      <c r="V234" s="114"/>
      <c r="W234" s="114"/>
      <c r="X234" s="238"/>
      <c r="Y234" s="114"/>
      <c r="Z234" s="114"/>
      <c r="AA234" s="114"/>
      <c r="AB234" s="114"/>
      <c r="AC234" s="254"/>
      <c r="AD234" s="243"/>
      <c r="AE234" s="114"/>
      <c r="AF234" s="114"/>
      <c r="AG234" s="114"/>
      <c r="AH234" s="254"/>
    </row>
    <row r="235" spans="1:34" x14ac:dyDescent="0.25">
      <c r="A235" s="21">
        <v>9</v>
      </c>
      <c r="B235" s="133" t="str">
        <f>DATA!L18</f>
        <v>Elsa Adinda Putri</v>
      </c>
      <c r="C235" s="113" t="s">
        <v>63</v>
      </c>
      <c r="D235" s="114"/>
      <c r="E235" s="114"/>
      <c r="F235" s="114"/>
      <c r="G235" s="254"/>
      <c r="H235" s="113"/>
      <c r="I235" s="114"/>
      <c r="J235" s="114"/>
      <c r="K235" s="114"/>
      <c r="L235" s="254"/>
      <c r="M235" s="113"/>
      <c r="N235" s="114"/>
      <c r="O235" s="114"/>
      <c r="P235" s="114"/>
      <c r="Q235" s="254"/>
      <c r="R235" s="331">
        <f t="shared" si="10"/>
        <v>9</v>
      </c>
      <c r="S235" s="332" t="str">
        <f t="shared" si="11"/>
        <v>Elsa Adinda Putri</v>
      </c>
      <c r="T235" s="243" t="s">
        <v>63</v>
      </c>
      <c r="U235" s="114"/>
      <c r="V235" s="114"/>
      <c r="W235" s="114"/>
      <c r="X235" s="238"/>
      <c r="Y235" s="114"/>
      <c r="Z235" s="114"/>
      <c r="AA235" s="114"/>
      <c r="AB235" s="114"/>
      <c r="AC235" s="254"/>
      <c r="AD235" s="243"/>
      <c r="AE235" s="114"/>
      <c r="AF235" s="114"/>
      <c r="AG235" s="114"/>
      <c r="AH235" s="254"/>
    </row>
    <row r="236" spans="1:34" x14ac:dyDescent="0.25">
      <c r="A236" s="21">
        <v>10</v>
      </c>
      <c r="B236" s="133" t="str">
        <f>DATA!L19</f>
        <v>Erick Putra Wijaya</v>
      </c>
      <c r="C236" s="113" t="s">
        <v>63</v>
      </c>
      <c r="D236" s="114"/>
      <c r="E236" s="114"/>
      <c r="F236" s="114"/>
      <c r="G236" s="254"/>
      <c r="H236" s="113"/>
      <c r="I236" s="114"/>
      <c r="J236" s="114"/>
      <c r="K236" s="114"/>
      <c r="L236" s="254"/>
      <c r="M236" s="113"/>
      <c r="N236" s="114"/>
      <c r="O236" s="114"/>
      <c r="P236" s="114"/>
      <c r="Q236" s="254"/>
      <c r="R236" s="331">
        <f t="shared" si="10"/>
        <v>10</v>
      </c>
      <c r="S236" s="332" t="str">
        <f t="shared" si="11"/>
        <v>Erick Putra Wijaya</v>
      </c>
      <c r="T236" s="243" t="s">
        <v>63</v>
      </c>
      <c r="U236" s="114"/>
      <c r="V236" s="114"/>
      <c r="W236" s="114"/>
      <c r="X236" s="238"/>
      <c r="Y236" s="114"/>
      <c r="Z236" s="114"/>
      <c r="AA236" s="114"/>
      <c r="AB236" s="114"/>
      <c r="AC236" s="254"/>
      <c r="AD236" s="243"/>
      <c r="AE236" s="114"/>
      <c r="AF236" s="114"/>
      <c r="AG236" s="114"/>
      <c r="AH236" s="254"/>
    </row>
    <row r="237" spans="1:34" x14ac:dyDescent="0.25">
      <c r="A237" s="21">
        <v>11</v>
      </c>
      <c r="B237" s="133" t="str">
        <f>DATA!L20</f>
        <v>Intan Qurrota A'Yun</v>
      </c>
      <c r="C237" s="113" t="s">
        <v>63</v>
      </c>
      <c r="D237" s="114"/>
      <c r="E237" s="114"/>
      <c r="F237" s="114"/>
      <c r="G237" s="254"/>
      <c r="H237" s="113"/>
      <c r="I237" s="114"/>
      <c r="J237" s="114"/>
      <c r="K237" s="114"/>
      <c r="L237" s="254"/>
      <c r="M237" s="113"/>
      <c r="N237" s="114"/>
      <c r="O237" s="114"/>
      <c r="P237" s="114"/>
      <c r="Q237" s="254"/>
      <c r="R237" s="331">
        <f t="shared" si="10"/>
        <v>11</v>
      </c>
      <c r="S237" s="332" t="str">
        <f t="shared" si="11"/>
        <v>Intan Qurrota A'Yun</v>
      </c>
      <c r="T237" s="243" t="s">
        <v>63</v>
      </c>
      <c r="U237" s="114"/>
      <c r="V237" s="114"/>
      <c r="W237" s="114"/>
      <c r="X237" s="238"/>
      <c r="Y237" s="114"/>
      <c r="Z237" s="114"/>
      <c r="AA237" s="114"/>
      <c r="AB237" s="114"/>
      <c r="AC237" s="254"/>
      <c r="AD237" s="243"/>
      <c r="AE237" s="114"/>
      <c r="AF237" s="114"/>
      <c r="AG237" s="114"/>
      <c r="AH237" s="254"/>
    </row>
    <row r="238" spans="1:34" x14ac:dyDescent="0.25">
      <c r="A238" s="21">
        <v>12</v>
      </c>
      <c r="B238" s="133" t="str">
        <f>DATA!L21</f>
        <v>Johan Renaldi</v>
      </c>
      <c r="C238" s="113" t="s">
        <v>63</v>
      </c>
      <c r="D238" s="114"/>
      <c r="E238" s="114"/>
      <c r="F238" s="114"/>
      <c r="G238" s="254"/>
      <c r="H238" s="113"/>
      <c r="I238" s="114"/>
      <c r="J238" s="114"/>
      <c r="K238" s="114"/>
      <c r="L238" s="254"/>
      <c r="M238" s="113"/>
      <c r="N238" s="114"/>
      <c r="O238" s="114"/>
      <c r="P238" s="114"/>
      <c r="Q238" s="254"/>
      <c r="R238" s="331">
        <f t="shared" si="10"/>
        <v>12</v>
      </c>
      <c r="S238" s="332" t="str">
        <f t="shared" si="11"/>
        <v>Johan Renaldi</v>
      </c>
      <c r="T238" s="243" t="s">
        <v>63</v>
      </c>
      <c r="U238" s="114"/>
      <c r="V238" s="114"/>
      <c r="W238" s="114"/>
      <c r="X238" s="238"/>
      <c r="Y238" s="114"/>
      <c r="Z238" s="114"/>
      <c r="AA238" s="114"/>
      <c r="AB238" s="114"/>
      <c r="AC238" s="254"/>
      <c r="AD238" s="243"/>
      <c r="AE238" s="114"/>
      <c r="AF238" s="114"/>
      <c r="AG238" s="114"/>
      <c r="AH238" s="254"/>
    </row>
    <row r="239" spans="1:34" x14ac:dyDescent="0.25">
      <c r="A239" s="21">
        <v>13</v>
      </c>
      <c r="B239" s="133" t="str">
        <f>DATA!L22</f>
        <v>Lituhayu Sabrina</v>
      </c>
      <c r="C239" s="113" t="s">
        <v>63</v>
      </c>
      <c r="D239" s="114"/>
      <c r="E239" s="114"/>
      <c r="F239" s="114"/>
      <c r="G239" s="254"/>
      <c r="H239" s="113"/>
      <c r="I239" s="114"/>
      <c r="J239" s="114"/>
      <c r="K239" s="114"/>
      <c r="L239" s="254"/>
      <c r="M239" s="113"/>
      <c r="N239" s="114"/>
      <c r="O239" s="114"/>
      <c r="P239" s="114"/>
      <c r="Q239" s="254"/>
      <c r="R239" s="331">
        <f t="shared" si="10"/>
        <v>13</v>
      </c>
      <c r="S239" s="332" t="str">
        <f t="shared" si="11"/>
        <v>Lituhayu Sabrina</v>
      </c>
      <c r="T239" s="243" t="s">
        <v>63</v>
      </c>
      <c r="U239" s="114"/>
      <c r="V239" s="114"/>
      <c r="W239" s="114"/>
      <c r="X239" s="238"/>
      <c r="Y239" s="114"/>
      <c r="Z239" s="114"/>
      <c r="AA239" s="114"/>
      <c r="AB239" s="114"/>
      <c r="AC239" s="254"/>
      <c r="AD239" s="243"/>
      <c r="AE239" s="114"/>
      <c r="AF239" s="114"/>
      <c r="AG239" s="114"/>
      <c r="AH239" s="254"/>
    </row>
    <row r="240" spans="1:34" x14ac:dyDescent="0.25">
      <c r="A240" s="21">
        <v>14</v>
      </c>
      <c r="B240" s="133" t="str">
        <f>DATA!L23</f>
        <v>Luthfi Az Zahra Aulyvia</v>
      </c>
      <c r="C240" s="113" t="s">
        <v>63</v>
      </c>
      <c r="D240" s="114"/>
      <c r="E240" s="114"/>
      <c r="F240" s="114"/>
      <c r="G240" s="254"/>
      <c r="H240" s="113"/>
      <c r="I240" s="114"/>
      <c r="J240" s="114"/>
      <c r="K240" s="114"/>
      <c r="L240" s="254"/>
      <c r="M240" s="113"/>
      <c r="N240" s="114"/>
      <c r="O240" s="114"/>
      <c r="P240" s="114"/>
      <c r="Q240" s="254"/>
      <c r="R240" s="331">
        <f t="shared" si="10"/>
        <v>14</v>
      </c>
      <c r="S240" s="332" t="str">
        <f t="shared" si="11"/>
        <v>Luthfi Az Zahra Aulyvia</v>
      </c>
      <c r="T240" s="243" t="s">
        <v>63</v>
      </c>
      <c r="U240" s="114"/>
      <c r="V240" s="114"/>
      <c r="W240" s="114"/>
      <c r="X240" s="238"/>
      <c r="Y240" s="114"/>
      <c r="Z240" s="114"/>
      <c r="AA240" s="114"/>
      <c r="AB240" s="114"/>
      <c r="AC240" s="254"/>
      <c r="AD240" s="243"/>
      <c r="AE240" s="114"/>
      <c r="AF240" s="114"/>
      <c r="AG240" s="114"/>
      <c r="AH240" s="254"/>
    </row>
    <row r="241" spans="1:35" x14ac:dyDescent="0.25">
      <c r="A241" s="21">
        <v>15</v>
      </c>
      <c r="B241" s="133" t="str">
        <f>DATA!L24</f>
        <v>Maulana Rizki Kurniawan</v>
      </c>
      <c r="C241" s="113" t="s">
        <v>63</v>
      </c>
      <c r="D241" s="114"/>
      <c r="E241" s="114"/>
      <c r="F241" s="114"/>
      <c r="G241" s="254"/>
      <c r="H241" s="113"/>
      <c r="I241" s="114"/>
      <c r="J241" s="114"/>
      <c r="K241" s="114"/>
      <c r="L241" s="254"/>
      <c r="M241" s="113"/>
      <c r="N241" s="114"/>
      <c r="O241" s="114"/>
      <c r="P241" s="114"/>
      <c r="Q241" s="254"/>
      <c r="R241" s="331">
        <f t="shared" si="10"/>
        <v>15</v>
      </c>
      <c r="S241" s="332" t="str">
        <f t="shared" si="11"/>
        <v>Maulana Rizki Kurniawan</v>
      </c>
      <c r="T241" s="243" t="s">
        <v>63</v>
      </c>
      <c r="U241" s="114"/>
      <c r="V241" s="114"/>
      <c r="W241" s="114"/>
      <c r="X241" s="238"/>
      <c r="Y241" s="114"/>
      <c r="Z241" s="114"/>
      <c r="AA241" s="114"/>
      <c r="AB241" s="114"/>
      <c r="AC241" s="254"/>
      <c r="AD241" s="243"/>
      <c r="AE241" s="114"/>
      <c r="AF241" s="114"/>
      <c r="AG241" s="114"/>
      <c r="AH241" s="254"/>
    </row>
    <row r="242" spans="1:35" x14ac:dyDescent="0.25">
      <c r="A242" s="21">
        <v>16</v>
      </c>
      <c r="B242" s="133" t="str">
        <f>DATA!L25</f>
        <v>Meisya Anindita</v>
      </c>
      <c r="C242" s="113" t="s">
        <v>63</v>
      </c>
      <c r="D242" s="114"/>
      <c r="E242" s="114"/>
      <c r="F242" s="114"/>
      <c r="G242" s="254"/>
      <c r="H242" s="113"/>
      <c r="I242" s="114"/>
      <c r="J242" s="114"/>
      <c r="K242" s="114"/>
      <c r="L242" s="254"/>
      <c r="M242" s="113"/>
      <c r="N242" s="114"/>
      <c r="O242" s="114"/>
      <c r="P242" s="114"/>
      <c r="Q242" s="254"/>
      <c r="R242" s="331">
        <f t="shared" si="10"/>
        <v>16</v>
      </c>
      <c r="S242" s="332" t="str">
        <f t="shared" si="11"/>
        <v>Meisya Anindita</v>
      </c>
      <c r="T242" s="243" t="s">
        <v>63</v>
      </c>
      <c r="U242" s="114"/>
      <c r="V242" s="114"/>
      <c r="W242" s="114"/>
      <c r="X242" s="238"/>
      <c r="Y242" s="114"/>
      <c r="Z242" s="114"/>
      <c r="AA242" s="114"/>
      <c r="AB242" s="114"/>
      <c r="AC242" s="254"/>
      <c r="AD242" s="243"/>
      <c r="AE242" s="114"/>
      <c r="AF242" s="114"/>
      <c r="AG242" s="114"/>
      <c r="AH242" s="254"/>
    </row>
    <row r="243" spans="1:35" x14ac:dyDescent="0.25">
      <c r="A243" s="21">
        <v>17</v>
      </c>
      <c r="B243" s="133" t="str">
        <f>DATA!L26</f>
        <v>Melilea Azahra</v>
      </c>
      <c r="C243" s="113" t="s">
        <v>63</v>
      </c>
      <c r="D243" s="114"/>
      <c r="E243" s="114"/>
      <c r="F243" s="114"/>
      <c r="G243" s="254"/>
      <c r="H243" s="113"/>
      <c r="I243" s="114"/>
      <c r="J243" s="114"/>
      <c r="K243" s="114"/>
      <c r="L243" s="254"/>
      <c r="M243" s="113"/>
      <c r="N243" s="114"/>
      <c r="O243" s="114"/>
      <c r="P243" s="114"/>
      <c r="Q243" s="254"/>
      <c r="R243" s="331">
        <f t="shared" si="10"/>
        <v>17</v>
      </c>
      <c r="S243" s="332" t="str">
        <f t="shared" si="11"/>
        <v>Melilea Azahra</v>
      </c>
      <c r="T243" s="243" t="s">
        <v>63</v>
      </c>
      <c r="U243" s="114"/>
      <c r="V243" s="114"/>
      <c r="W243" s="114"/>
      <c r="X243" s="238"/>
      <c r="Y243" s="114"/>
      <c r="Z243" s="114"/>
      <c r="AA243" s="114"/>
      <c r="AB243" s="114"/>
      <c r="AC243" s="254"/>
      <c r="AD243" s="243"/>
      <c r="AE243" s="114"/>
      <c r="AF243" s="114"/>
      <c r="AG243" s="114"/>
      <c r="AH243" s="254"/>
    </row>
    <row r="244" spans="1:35" x14ac:dyDescent="0.25">
      <c r="A244" s="21">
        <v>18</v>
      </c>
      <c r="B244" s="133" t="str">
        <f>DATA!L27</f>
        <v>Muhammad Furqon Ashfary</v>
      </c>
      <c r="C244" s="113" t="s">
        <v>63</v>
      </c>
      <c r="D244" s="114"/>
      <c r="E244" s="114"/>
      <c r="F244" s="114"/>
      <c r="G244" s="254"/>
      <c r="H244" s="113"/>
      <c r="I244" s="114"/>
      <c r="J244" s="114"/>
      <c r="K244" s="114"/>
      <c r="L244" s="254"/>
      <c r="M244" s="113"/>
      <c r="N244" s="114"/>
      <c r="O244" s="114"/>
      <c r="P244" s="114"/>
      <c r="Q244" s="254"/>
      <c r="R244" s="331">
        <f t="shared" si="10"/>
        <v>18</v>
      </c>
      <c r="S244" s="332" t="str">
        <f t="shared" si="11"/>
        <v>Muhammad Furqon Ashfary</v>
      </c>
      <c r="T244" s="243" t="s">
        <v>63</v>
      </c>
      <c r="U244" s="114"/>
      <c r="V244" s="114"/>
      <c r="W244" s="114"/>
      <c r="X244" s="238"/>
      <c r="Y244" s="114"/>
      <c r="Z244" s="114"/>
      <c r="AA244" s="114"/>
      <c r="AB244" s="114"/>
      <c r="AC244" s="254"/>
      <c r="AD244" s="243"/>
      <c r="AE244" s="114"/>
      <c r="AF244" s="114"/>
      <c r="AG244" s="114"/>
      <c r="AH244" s="254"/>
    </row>
    <row r="245" spans="1:35" x14ac:dyDescent="0.25">
      <c r="A245" s="21">
        <v>19</v>
      </c>
      <c r="B245" s="133" t="str">
        <f>DATA!L28</f>
        <v>Muhammad Rizky Fahreza</v>
      </c>
      <c r="C245" s="113" t="s">
        <v>63</v>
      </c>
      <c r="D245" s="114"/>
      <c r="E245" s="114"/>
      <c r="F245" s="114"/>
      <c r="G245" s="254"/>
      <c r="H245" s="113"/>
      <c r="I245" s="114"/>
      <c r="J245" s="114"/>
      <c r="K245" s="114"/>
      <c r="L245" s="254"/>
      <c r="M245" s="113"/>
      <c r="N245" s="114"/>
      <c r="O245" s="114"/>
      <c r="P245" s="114"/>
      <c r="Q245" s="254"/>
      <c r="R245" s="331">
        <f t="shared" si="10"/>
        <v>19</v>
      </c>
      <c r="S245" s="332" t="str">
        <f t="shared" si="11"/>
        <v>Muhammad Rizky Fahreza</v>
      </c>
      <c r="T245" s="243" t="s">
        <v>63</v>
      </c>
      <c r="U245" s="114"/>
      <c r="V245" s="114"/>
      <c r="W245" s="114"/>
      <c r="X245" s="238"/>
      <c r="Y245" s="114"/>
      <c r="Z245" s="114"/>
      <c r="AA245" s="114"/>
      <c r="AB245" s="114"/>
      <c r="AC245" s="254"/>
      <c r="AD245" s="243"/>
      <c r="AE245" s="114"/>
      <c r="AF245" s="114"/>
      <c r="AG245" s="114"/>
      <c r="AH245" s="254"/>
    </row>
    <row r="246" spans="1:35" x14ac:dyDescent="0.25">
      <c r="A246" s="21">
        <v>20</v>
      </c>
      <c r="B246" s="133" t="str">
        <f>DATA!L29</f>
        <v>Mutiara Yuliyanti</v>
      </c>
      <c r="C246" s="113" t="s">
        <v>63</v>
      </c>
      <c r="D246" s="114"/>
      <c r="E246" s="114"/>
      <c r="F246" s="114"/>
      <c r="G246" s="254"/>
      <c r="H246" s="113"/>
      <c r="I246" s="114"/>
      <c r="J246" s="114"/>
      <c r="K246" s="114"/>
      <c r="L246" s="254"/>
      <c r="M246" s="113"/>
      <c r="N246" s="114"/>
      <c r="O246" s="114"/>
      <c r="P246" s="114"/>
      <c r="Q246" s="254"/>
      <c r="R246" s="331">
        <f t="shared" si="10"/>
        <v>20</v>
      </c>
      <c r="S246" s="332" t="str">
        <f t="shared" si="11"/>
        <v>Mutiara Yuliyanti</v>
      </c>
      <c r="T246" s="243" t="s">
        <v>63</v>
      </c>
      <c r="U246" s="114"/>
      <c r="V246" s="114"/>
      <c r="W246" s="114"/>
      <c r="X246" s="238"/>
      <c r="Y246" s="114"/>
      <c r="Z246" s="114"/>
      <c r="AA246" s="114"/>
      <c r="AB246" s="114"/>
      <c r="AC246" s="254"/>
      <c r="AD246" s="243"/>
      <c r="AE246" s="114"/>
      <c r="AF246" s="114"/>
      <c r="AG246" s="114"/>
      <c r="AH246" s="254"/>
    </row>
    <row r="247" spans="1:35" x14ac:dyDescent="0.25">
      <c r="A247" s="21">
        <v>21</v>
      </c>
      <c r="B247" s="133" t="str">
        <f>DATA!L30</f>
        <v>Nathasya Maharani Putri Agustina</v>
      </c>
      <c r="C247" s="113" t="s">
        <v>63</v>
      </c>
      <c r="D247" s="114"/>
      <c r="E247" s="114"/>
      <c r="F247" s="114"/>
      <c r="G247" s="254"/>
      <c r="H247" s="113"/>
      <c r="I247" s="114"/>
      <c r="J247" s="114"/>
      <c r="K247" s="114"/>
      <c r="L247" s="254"/>
      <c r="M247" s="113"/>
      <c r="N247" s="114"/>
      <c r="O247" s="114"/>
      <c r="P247" s="114"/>
      <c r="Q247" s="254"/>
      <c r="R247" s="331">
        <f t="shared" si="10"/>
        <v>21</v>
      </c>
      <c r="S247" s="332" t="str">
        <f t="shared" si="11"/>
        <v>Nathasya Maharani Putri Agustina</v>
      </c>
      <c r="T247" s="243" t="s">
        <v>63</v>
      </c>
      <c r="U247" s="114"/>
      <c r="V247" s="114"/>
      <c r="W247" s="114"/>
      <c r="X247" s="238"/>
      <c r="Y247" s="114"/>
      <c r="Z247" s="114"/>
      <c r="AA247" s="114"/>
      <c r="AB247" s="114"/>
      <c r="AC247" s="254"/>
      <c r="AD247" s="243"/>
      <c r="AE247" s="114"/>
      <c r="AF247" s="114"/>
      <c r="AG247" s="114"/>
      <c r="AH247" s="254"/>
    </row>
    <row r="248" spans="1:35" x14ac:dyDescent="0.25">
      <c r="A248" s="21">
        <v>22</v>
      </c>
      <c r="B248" s="133" t="str">
        <f>DATA!L31</f>
        <v>Naysilla Anindya Ramadhani Nayra</v>
      </c>
      <c r="C248" s="113" t="s">
        <v>63</v>
      </c>
      <c r="D248" s="114"/>
      <c r="E248" s="114"/>
      <c r="F248" s="114"/>
      <c r="G248" s="254"/>
      <c r="H248" s="113"/>
      <c r="I248" s="114"/>
      <c r="J248" s="114"/>
      <c r="K248" s="114"/>
      <c r="L248" s="254"/>
      <c r="M248" s="113"/>
      <c r="N248" s="114"/>
      <c r="O248" s="114"/>
      <c r="P248" s="114"/>
      <c r="Q248" s="254"/>
      <c r="R248" s="331">
        <f t="shared" si="10"/>
        <v>22</v>
      </c>
      <c r="S248" s="332" t="str">
        <f t="shared" si="11"/>
        <v>Naysilla Anindya Ramadhani Nayra</v>
      </c>
      <c r="T248" s="243" t="s">
        <v>63</v>
      </c>
      <c r="U248" s="114"/>
      <c r="V248" s="114"/>
      <c r="W248" s="114"/>
      <c r="X248" s="238"/>
      <c r="Y248" s="114"/>
      <c r="Z248" s="114"/>
      <c r="AA248" s="114"/>
      <c r="AB248" s="114"/>
      <c r="AC248" s="254"/>
      <c r="AD248" s="243"/>
      <c r="AE248" s="114"/>
      <c r="AF248" s="114"/>
      <c r="AG248" s="114"/>
      <c r="AH248" s="254"/>
    </row>
    <row r="249" spans="1:35" x14ac:dyDescent="0.25">
      <c r="A249" s="21">
        <v>23</v>
      </c>
      <c r="B249" s="133" t="str">
        <f>DATA!L32</f>
        <v>Qaleesya Juliandhifa Putri Ajisia</v>
      </c>
      <c r="C249" s="113" t="s">
        <v>63</v>
      </c>
      <c r="D249" s="114"/>
      <c r="E249" s="114"/>
      <c r="F249" s="114"/>
      <c r="G249" s="254"/>
      <c r="H249" s="113"/>
      <c r="I249" s="114"/>
      <c r="J249" s="114"/>
      <c r="K249" s="114"/>
      <c r="L249" s="254"/>
      <c r="M249" s="113"/>
      <c r="N249" s="114"/>
      <c r="O249" s="114"/>
      <c r="P249" s="114"/>
      <c r="Q249" s="254"/>
      <c r="R249" s="331">
        <f t="shared" si="10"/>
        <v>23</v>
      </c>
      <c r="S249" s="332" t="str">
        <f t="shared" si="11"/>
        <v>Qaleesya Juliandhifa Putri Ajisia</v>
      </c>
      <c r="T249" s="243" t="s">
        <v>63</v>
      </c>
      <c r="U249" s="114"/>
      <c r="V249" s="114"/>
      <c r="W249" s="114"/>
      <c r="X249" s="238"/>
      <c r="Y249" s="114"/>
      <c r="Z249" s="114"/>
      <c r="AA249" s="114"/>
      <c r="AB249" s="114"/>
      <c r="AC249" s="254"/>
      <c r="AD249" s="243"/>
      <c r="AE249" s="114"/>
      <c r="AF249" s="114"/>
      <c r="AG249" s="114"/>
      <c r="AH249" s="254"/>
    </row>
    <row r="250" spans="1:35" x14ac:dyDescent="0.25">
      <c r="A250" s="21">
        <v>24</v>
      </c>
      <c r="B250" s="133" t="str">
        <f>DATA!L33</f>
        <v>Rahesya Firmansah</v>
      </c>
      <c r="C250" s="113" t="s">
        <v>63</v>
      </c>
      <c r="D250" s="114"/>
      <c r="E250" s="114"/>
      <c r="F250" s="114"/>
      <c r="G250" s="254"/>
      <c r="H250" s="113"/>
      <c r="I250" s="114"/>
      <c r="J250" s="114"/>
      <c r="K250" s="114"/>
      <c r="L250" s="254"/>
      <c r="M250" s="113"/>
      <c r="N250" s="114"/>
      <c r="O250" s="114"/>
      <c r="P250" s="114"/>
      <c r="Q250" s="254"/>
      <c r="R250" s="331">
        <f t="shared" si="10"/>
        <v>24</v>
      </c>
      <c r="S250" s="332" t="str">
        <f t="shared" si="11"/>
        <v>Rahesya Firmansah</v>
      </c>
      <c r="T250" s="243" t="s">
        <v>63</v>
      </c>
      <c r="U250" s="114"/>
      <c r="V250" s="114"/>
      <c r="W250" s="114"/>
      <c r="X250" s="238"/>
      <c r="Y250" s="114"/>
      <c r="Z250" s="114"/>
      <c r="AA250" s="114"/>
      <c r="AB250" s="114"/>
      <c r="AC250" s="254"/>
      <c r="AD250" s="243"/>
      <c r="AE250" s="114"/>
      <c r="AF250" s="114"/>
      <c r="AG250" s="114"/>
      <c r="AH250" s="254"/>
    </row>
    <row r="251" spans="1:35" x14ac:dyDescent="0.25">
      <c r="A251" s="21">
        <v>25</v>
      </c>
      <c r="B251" s="133" t="str">
        <f>DATA!L34</f>
        <v>Revalino Adhyaqsa Pamungkas</v>
      </c>
      <c r="C251" s="113" t="s">
        <v>63</v>
      </c>
      <c r="D251" s="114"/>
      <c r="E251" s="114"/>
      <c r="F251" s="114"/>
      <c r="G251" s="254"/>
      <c r="H251" s="113"/>
      <c r="I251" s="114"/>
      <c r="J251" s="114"/>
      <c r="K251" s="114"/>
      <c r="L251" s="254"/>
      <c r="M251" s="113"/>
      <c r="N251" s="114"/>
      <c r="O251" s="114"/>
      <c r="P251" s="114"/>
      <c r="Q251" s="254"/>
      <c r="R251" s="331">
        <f t="shared" si="10"/>
        <v>25</v>
      </c>
      <c r="S251" s="332" t="str">
        <f t="shared" si="11"/>
        <v>Revalino Adhyaqsa Pamungkas</v>
      </c>
      <c r="T251" s="243" t="s">
        <v>63</v>
      </c>
      <c r="U251" s="114"/>
      <c r="V251" s="114"/>
      <c r="W251" s="114"/>
      <c r="X251" s="238"/>
      <c r="Y251" s="114"/>
      <c r="Z251" s="114"/>
      <c r="AA251" s="114"/>
      <c r="AB251" s="114"/>
      <c r="AC251" s="254"/>
      <c r="AD251" s="243"/>
      <c r="AE251" s="114"/>
      <c r="AF251" s="114"/>
      <c r="AG251" s="114"/>
      <c r="AH251" s="254"/>
    </row>
    <row r="252" spans="1:35" x14ac:dyDescent="0.25">
      <c r="A252" s="21">
        <v>26</v>
      </c>
      <c r="B252" s="133" t="str">
        <f>DATA!L35</f>
        <v>Rokhan Dwi Ma'Arif</v>
      </c>
      <c r="C252" s="113" t="s">
        <v>63</v>
      </c>
      <c r="D252" s="114"/>
      <c r="E252" s="114"/>
      <c r="F252" s="114"/>
      <c r="G252" s="254"/>
      <c r="H252" s="113"/>
      <c r="I252" s="114"/>
      <c r="J252" s="114"/>
      <c r="K252" s="114"/>
      <c r="L252" s="254"/>
      <c r="M252" s="113"/>
      <c r="N252" s="114"/>
      <c r="O252" s="114"/>
      <c r="P252" s="114"/>
      <c r="Q252" s="254"/>
      <c r="R252" s="331">
        <f t="shared" si="10"/>
        <v>26</v>
      </c>
      <c r="S252" s="332" t="str">
        <f t="shared" si="11"/>
        <v>Rokhan Dwi Ma'Arif</v>
      </c>
      <c r="T252" s="243" t="s">
        <v>63</v>
      </c>
      <c r="U252" s="114"/>
      <c r="V252" s="114"/>
      <c r="W252" s="114"/>
      <c r="X252" s="238"/>
      <c r="Y252" s="114"/>
      <c r="Z252" s="114"/>
      <c r="AA252" s="114"/>
      <c r="AB252" s="114"/>
      <c r="AC252" s="254"/>
      <c r="AD252" s="243"/>
      <c r="AE252" s="114"/>
      <c r="AF252" s="114"/>
      <c r="AG252" s="114"/>
      <c r="AH252" s="254"/>
    </row>
    <row r="253" spans="1:35" x14ac:dyDescent="0.25">
      <c r="A253" s="21">
        <v>27</v>
      </c>
      <c r="B253" s="133" t="str">
        <f>DATA!L36</f>
        <v>Sawung Lintang Kamandanu</v>
      </c>
      <c r="C253" s="113" t="s">
        <v>63</v>
      </c>
      <c r="D253" s="114"/>
      <c r="E253" s="114"/>
      <c r="F253" s="114"/>
      <c r="G253" s="254"/>
      <c r="H253" s="113"/>
      <c r="I253" s="114"/>
      <c r="J253" s="114"/>
      <c r="K253" s="114"/>
      <c r="L253" s="254"/>
      <c r="M253" s="113"/>
      <c r="N253" s="114"/>
      <c r="O253" s="114"/>
      <c r="P253" s="114"/>
      <c r="Q253" s="254"/>
      <c r="R253" s="331">
        <f t="shared" si="10"/>
        <v>27</v>
      </c>
      <c r="S253" s="332" t="str">
        <f t="shared" si="11"/>
        <v>Sawung Lintang Kamandanu</v>
      </c>
      <c r="T253" s="243" t="s">
        <v>63</v>
      </c>
      <c r="U253" s="114"/>
      <c r="V253" s="114"/>
      <c r="W253" s="114"/>
      <c r="X253" s="238"/>
      <c r="Y253" s="114"/>
      <c r="Z253" s="114"/>
      <c r="AA253" s="114"/>
      <c r="AB253" s="114"/>
      <c r="AC253" s="254"/>
      <c r="AD253" s="243"/>
      <c r="AE253" s="114"/>
      <c r="AF253" s="114"/>
      <c r="AG253" s="114"/>
      <c r="AH253" s="254"/>
    </row>
    <row r="254" spans="1:35" x14ac:dyDescent="0.25">
      <c r="A254" s="21">
        <v>28</v>
      </c>
      <c r="B254" s="133" t="str">
        <f>DATA!L37</f>
        <v>Taufik Hidayat</v>
      </c>
      <c r="C254" s="113" t="s">
        <v>63</v>
      </c>
      <c r="D254" s="114"/>
      <c r="E254" s="114"/>
      <c r="F254" s="114"/>
      <c r="G254" s="254"/>
      <c r="H254" s="113"/>
      <c r="I254" s="114"/>
      <c r="J254" s="114"/>
      <c r="K254" s="114"/>
      <c r="L254" s="254"/>
      <c r="M254" s="113"/>
      <c r="N254" s="114"/>
      <c r="O254" s="114"/>
      <c r="P254" s="114"/>
      <c r="Q254" s="254"/>
      <c r="R254" s="331">
        <f t="shared" si="10"/>
        <v>28</v>
      </c>
      <c r="S254" s="332" t="str">
        <f t="shared" si="11"/>
        <v>Taufik Hidayat</v>
      </c>
      <c r="T254" s="243" t="s">
        <v>63</v>
      </c>
      <c r="U254" s="114"/>
      <c r="V254" s="114"/>
      <c r="W254" s="114"/>
      <c r="X254" s="238"/>
      <c r="Y254" s="114"/>
      <c r="Z254" s="114"/>
      <c r="AA254" s="114"/>
      <c r="AB254" s="114"/>
      <c r="AC254" s="254"/>
      <c r="AD254" s="243"/>
      <c r="AE254" s="114"/>
      <c r="AF254" s="114"/>
      <c r="AG254" s="114"/>
      <c r="AH254" s="254"/>
    </row>
    <row r="255" spans="1:35" x14ac:dyDescent="0.25">
      <c r="A255" s="21">
        <v>29</v>
      </c>
      <c r="B255" s="133" t="str">
        <f>DATA!L38</f>
        <v>Valentino Febrianzah</v>
      </c>
      <c r="C255" s="113" t="s">
        <v>63</v>
      </c>
      <c r="D255" s="114"/>
      <c r="E255" s="114"/>
      <c r="F255" s="114"/>
      <c r="G255" s="254"/>
      <c r="H255" s="113"/>
      <c r="I255" s="114"/>
      <c r="J255" s="114"/>
      <c r="K255" s="114"/>
      <c r="L255" s="254"/>
      <c r="M255" s="113"/>
      <c r="N255" s="114"/>
      <c r="O255" s="114"/>
      <c r="P255" s="114"/>
      <c r="Q255" s="254"/>
      <c r="R255" s="331">
        <f t="shared" si="10"/>
        <v>29</v>
      </c>
      <c r="S255" s="332" t="str">
        <f t="shared" si="11"/>
        <v>Valentino Febrianzah</v>
      </c>
      <c r="T255" s="243" t="s">
        <v>63</v>
      </c>
      <c r="U255" s="114"/>
      <c r="V255" s="114"/>
      <c r="W255" s="114"/>
      <c r="X255" s="238"/>
      <c r="Y255" s="114"/>
      <c r="Z255" s="114"/>
      <c r="AA255" s="114"/>
      <c r="AB255" s="114"/>
      <c r="AC255" s="254"/>
      <c r="AD255" s="243"/>
      <c r="AE255" s="114"/>
      <c r="AF255" s="114"/>
      <c r="AG255" s="114"/>
      <c r="AH255" s="254"/>
    </row>
    <row r="256" spans="1:35" x14ac:dyDescent="0.25">
      <c r="A256" s="21">
        <v>30</v>
      </c>
      <c r="B256" s="193" t="str">
        <f>DATA!L39</f>
        <v>Vega Olivia Ramandhani</v>
      </c>
      <c r="C256" s="324" t="s">
        <v>63</v>
      </c>
      <c r="D256" s="241"/>
      <c r="E256" s="241"/>
      <c r="F256" s="241"/>
      <c r="G256" s="325"/>
      <c r="H256" s="324"/>
      <c r="I256" s="241"/>
      <c r="J256" s="241"/>
      <c r="K256" s="241"/>
      <c r="L256" s="325"/>
      <c r="M256" s="324"/>
      <c r="N256" s="241"/>
      <c r="O256" s="241"/>
      <c r="P256" s="241"/>
      <c r="Q256" s="325"/>
      <c r="R256" s="331">
        <f t="shared" si="10"/>
        <v>30</v>
      </c>
      <c r="S256" s="332" t="str">
        <f t="shared" si="11"/>
        <v>Vega Olivia Ramandhani</v>
      </c>
      <c r="T256" s="243" t="s">
        <v>63</v>
      </c>
      <c r="U256" s="114"/>
      <c r="V256" s="114"/>
      <c r="W256" s="114"/>
      <c r="X256" s="238"/>
      <c r="Y256" s="114"/>
      <c r="Z256" s="114"/>
      <c r="AA256" s="114"/>
      <c r="AB256" s="114"/>
      <c r="AC256" s="254"/>
      <c r="AD256" s="249"/>
      <c r="AE256" s="241"/>
      <c r="AF256" s="241"/>
      <c r="AG256" s="241"/>
      <c r="AH256" s="325"/>
      <c r="AI256" s="326"/>
    </row>
    <row r="257" spans="1:34" x14ac:dyDescent="0.25">
      <c r="A257" s="21">
        <v>31</v>
      </c>
      <c r="B257" s="133">
        <f>DATA!L40</f>
        <v>0</v>
      </c>
      <c r="C257" s="113" t="s">
        <v>63</v>
      </c>
      <c r="D257" s="114"/>
      <c r="E257" s="114"/>
      <c r="F257" s="114"/>
      <c r="G257" s="254"/>
      <c r="H257" s="113"/>
      <c r="I257" s="114"/>
      <c r="J257" s="114"/>
      <c r="K257" s="114"/>
      <c r="L257" s="254"/>
      <c r="M257" s="113"/>
      <c r="N257" s="114"/>
      <c r="O257" s="114"/>
      <c r="P257" s="114"/>
      <c r="Q257" s="254"/>
      <c r="R257" s="331">
        <f t="shared" si="10"/>
        <v>31</v>
      </c>
      <c r="S257" s="332">
        <f t="shared" si="11"/>
        <v>0</v>
      </c>
      <c r="T257" s="243" t="s">
        <v>63</v>
      </c>
      <c r="U257" s="114"/>
      <c r="V257" s="114"/>
      <c r="W257" s="114"/>
      <c r="X257" s="238"/>
      <c r="Y257" s="114"/>
      <c r="Z257" s="114"/>
      <c r="AA257" s="114"/>
      <c r="AB257" s="114"/>
      <c r="AC257" s="254"/>
      <c r="AD257" s="243"/>
      <c r="AE257" s="114"/>
      <c r="AF257" s="114"/>
      <c r="AG257" s="114"/>
      <c r="AH257" s="254"/>
    </row>
    <row r="258" spans="1:34" x14ac:dyDescent="0.25">
      <c r="A258" s="21">
        <v>32</v>
      </c>
      <c r="B258" s="133">
        <f>DATA!L41</f>
        <v>0</v>
      </c>
      <c r="C258" s="113" t="s">
        <v>63</v>
      </c>
      <c r="D258" s="114"/>
      <c r="E258" s="114"/>
      <c r="F258" s="114"/>
      <c r="G258" s="254"/>
      <c r="H258" s="113"/>
      <c r="I258" s="114"/>
      <c r="J258" s="114"/>
      <c r="K258" s="114"/>
      <c r="L258" s="254"/>
      <c r="M258" s="113"/>
      <c r="N258" s="114"/>
      <c r="O258" s="114"/>
      <c r="P258" s="114"/>
      <c r="Q258" s="254"/>
      <c r="R258" s="331">
        <f t="shared" si="10"/>
        <v>32</v>
      </c>
      <c r="S258" s="332">
        <f t="shared" si="11"/>
        <v>0</v>
      </c>
      <c r="T258" s="243" t="s">
        <v>63</v>
      </c>
      <c r="U258" s="114"/>
      <c r="V258" s="114"/>
      <c r="W258" s="114"/>
      <c r="X258" s="238"/>
      <c r="Y258" s="114"/>
      <c r="Z258" s="114"/>
      <c r="AA258" s="114"/>
      <c r="AB258" s="114"/>
      <c r="AC258" s="254"/>
      <c r="AD258" s="243"/>
      <c r="AE258" s="114"/>
      <c r="AF258" s="114"/>
      <c r="AG258" s="114"/>
      <c r="AH258" s="254"/>
    </row>
    <row r="259" spans="1:34" x14ac:dyDescent="0.25">
      <c r="A259" s="21">
        <v>33</v>
      </c>
      <c r="B259" s="133">
        <f>DATA!L42</f>
        <v>0</v>
      </c>
      <c r="C259" s="113"/>
      <c r="D259" s="114"/>
      <c r="E259" s="114"/>
      <c r="F259" s="114"/>
      <c r="G259" s="254"/>
      <c r="H259" s="113"/>
      <c r="I259" s="114"/>
      <c r="J259" s="114"/>
      <c r="K259" s="114"/>
      <c r="L259" s="254"/>
      <c r="M259" s="113"/>
      <c r="N259" s="114"/>
      <c r="O259" s="114"/>
      <c r="P259" s="114"/>
      <c r="Q259" s="254"/>
      <c r="R259" s="331">
        <f>A259</f>
        <v>33</v>
      </c>
      <c r="S259" s="332">
        <f>B259</f>
        <v>0</v>
      </c>
      <c r="T259" s="243" t="s">
        <v>63</v>
      </c>
      <c r="U259" s="114"/>
      <c r="V259" s="114"/>
      <c r="W259" s="114"/>
      <c r="X259" s="238"/>
      <c r="Y259" s="114"/>
      <c r="Z259" s="114"/>
      <c r="AA259" s="114"/>
      <c r="AB259" s="114"/>
      <c r="AC259" s="254"/>
      <c r="AD259" s="243"/>
      <c r="AE259" s="114"/>
      <c r="AF259" s="114"/>
      <c r="AG259" s="114"/>
      <c r="AH259" s="254"/>
    </row>
    <row r="260" spans="1:34" x14ac:dyDescent="0.25">
      <c r="A260" s="21">
        <v>34</v>
      </c>
      <c r="B260" s="133"/>
      <c r="C260" s="113"/>
      <c r="D260" s="114"/>
      <c r="E260" s="114"/>
      <c r="F260" s="114"/>
      <c r="G260" s="254"/>
      <c r="H260" s="113"/>
      <c r="I260" s="114"/>
      <c r="J260" s="114"/>
      <c r="K260" s="114"/>
      <c r="L260" s="254"/>
      <c r="M260" s="113"/>
      <c r="N260" s="114"/>
      <c r="O260" s="114"/>
      <c r="P260" s="114"/>
      <c r="Q260" s="254"/>
      <c r="R260" s="331"/>
      <c r="S260" s="332"/>
      <c r="T260" s="243" t="s">
        <v>63</v>
      </c>
      <c r="U260" s="114"/>
      <c r="V260" s="114"/>
      <c r="W260" s="114"/>
      <c r="X260" s="238"/>
      <c r="Y260" s="114"/>
      <c r="Z260" s="114"/>
      <c r="AA260" s="114"/>
      <c r="AB260" s="114"/>
      <c r="AC260" s="254"/>
      <c r="AD260" s="243"/>
      <c r="AE260" s="114"/>
      <c r="AF260" s="114"/>
      <c r="AG260" s="114"/>
      <c r="AH260" s="254"/>
    </row>
    <row r="261" spans="1:34" x14ac:dyDescent="0.25">
      <c r="A261" s="21">
        <v>35</v>
      </c>
      <c r="B261" s="161"/>
      <c r="C261" s="113"/>
      <c r="D261" s="115"/>
      <c r="E261" s="115"/>
      <c r="F261" s="114"/>
      <c r="G261" s="254"/>
      <c r="H261" s="255"/>
      <c r="I261" s="115"/>
      <c r="J261" s="114"/>
      <c r="K261" s="114"/>
      <c r="L261" s="254"/>
      <c r="M261" s="255"/>
      <c r="N261" s="115"/>
      <c r="O261" s="115"/>
      <c r="P261" s="115"/>
      <c r="Q261" s="256"/>
      <c r="R261" s="333"/>
      <c r="S261" s="334"/>
      <c r="T261" s="244" t="s">
        <v>63</v>
      </c>
      <c r="U261" s="115"/>
      <c r="V261" s="115"/>
      <c r="W261" s="115"/>
      <c r="X261" s="239"/>
      <c r="Y261" s="115"/>
      <c r="Z261" s="115"/>
      <c r="AA261" s="115"/>
      <c r="AB261" s="115"/>
      <c r="AC261" s="256"/>
      <c r="AD261" s="244"/>
      <c r="AE261" s="115"/>
      <c r="AF261" s="115"/>
      <c r="AG261" s="115"/>
      <c r="AH261" s="256"/>
    </row>
    <row r="262" spans="1:34" x14ac:dyDescent="0.25">
      <c r="A262" s="116"/>
      <c r="B262" s="116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04"/>
      <c r="Z262" s="504" t="str">
        <f>B223</f>
        <v>9F</v>
      </c>
      <c r="AA262" s="504"/>
      <c r="AB262" s="504"/>
      <c r="AC262" s="104"/>
    </row>
    <row r="263" spans="1:34" x14ac:dyDescent="0.25">
      <c r="A263" s="118"/>
      <c r="B263" s="118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504"/>
      <c r="AA263" s="504"/>
      <c r="AB263" s="504"/>
      <c r="AC263" s="104"/>
    </row>
    <row r="264" spans="1:34" x14ac:dyDescent="0.25">
      <c r="A264" s="118"/>
      <c r="B264" s="118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504"/>
      <c r="AA264" s="504"/>
      <c r="AB264" s="504"/>
      <c r="AC264" s="104"/>
    </row>
  </sheetData>
  <mergeCells count="30">
    <mergeCell ref="A1:AH1"/>
    <mergeCell ref="A2:AH2"/>
    <mergeCell ref="Z42:AB44"/>
    <mergeCell ref="A45:AH45"/>
    <mergeCell ref="A46:AH46"/>
    <mergeCell ref="AD3:AH3"/>
    <mergeCell ref="T3:AC3"/>
    <mergeCell ref="Z86:AB88"/>
    <mergeCell ref="A89:AH89"/>
    <mergeCell ref="A90:AH90"/>
    <mergeCell ref="Z130:AB132"/>
    <mergeCell ref="AD47:AH47"/>
    <mergeCell ref="AD91:AH91"/>
    <mergeCell ref="T47:AC47"/>
    <mergeCell ref="T91:AC91"/>
    <mergeCell ref="A133:AH133"/>
    <mergeCell ref="A134:AH134"/>
    <mergeCell ref="Z174:AB176"/>
    <mergeCell ref="A177:AH177"/>
    <mergeCell ref="A178:AH178"/>
    <mergeCell ref="AD135:AH135"/>
    <mergeCell ref="T135:AC135"/>
    <mergeCell ref="Z218:AB220"/>
    <mergeCell ref="A221:AH221"/>
    <mergeCell ref="A222:AH222"/>
    <mergeCell ref="Z262:AB264"/>
    <mergeCell ref="AD179:AH179"/>
    <mergeCell ref="AD223:AH223"/>
    <mergeCell ref="T179:AC179"/>
    <mergeCell ref="T223:AC223"/>
  </mergeCells>
  <pageMargins left="0.54" right="0.12" top="0.28000000000000003" bottom="0.26" header="0.14000000000000001" footer="0.12"/>
  <pageSetup paperSize="5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DA37-089A-4AA7-93EB-D7FE8F9C21C3}">
  <dimension ref="A3:BH4"/>
  <sheetViews>
    <sheetView zoomScale="82" zoomScaleNormal="82" workbookViewId="0">
      <selection activeCell="R13" sqref="R13"/>
    </sheetView>
  </sheetViews>
  <sheetFormatPr defaultRowHeight="12.5" x14ac:dyDescent="0.25"/>
  <cols>
    <col min="1" max="54" width="3.7265625" customWidth="1"/>
    <col min="55" max="94" width="2.7265625" customWidth="1"/>
  </cols>
  <sheetData>
    <row r="3" spans="1:60" ht="15.5" x14ac:dyDescent="0.35">
      <c r="A3" s="388">
        <v>27</v>
      </c>
      <c r="B3" s="388">
        <v>28</v>
      </c>
      <c r="C3" s="389">
        <v>29</v>
      </c>
      <c r="D3" s="388">
        <v>30</v>
      </c>
      <c r="E3" s="388">
        <v>31</v>
      </c>
      <c r="F3" s="387">
        <v>32</v>
      </c>
      <c r="G3" s="386">
        <v>33</v>
      </c>
      <c r="H3" s="386">
        <v>34</v>
      </c>
      <c r="I3" s="387">
        <v>35</v>
      </c>
      <c r="J3" s="388">
        <v>36</v>
      </c>
      <c r="K3" s="388">
        <v>37</v>
      </c>
      <c r="L3" s="389">
        <v>38</v>
      </c>
      <c r="M3" s="386">
        <v>39</v>
      </c>
      <c r="N3" s="386">
        <v>40</v>
      </c>
      <c r="O3" s="389">
        <v>41</v>
      </c>
      <c r="P3" s="388">
        <v>42</v>
      </c>
      <c r="Q3" s="386">
        <v>43</v>
      </c>
      <c r="R3" s="387">
        <v>44</v>
      </c>
      <c r="S3" s="388">
        <v>45</v>
      </c>
      <c r="T3" s="388">
        <v>46</v>
      </c>
      <c r="U3" s="387">
        <v>47</v>
      </c>
      <c r="V3" s="386">
        <v>48</v>
      </c>
      <c r="W3" s="388">
        <v>49</v>
      </c>
      <c r="X3" s="389">
        <v>50</v>
      </c>
      <c r="Y3" s="386">
        <v>51</v>
      </c>
      <c r="Z3" s="386">
        <v>52</v>
      </c>
      <c r="AA3" s="389">
        <v>53</v>
      </c>
      <c r="AB3" s="388">
        <v>54</v>
      </c>
      <c r="AC3" s="386">
        <v>55</v>
      </c>
      <c r="AD3" s="387">
        <v>56</v>
      </c>
      <c r="AE3" s="388">
        <v>57</v>
      </c>
      <c r="AF3" s="388">
        <v>58</v>
      </c>
      <c r="AG3" s="387">
        <v>59</v>
      </c>
      <c r="AH3" s="386">
        <v>60</v>
      </c>
      <c r="AI3" s="388">
        <v>61</v>
      </c>
      <c r="AJ3" s="389">
        <v>62</v>
      </c>
      <c r="AK3" s="386">
        <v>63</v>
      </c>
      <c r="AL3" s="386">
        <v>64</v>
      </c>
      <c r="AM3" s="389">
        <v>65</v>
      </c>
      <c r="AN3" s="388">
        <v>66</v>
      </c>
      <c r="AO3" s="386">
        <v>67</v>
      </c>
      <c r="AP3" s="387">
        <v>68</v>
      </c>
      <c r="AQ3" s="388">
        <v>69</v>
      </c>
      <c r="AR3" s="388">
        <v>70</v>
      </c>
      <c r="AS3" s="387">
        <v>71</v>
      </c>
      <c r="AT3" s="386">
        <v>72</v>
      </c>
      <c r="AU3" s="388">
        <v>73</v>
      </c>
      <c r="AV3" s="389">
        <v>74</v>
      </c>
      <c r="AW3" s="386">
        <v>75</v>
      </c>
      <c r="AX3" s="386">
        <v>76</v>
      </c>
      <c r="AY3" s="389">
        <v>77</v>
      </c>
      <c r="AZ3" s="388">
        <v>78</v>
      </c>
      <c r="BA3" s="386">
        <v>79</v>
      </c>
      <c r="BB3" s="385"/>
      <c r="BE3" s="277"/>
      <c r="BH3" s="277"/>
    </row>
    <row r="4" spans="1:60" x14ac:dyDescent="0.25">
      <c r="A4" s="508">
        <v>70</v>
      </c>
      <c r="B4" s="508"/>
      <c r="C4" s="508"/>
      <c r="D4" s="508"/>
      <c r="E4" s="508"/>
      <c r="F4" s="509">
        <v>71</v>
      </c>
      <c r="G4" s="509"/>
      <c r="H4" s="509"/>
      <c r="I4" s="509"/>
      <c r="J4" s="508">
        <v>72</v>
      </c>
      <c r="K4" s="508"/>
      <c r="L4" s="508"/>
      <c r="M4" s="509">
        <v>73</v>
      </c>
      <c r="N4" s="509"/>
      <c r="O4" s="508">
        <v>74</v>
      </c>
      <c r="P4" s="508"/>
      <c r="Q4" s="509">
        <v>75</v>
      </c>
      <c r="R4" s="509"/>
      <c r="S4" s="508">
        <v>76</v>
      </c>
      <c r="T4" s="508"/>
      <c r="U4" s="509">
        <v>77</v>
      </c>
      <c r="V4" s="509"/>
      <c r="W4" s="508">
        <v>78</v>
      </c>
      <c r="X4" s="508"/>
      <c r="Y4" s="509">
        <v>79</v>
      </c>
      <c r="Z4" s="509"/>
      <c r="AA4" s="508">
        <v>80</v>
      </c>
      <c r="AB4" s="508"/>
      <c r="AC4" s="509">
        <v>81</v>
      </c>
      <c r="AD4" s="509"/>
      <c r="AE4" s="508">
        <v>82</v>
      </c>
      <c r="AF4" s="508"/>
      <c r="AG4" s="509">
        <v>83</v>
      </c>
      <c r="AH4" s="509"/>
      <c r="AI4" s="508">
        <v>84</v>
      </c>
      <c r="AJ4" s="508"/>
      <c r="AK4" s="509">
        <v>85</v>
      </c>
      <c r="AL4" s="509"/>
      <c r="AM4" s="508">
        <v>86</v>
      </c>
      <c r="AN4" s="508"/>
      <c r="AO4" s="509">
        <v>87</v>
      </c>
      <c r="AP4" s="509"/>
      <c r="AQ4" s="508">
        <v>88</v>
      </c>
      <c r="AR4" s="508"/>
      <c r="AS4" s="509">
        <v>89</v>
      </c>
      <c r="AT4" s="509"/>
      <c r="AU4" s="508">
        <v>90</v>
      </c>
      <c r="AV4" s="508"/>
      <c r="AW4" s="509">
        <v>91</v>
      </c>
      <c r="AX4" s="509"/>
      <c r="AY4" s="508">
        <v>92</v>
      </c>
      <c r="AZ4" s="508"/>
      <c r="BA4">
        <v>93</v>
      </c>
    </row>
  </sheetData>
  <mergeCells count="23">
    <mergeCell ref="AY4:AZ4"/>
    <mergeCell ref="AK4:AL4"/>
    <mergeCell ref="AM4:AN4"/>
    <mergeCell ref="AO4:AP4"/>
    <mergeCell ref="AQ4:AR4"/>
    <mergeCell ref="AS4:AT4"/>
    <mergeCell ref="AW4:AX4"/>
    <mergeCell ref="AU4:AV4"/>
    <mergeCell ref="A4:E4"/>
    <mergeCell ref="F4:I4"/>
    <mergeCell ref="J4:L4"/>
    <mergeCell ref="Y4:Z4"/>
    <mergeCell ref="AA4:AB4"/>
    <mergeCell ref="AC4:AD4"/>
    <mergeCell ref="AE4:AF4"/>
    <mergeCell ref="AI4:AJ4"/>
    <mergeCell ref="W4:X4"/>
    <mergeCell ref="M4:N4"/>
    <mergeCell ref="O4:P4"/>
    <mergeCell ref="Q4:R4"/>
    <mergeCell ref="S4:T4"/>
    <mergeCell ref="U4:V4"/>
    <mergeCell ref="AG4:AH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DATA</vt:lpstr>
      <vt:lpstr>UH1</vt:lpstr>
      <vt:lpstr>UHB</vt:lpstr>
      <vt:lpstr>UH3</vt:lpstr>
      <vt:lpstr>UH4</vt:lpstr>
      <vt:lpstr>UH5</vt:lpstr>
      <vt:lpstr>RAPORT</vt:lpstr>
      <vt:lpstr>PRINT</vt:lpstr>
      <vt:lpstr>BLANGKO</vt:lpstr>
      <vt:lpstr>Sheet1</vt:lpstr>
      <vt:lpstr>UH1!_77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Cash_</dc:creator>
  <cp:lastModifiedBy>Eka Diah Safitri</cp:lastModifiedBy>
  <cp:lastPrinted>2026-05-05T23:05:20Z</cp:lastPrinted>
  <dcterms:created xsi:type="dcterms:W3CDTF">2007-03-03T02:59:19Z</dcterms:created>
  <dcterms:modified xsi:type="dcterms:W3CDTF">2026-06-15T08:04:15Z</dcterms:modified>
</cp:coreProperties>
</file>